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K-11PC-086-PC\Desktop\刃物交換指示システム\"/>
    </mc:Choice>
  </mc:AlternateContent>
  <xr:revisionPtr revIDLastSave="0" documentId="13_ncr:1_{CA297B59-7B1F-4609-9946-BC8D7F9C546A}" xr6:coauthVersionLast="47" xr6:coauthVersionMax="47" xr10:uidLastSave="{00000000-0000-0000-0000-000000000000}"/>
  <bookViews>
    <workbookView xWindow="-96" yWindow="0" windowWidth="11712" windowHeight="12336" tabRatio="877" xr2:uid="{00000000-000D-0000-FFFF-FFFF00000000}"/>
  </bookViews>
  <sheets>
    <sheet name="INJ-CUP(AP5) 工具交換ﾁｪｯｸ表 " sheetId="25" r:id="rId1"/>
    <sheet name="INJ-CUP(AP3)ノムラ 工具交換ﾁｪｯｸ表" sheetId="24" r:id="rId2"/>
    <sheet name="INJ-CUP(AP3)ツガミ 工具交換ﾁｪｯｸ表" sheetId="29" r:id="rId3"/>
    <sheet name="INJ-CUP(MY28 AP3)工具交換ﾁｪｯｸ表" sheetId="36" r:id="rId4"/>
    <sheet name="SENSOR BOSS(UIC)工具交換ﾁｪｯｸ表" sheetId="28" r:id="rId5"/>
    <sheet name="INLET(AP5)　工具交換チェック表" sheetId="15" r:id="rId6"/>
    <sheet name="INJ-CUP(35MPa) ツガミ SS327-Ⅲ " sheetId="32" r:id="rId7"/>
    <sheet name="INJ-CUP(35MPa) ツガミ B0326-Ⅲ" sheetId="27" r:id="rId8"/>
    <sheet name="INJ-CUP(35Mpa)ノムラ 工具交換ﾁｪｯｸ表" sheetId="35" r:id="rId9"/>
    <sheet name="JOINT(224A00378700) ツガミ B0326-Ⅱ" sheetId="37" r:id="rId10"/>
    <sheet name="JOINT(224A00345200) ツガミ B0326-Ⅱ" sheetId="38" r:id="rId11"/>
    <sheet name="CONNECTOR(428A00468302)B0325-Ⅱ" sheetId="39" r:id="rId12"/>
    <sheet name="SENSOR PLUG工具交換チェック表" sheetId="8" r:id="rId13"/>
    <sheet name="PLUG工具交換ﾁｪｯｸ表(ツガミ)" sheetId="22" r:id="rId14"/>
    <sheet name="ショートグランド(VTGN 4-4-32)工具交換ﾁｪｯｸ表 " sheetId="34" r:id="rId15"/>
    <sheet name="FIR TREE 斜め 工具交換チェック表" sheetId="16" r:id="rId16"/>
    <sheet name="PLUG工具交換ﾁｪｯｸ表(野村NC67) " sheetId="3" r:id="rId17"/>
    <sheet name="INJ-CUP(20MPa) 工具交換ﾁｪｯｸ表 " sheetId="26" r:id="rId18"/>
    <sheet name="CONNECTOR工具交換チェック表" sheetId="7" r:id="rId19"/>
    <sheet name="FIR TREEオス 工具交換チェック表" sheetId="10" r:id="rId20"/>
    <sheet name="FIR TREEメス　工具交換チェック表" sheetId="13" r:id="rId21"/>
    <sheet name="HODER ノムラ　工具交換ﾁｪｯｸ表 " sheetId="33" r:id="rId22"/>
    <sheet name="SENSOR BOSS 工具交換ﾁｪｯｸ表" sheetId="14" r:id="rId23"/>
    <sheet name="HOUSING 工具交換ﾁｪｯｸ表" sheetId="12" r:id="rId24"/>
    <sheet name="INJ-CUP(AP5)野村 工具交換ﾁｪｯｸ表" sheetId="11" r:id="rId25"/>
    <sheet name="BOSS 工具交換ﾁｪｯｸ表" sheetId="17" r:id="rId26"/>
    <sheet name="ADAPTER 工具交換ﾁｪｯｸ表" sheetId="9" r:id="rId27"/>
    <sheet name="SLEEVE(327A00067800)" sheetId="23" r:id="rId28"/>
  </sheets>
  <definedNames>
    <definedName name="_xlnm.Print_Area" localSheetId="11">'CONNECTOR(428A00468302)B0325-Ⅱ'!$A$1:$R$31</definedName>
    <definedName name="_xlnm.Print_Area" localSheetId="18">CONNECTOR工具交換チェック表!$A$1:$S$52</definedName>
    <definedName name="_xlnm.Print_Area" localSheetId="15">'FIR TREE 斜め 工具交換チェック表'!$A$1:$S$64</definedName>
    <definedName name="_xlnm.Print_Area" localSheetId="19">'FIR TREEオス 工具交換チェック表'!$A$1:$P$46</definedName>
    <definedName name="_xlnm.Print_Area" localSheetId="21">'HODER ノムラ　工具交換ﾁｪｯｸ表 '!$A$1:$U$168</definedName>
    <definedName name="_xlnm.Print_Area" localSheetId="17">'INJ-CUP(20MPa) 工具交換ﾁｪｯｸ表 '!$A$1:$P$192</definedName>
    <definedName name="_xlnm.Print_Area" localSheetId="7">'INJ-CUP(35MPa) ツガミ B0326-Ⅲ'!$A$1:$R$78</definedName>
    <definedName name="_xlnm.Print_Area" localSheetId="6">'INJ-CUP(35MPa) ツガミ SS327-Ⅲ '!$A$1:$R$80</definedName>
    <definedName name="_xlnm.Print_Area" localSheetId="8">'INJ-CUP(35Mpa)ノムラ 工具交換ﾁｪｯｸ表'!$A$1:$R$38</definedName>
    <definedName name="_xlnm.Print_Area" localSheetId="2">'INJ-CUP(AP3)ツガミ 工具交換ﾁｪｯｸ表'!$A$1:$R$114</definedName>
    <definedName name="_xlnm.Print_Area" localSheetId="1">'INJ-CUP(AP3)ノムラ 工具交換ﾁｪｯｸ表'!$A$1:$R$76</definedName>
    <definedName name="_xlnm.Print_Area" localSheetId="0">'INJ-CUP(AP5) 工具交換ﾁｪｯｸ表 '!$A$1:$R$185</definedName>
    <definedName name="_xlnm.Print_Area" localSheetId="3">'INJ-CUP(MY28 AP3)工具交換ﾁｪｯｸ表'!$A$1:$R$83</definedName>
    <definedName name="_xlnm.Print_Area" localSheetId="5">'INLET(AP5)　工具交換チェック表'!$A$1:$R$117</definedName>
    <definedName name="_xlnm.Print_Area" localSheetId="10">'JOINT(224A00345200) ツガミ B0326-Ⅱ'!$A$1:$R$36</definedName>
    <definedName name="_xlnm.Print_Area" localSheetId="9">'JOINT(224A00378700) ツガミ B0326-Ⅱ'!$A$1:$R$36</definedName>
    <definedName name="_xlnm.Print_Area" localSheetId="13">'PLUG工具交換ﾁｪｯｸ表(ツガミ)'!$A$1:$T$144</definedName>
    <definedName name="_xlnm.Print_Area" localSheetId="16">'PLUG工具交換ﾁｪｯｸ表(野村NC67) '!$A$1:$R$36</definedName>
    <definedName name="_xlnm.Print_Area" localSheetId="22">'SENSOR BOSS 工具交換ﾁｪｯｸ表'!$A$1:$P$62</definedName>
    <definedName name="_xlnm.Print_Area" localSheetId="4">'SENSOR BOSS(UIC)工具交換ﾁｪｯｸ表'!$A$1:$R$114</definedName>
    <definedName name="_xlnm.Print_Area" localSheetId="12">'SENSOR PLUG工具交換チェック表'!$A$1:$T$92</definedName>
    <definedName name="_xlnm.Print_Area" localSheetId="27">'SLEEVE(327A00067800)'!$A$1:$O$34</definedName>
    <definedName name="_xlnm.Print_Area" localSheetId="14">'ショートグランド(VTGN 4-4-32)工具交換ﾁｪｯｸ表 '!$A$1:$R$29,'ショートグランド(VTGN 4-4-32)工具交換ﾁｪｯｸ表 '!$A$34:$R$66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7" i="33" l="1"/>
  <c r="M166" i="33"/>
  <c r="M163" i="33"/>
  <c r="M164" i="33"/>
  <c r="N164" i="33" s="1"/>
  <c r="M162" i="33"/>
  <c r="N162" i="33" s="1"/>
  <c r="M161" i="33"/>
  <c r="M160" i="33"/>
  <c r="N160" i="33" s="1"/>
  <c r="M159" i="33"/>
  <c r="R158" i="33"/>
  <c r="R157" i="33"/>
  <c r="M156" i="33"/>
  <c r="R155" i="33"/>
  <c r="R154" i="33"/>
  <c r="M153" i="33"/>
  <c r="M152" i="33"/>
  <c r="M151" i="33"/>
  <c r="N151" i="33" s="1"/>
  <c r="M150" i="33"/>
  <c r="M149" i="33"/>
  <c r="M148" i="33"/>
  <c r="N148" i="33" s="1"/>
  <c r="R147" i="33"/>
  <c r="M146" i="33"/>
  <c r="R145" i="33"/>
  <c r="N144" i="33"/>
  <c r="M144" i="33"/>
  <c r="R143" i="33"/>
  <c r="M142" i="33"/>
  <c r="R141" i="33"/>
  <c r="M140" i="33"/>
  <c r="R139" i="33"/>
  <c r="M138" i="33"/>
  <c r="R131" i="33"/>
  <c r="M130" i="33"/>
  <c r="M128" i="33"/>
  <c r="M127" i="33"/>
  <c r="M126" i="33"/>
  <c r="M125" i="33"/>
  <c r="M124" i="33"/>
  <c r="M123" i="33"/>
  <c r="R122" i="33"/>
  <c r="R121" i="33"/>
  <c r="M120" i="33"/>
  <c r="R119" i="33"/>
  <c r="R118" i="33"/>
  <c r="M117" i="33"/>
  <c r="M116" i="33"/>
  <c r="M115" i="33"/>
  <c r="M114" i="33"/>
  <c r="M113" i="33"/>
  <c r="M112" i="33"/>
  <c r="R111" i="33"/>
  <c r="M110" i="33"/>
  <c r="R109" i="33"/>
  <c r="M108" i="33"/>
  <c r="R107" i="33"/>
  <c r="M106" i="33"/>
  <c r="R105" i="33"/>
  <c r="M104" i="33"/>
  <c r="R103" i="33"/>
  <c r="M102" i="33"/>
  <c r="N102" i="33" s="1"/>
  <c r="Q102" i="33" s="1"/>
  <c r="R95" i="33"/>
  <c r="R94" i="33"/>
  <c r="M93" i="33"/>
  <c r="N93" i="33" s="1"/>
  <c r="M92" i="33"/>
  <c r="N92" i="33" s="1"/>
  <c r="Q92" i="33" s="1"/>
  <c r="M91" i="33"/>
  <c r="N91" i="33" s="1"/>
  <c r="P91" i="33" s="1"/>
  <c r="M90" i="33"/>
  <c r="N90" i="33" s="1"/>
  <c r="M89" i="33"/>
  <c r="N89" i="33" s="1"/>
  <c r="Q89" i="33" s="1"/>
  <c r="M88" i="33"/>
  <c r="N88" i="33" s="1"/>
  <c r="P88" i="33" s="1"/>
  <c r="M87" i="33"/>
  <c r="N87" i="33" s="1"/>
  <c r="R86" i="33"/>
  <c r="R85" i="33"/>
  <c r="M84" i="33"/>
  <c r="N84" i="33" s="1"/>
  <c r="Q84" i="33" s="1"/>
  <c r="R83" i="33"/>
  <c r="M82" i="33"/>
  <c r="N82" i="33" s="1"/>
  <c r="Q82" i="33" s="1"/>
  <c r="R81" i="33"/>
  <c r="M80" i="33"/>
  <c r="M79" i="33"/>
  <c r="N79" i="33" s="1"/>
  <c r="P79" i="33" s="1"/>
  <c r="M78" i="33"/>
  <c r="N78" i="33" s="1"/>
  <c r="M77" i="33"/>
  <c r="R76" i="33"/>
  <c r="M75" i="33"/>
  <c r="R72" i="33"/>
  <c r="M71" i="33"/>
  <c r="M70" i="33"/>
  <c r="M69" i="33"/>
  <c r="M61" i="33"/>
  <c r="N61" i="33" s="1"/>
  <c r="M60" i="33"/>
  <c r="M59" i="33"/>
  <c r="M58" i="33"/>
  <c r="R57" i="33"/>
  <c r="R56" i="33"/>
  <c r="M55" i="33"/>
  <c r="N55" i="33" s="1"/>
  <c r="P55" i="33" s="1"/>
  <c r="M54" i="33"/>
  <c r="N54" i="33" s="1"/>
  <c r="Q54" i="33" s="1"/>
  <c r="M53" i="33"/>
  <c r="M52" i="33"/>
  <c r="N52" i="33" s="1"/>
  <c r="P52" i="33" s="1"/>
  <c r="R51" i="33"/>
  <c r="M50" i="33"/>
  <c r="R49" i="33"/>
  <c r="M48" i="33"/>
  <c r="N48" i="33" s="1"/>
  <c r="P48" i="33" s="1"/>
  <c r="M47" i="33"/>
  <c r="M46" i="33"/>
  <c r="M45" i="33"/>
  <c r="R44" i="33"/>
  <c r="M43" i="33"/>
  <c r="N43" i="33" s="1"/>
  <c r="R42" i="33"/>
  <c r="M41" i="33"/>
  <c r="R40" i="33"/>
  <c r="M39" i="33"/>
  <c r="M38" i="33"/>
  <c r="N38" i="33" s="1"/>
  <c r="M37" i="33"/>
  <c r="M30" i="33"/>
  <c r="N30" i="33" s="1"/>
  <c r="M29" i="33"/>
  <c r="M28" i="33"/>
  <c r="N28" i="33" s="1"/>
  <c r="Q28" i="33" s="1"/>
  <c r="M27" i="33"/>
  <c r="N27" i="33" s="1"/>
  <c r="R26" i="33"/>
  <c r="R25" i="33"/>
  <c r="M24" i="33"/>
  <c r="M23" i="33"/>
  <c r="M22" i="33"/>
  <c r="N22" i="33" s="1"/>
  <c r="M21" i="33"/>
  <c r="R20" i="33"/>
  <c r="M19" i="33"/>
  <c r="R18" i="33"/>
  <c r="M17" i="33"/>
  <c r="M16" i="33"/>
  <c r="N16" i="33" s="1"/>
  <c r="M15" i="33"/>
  <c r="M14" i="33"/>
  <c r="R13" i="33"/>
  <c r="M12" i="33"/>
  <c r="N12" i="33" s="1"/>
  <c r="R11" i="33"/>
  <c r="M10" i="33"/>
  <c r="N10" i="33" s="1"/>
  <c r="R9" i="33"/>
  <c r="M8" i="33"/>
  <c r="N8" i="33" s="1"/>
  <c r="M7" i="33"/>
  <c r="M6" i="33"/>
  <c r="Q144" i="33" l="1"/>
  <c r="N156" i="33"/>
  <c r="Q156" i="33" s="1"/>
  <c r="N146" i="33"/>
  <c r="Q146" i="33" s="1"/>
  <c r="P38" i="33"/>
  <c r="N159" i="33"/>
  <c r="P159" i="33" s="1"/>
  <c r="N138" i="33"/>
  <c r="P138" i="33" s="1"/>
  <c r="Q150" i="33"/>
  <c r="N150" i="33"/>
  <c r="P150" i="33" s="1"/>
  <c r="Q166" i="33"/>
  <c r="N153" i="33"/>
  <c r="P153" i="33" s="1"/>
  <c r="N166" i="33"/>
  <c r="P166" i="33" s="1"/>
  <c r="Q162" i="33"/>
  <c r="Q164" i="33"/>
  <c r="P164" i="33"/>
  <c r="Q151" i="33"/>
  <c r="P151" i="33"/>
  <c r="Q160" i="33"/>
  <c r="P160" i="33"/>
  <c r="P161" i="33"/>
  <c r="P148" i="33"/>
  <c r="Q148" i="33"/>
  <c r="Q152" i="33"/>
  <c r="Q161" i="33"/>
  <c r="N142" i="33"/>
  <c r="Q142" i="33" s="1"/>
  <c r="P144" i="33"/>
  <c r="P162" i="33"/>
  <c r="N140" i="33"/>
  <c r="P140" i="33" s="1"/>
  <c r="N149" i="33"/>
  <c r="Q149" i="33" s="1"/>
  <c r="N152" i="33"/>
  <c r="P152" i="33" s="1"/>
  <c r="N161" i="33"/>
  <c r="N163" i="33"/>
  <c r="Q163" i="33" s="1"/>
  <c r="N60" i="33"/>
  <c r="P60" i="33" s="1"/>
  <c r="P12" i="33"/>
  <c r="Q12" i="33"/>
  <c r="Q48" i="33"/>
  <c r="Q16" i="33"/>
  <c r="P16" i="33"/>
  <c r="N45" i="33"/>
  <c r="Q45" i="33" s="1"/>
  <c r="Q22" i="33"/>
  <c r="N77" i="33"/>
  <c r="Q77" i="33" s="1"/>
  <c r="Q55" i="33"/>
  <c r="N70" i="33"/>
  <c r="Q70" i="33" s="1"/>
  <c r="Q8" i="33"/>
  <c r="Q79" i="33"/>
  <c r="Q88" i="33"/>
  <c r="Q43" i="33"/>
  <c r="N71" i="33"/>
  <c r="Q71" i="33" s="1"/>
  <c r="N6" i="33"/>
  <c r="Q6" i="33" s="1"/>
  <c r="P22" i="33"/>
  <c r="N37" i="33"/>
  <c r="P37" i="33" s="1"/>
  <c r="P89" i="33"/>
  <c r="P102" i="33"/>
  <c r="N7" i="33"/>
  <c r="Q7" i="33" s="1"/>
  <c r="N17" i="33"/>
  <c r="P17" i="33" s="1"/>
  <c r="P28" i="33"/>
  <c r="P54" i="33"/>
  <c r="Q61" i="33"/>
  <c r="P61" i="33"/>
  <c r="Q90" i="33"/>
  <c r="P90" i="33"/>
  <c r="N50" i="33"/>
  <c r="P50" i="33" s="1"/>
  <c r="N69" i="33"/>
  <c r="Q69" i="33" s="1"/>
  <c r="N104" i="33"/>
  <c r="Q104" i="33" s="1"/>
  <c r="N113" i="33"/>
  <c r="Q113" i="33" s="1"/>
  <c r="P8" i="33"/>
  <c r="N14" i="33"/>
  <c r="Q14" i="33" s="1"/>
  <c r="N19" i="33"/>
  <c r="Q19" i="33" s="1"/>
  <c r="N24" i="33"/>
  <c r="Q24" i="33" s="1"/>
  <c r="N29" i="33"/>
  <c r="Q29" i="33" s="1"/>
  <c r="Q38" i="33"/>
  <c r="Q78" i="33"/>
  <c r="P78" i="33"/>
  <c r="P84" i="33"/>
  <c r="Q91" i="33"/>
  <c r="P92" i="33"/>
  <c r="Q30" i="33"/>
  <c r="P30" i="33"/>
  <c r="N15" i="33"/>
  <c r="Q15" i="33" s="1"/>
  <c r="N21" i="33"/>
  <c r="Q21" i="33" s="1"/>
  <c r="Q52" i="33"/>
  <c r="N58" i="33"/>
  <c r="P58" i="33" s="1"/>
  <c r="N116" i="33"/>
  <c r="Q116" i="33" s="1"/>
  <c r="P10" i="33"/>
  <c r="N41" i="33"/>
  <c r="Q41" i="33" s="1"/>
  <c r="N46" i="33"/>
  <c r="P46" i="33" s="1"/>
  <c r="N59" i="33"/>
  <c r="Q59" i="33" s="1"/>
  <c r="N80" i="33"/>
  <c r="Q80" i="33" s="1"/>
  <c r="Q87" i="33"/>
  <c r="P87" i="33"/>
  <c r="Q93" i="33"/>
  <c r="P93" i="33"/>
  <c r="N108" i="33"/>
  <c r="P108" i="33" s="1"/>
  <c r="Q10" i="33"/>
  <c r="Q27" i="33"/>
  <c r="P27" i="33"/>
  <c r="N47" i="33"/>
  <c r="Q47" i="33" s="1"/>
  <c r="N53" i="33"/>
  <c r="P53" i="33" s="1"/>
  <c r="N112" i="33"/>
  <c r="P112" i="33" s="1"/>
  <c r="N115" i="33"/>
  <c r="P115" i="33" s="1"/>
  <c r="N124" i="33"/>
  <c r="Q124" i="33" s="1"/>
  <c r="N127" i="33"/>
  <c r="Q127" i="33" s="1"/>
  <c r="N120" i="33"/>
  <c r="P120" i="33" s="1"/>
  <c r="N125" i="33"/>
  <c r="Q125" i="33" s="1"/>
  <c r="N128" i="33"/>
  <c r="Q128" i="33" s="1"/>
  <c r="P43" i="33"/>
  <c r="P82" i="33"/>
  <c r="N110" i="33"/>
  <c r="P110" i="33" s="1"/>
  <c r="N114" i="33"/>
  <c r="P114" i="33" s="1"/>
  <c r="N117" i="33"/>
  <c r="Q117" i="33" s="1"/>
  <c r="N123" i="33"/>
  <c r="Q123" i="33" s="1"/>
  <c r="N126" i="33"/>
  <c r="P126" i="33" s="1"/>
  <c r="N130" i="33"/>
  <c r="Q130" i="33" s="1"/>
  <c r="N23" i="33"/>
  <c r="Q23" i="33" s="1"/>
  <c r="N39" i="33"/>
  <c r="Q39" i="33" s="1"/>
  <c r="N75" i="33"/>
  <c r="Q75" i="33" s="1"/>
  <c r="N106" i="33"/>
  <c r="Q106" i="33" s="1"/>
  <c r="Q58" i="33" l="1"/>
  <c r="P142" i="33"/>
  <c r="P163" i="33"/>
  <c r="P71" i="33"/>
  <c r="Q159" i="33"/>
  <c r="Q153" i="33"/>
  <c r="P156" i="33"/>
  <c r="P21" i="33"/>
  <c r="Q138" i="33"/>
  <c r="P146" i="33"/>
  <c r="Q140" i="33"/>
  <c r="P149" i="33"/>
  <c r="P123" i="33"/>
  <c r="P75" i="33"/>
  <c r="Q60" i="33"/>
  <c r="P130" i="33"/>
  <c r="P125" i="33"/>
  <c r="P70" i="33"/>
  <c r="P124" i="33"/>
  <c r="Q46" i="33"/>
  <c r="P77" i="33"/>
  <c r="P104" i="33"/>
  <c r="P45" i="33"/>
  <c r="P128" i="33"/>
  <c r="Q108" i="33"/>
  <c r="Q126" i="33"/>
  <c r="P41" i="33"/>
  <c r="P116" i="33"/>
  <c r="Q17" i="33"/>
  <c r="P80" i="33"/>
  <c r="Q114" i="33"/>
  <c r="P19" i="33"/>
  <c r="P127" i="33"/>
  <c r="P29" i="33"/>
  <c r="P7" i="33"/>
  <c r="P39" i="33"/>
  <c r="Q110" i="33"/>
  <c r="P6" i="33"/>
  <c r="Q50" i="33"/>
  <c r="P23" i="33"/>
  <c r="P59" i="33"/>
  <c r="P15" i="33"/>
  <c r="P24" i="33"/>
  <c r="P69" i="33"/>
  <c r="Q53" i="33"/>
  <c r="P14" i="33"/>
  <c r="Q112" i="33"/>
  <c r="P117" i="33"/>
  <c r="Q37" i="33"/>
  <c r="Q115" i="33"/>
  <c r="P47" i="33"/>
  <c r="P106" i="33"/>
  <c r="P113" i="33"/>
  <c r="Q120" i="33"/>
  <c r="M32" i="15" l="1"/>
  <c r="M30" i="15"/>
  <c r="M29" i="15"/>
  <c r="N29" i="15" s="1"/>
  <c r="M27" i="15"/>
  <c r="M24" i="15"/>
  <c r="M21" i="15"/>
  <c r="M20" i="15"/>
  <c r="M19" i="15"/>
  <c r="N19" i="15" s="1"/>
  <c r="M17" i="15"/>
  <c r="N17" i="15" s="1"/>
  <c r="M16" i="15"/>
  <c r="M14" i="15"/>
  <c r="M12" i="15"/>
  <c r="M10" i="15"/>
  <c r="N10" i="15" s="1"/>
  <c r="M8" i="15"/>
  <c r="M6" i="15"/>
  <c r="N16" i="15" l="1"/>
  <c r="N6" i="15"/>
  <c r="N24" i="15"/>
  <c r="N20" i="15"/>
  <c r="N12" i="15"/>
  <c r="N30" i="15"/>
  <c r="N21" i="15"/>
  <c r="N27" i="15"/>
  <c r="N14" i="15"/>
  <c r="N32" i="15"/>
  <c r="N8" i="15"/>
  <c r="M36" i="11" l="1"/>
  <c r="N36" i="11" s="1"/>
  <c r="M34" i="11"/>
  <c r="M33" i="11"/>
  <c r="N33" i="11" s="1"/>
  <c r="M32" i="11"/>
  <c r="N32" i="11" s="1"/>
  <c r="M31" i="11"/>
  <c r="M30" i="11"/>
  <c r="N30" i="11" s="1"/>
  <c r="Q29" i="11"/>
  <c r="M28" i="11"/>
  <c r="M27" i="11"/>
  <c r="M24" i="11"/>
  <c r="M21" i="11"/>
  <c r="M20" i="11"/>
  <c r="M19" i="11"/>
  <c r="M18" i="11"/>
  <c r="M17" i="11"/>
  <c r="N17" i="11" s="1"/>
  <c r="P17" i="11" s="1"/>
  <c r="M16" i="11"/>
  <c r="M14" i="11"/>
  <c r="M12" i="11"/>
  <c r="M10" i="11"/>
  <c r="M8" i="11"/>
  <c r="R6" i="11"/>
  <c r="M6" i="11"/>
  <c r="N6" i="11" s="1"/>
  <c r="N12" i="11" l="1"/>
  <c r="P12" i="11" s="1"/>
  <c r="N20" i="11"/>
  <c r="P20" i="11" s="1"/>
  <c r="Q17" i="11"/>
  <c r="N27" i="11"/>
  <c r="P27" i="11" s="1"/>
  <c r="Q33" i="11"/>
  <c r="P33" i="11"/>
  <c r="Q6" i="11"/>
  <c r="P6" i="11"/>
  <c r="P36" i="11"/>
  <c r="Q36" i="11"/>
  <c r="Q30" i="11"/>
  <c r="P30" i="11"/>
  <c r="P32" i="11"/>
  <c r="Q32" i="11"/>
  <c r="N31" i="11"/>
  <c r="Q31" i="11" s="1"/>
  <c r="N34" i="11"/>
  <c r="Q34" i="11" s="1"/>
  <c r="N10" i="11"/>
  <c r="Q10" i="11" s="1"/>
  <c r="N16" i="11"/>
  <c r="P16" i="11" s="1"/>
  <c r="N19" i="11"/>
  <c r="Q19" i="11" s="1"/>
  <c r="N24" i="11"/>
  <c r="Q24" i="11" s="1"/>
  <c r="N8" i="11"/>
  <c r="Q8" i="11" s="1"/>
  <c r="N14" i="11"/>
  <c r="Q14" i="11" s="1"/>
  <c r="N18" i="11"/>
  <c r="Q18" i="11" s="1"/>
  <c r="N21" i="11"/>
  <c r="Q21" i="11" s="1"/>
  <c r="N28" i="11"/>
  <c r="Q28" i="11" s="1"/>
  <c r="P34" i="11" l="1"/>
  <c r="P31" i="11"/>
  <c r="Q20" i="11"/>
  <c r="P18" i="11"/>
  <c r="Q12" i="11"/>
  <c r="P24" i="11"/>
  <c r="P14" i="11"/>
  <c r="Q27" i="11"/>
  <c r="P19" i="11"/>
  <c r="P8" i="11"/>
  <c r="Q16" i="11"/>
  <c r="P10" i="11"/>
  <c r="P21" i="11"/>
  <c r="P28" i="11"/>
</calcChain>
</file>

<file path=xl/sharedStrings.xml><?xml version="1.0" encoding="utf-8"?>
<sst xmlns="http://schemas.openxmlformats.org/spreadsheetml/2006/main" count="11187" uniqueCount="1604">
  <si>
    <t>PLUG（23807-31160-0003B-C）</t>
    <phoneticPr fontId="12"/>
  </si>
  <si>
    <t>NC67 工具交換時 工程管理図番号チェック表 (NN-32YB2)</t>
    <rPh sb="5" eb="9">
      <t>コウグコウカン</t>
    </rPh>
    <rPh sb="9" eb="10">
      <t>ジ</t>
    </rPh>
    <rPh sb="11" eb="16">
      <t>コウテイカンリズ</t>
    </rPh>
    <rPh sb="16" eb="18">
      <t>バンゴウ</t>
    </rPh>
    <rPh sb="22" eb="23">
      <t>ヒョウ</t>
    </rPh>
    <phoneticPr fontId="11"/>
  </si>
  <si>
    <t>刃物
NO</t>
    <rPh sb="0" eb="2">
      <t>ハモノ</t>
    </rPh>
    <phoneticPr fontId="12"/>
  </si>
  <si>
    <t>工具名</t>
    <rPh sb="0" eb="2">
      <t>コウグ</t>
    </rPh>
    <rPh sb="2" eb="3">
      <t>メイ</t>
    </rPh>
    <phoneticPr fontId="12"/>
  </si>
  <si>
    <t>メーカ-</t>
    <phoneticPr fontId="12"/>
  </si>
  <si>
    <t>型式</t>
    <rPh sb="0" eb="2">
      <t>カタシキ</t>
    </rPh>
    <phoneticPr fontId="12"/>
  </si>
  <si>
    <t>測定番号</t>
    <rPh sb="0" eb="4">
      <t>ソクテイバンゴウ</t>
    </rPh>
    <phoneticPr fontId="12"/>
  </si>
  <si>
    <t>備考</t>
    <rPh sb="0" eb="2">
      <t>ビコウ</t>
    </rPh>
    <phoneticPr fontId="12"/>
  </si>
  <si>
    <t>加工工程</t>
    <rPh sb="0" eb="2">
      <t>カコウ</t>
    </rPh>
    <rPh sb="2" eb="4">
      <t>コウテイ</t>
    </rPh>
    <phoneticPr fontId="12"/>
  </si>
  <si>
    <t>T01</t>
  </si>
  <si>
    <t>旋削チップ</t>
    <rPh sb="0" eb="2">
      <t>センサク</t>
    </rPh>
    <phoneticPr fontId="12"/>
  </si>
  <si>
    <t>京セラ</t>
    <rPh sb="0" eb="1">
      <t>キョウ</t>
    </rPh>
    <phoneticPr fontId="12"/>
  </si>
  <si>
    <t>外径荒取り</t>
    <rPh sb="0" eb="2">
      <t>ガイケイ</t>
    </rPh>
    <rPh sb="2" eb="3">
      <t>アラ</t>
    </rPh>
    <rPh sb="3" eb="4">
      <t>ド</t>
    </rPh>
    <phoneticPr fontId="12"/>
  </si>
  <si>
    <t>外径バイトホルダ</t>
    <rPh sb="0" eb="2">
      <t>ガイケイ</t>
    </rPh>
    <phoneticPr fontId="12"/>
  </si>
  <si>
    <t>タンガロイ</t>
    <phoneticPr fontId="12"/>
  </si>
  <si>
    <t>PCLNR1616</t>
    <phoneticPr fontId="11"/>
  </si>
  <si>
    <t>T02</t>
  </si>
  <si>
    <t>NTK</t>
    <phoneticPr fontId="12"/>
  </si>
  <si>
    <t>CCGT09T304MYL (DM4)</t>
    <phoneticPr fontId="12"/>
  </si>
  <si>
    <t>⑩狙い値φ20.97</t>
    <rPh sb="1" eb="2">
      <t>ネラ</t>
    </rPh>
    <rPh sb="3" eb="4">
      <t>チ</t>
    </rPh>
    <phoneticPr fontId="12"/>
  </si>
  <si>
    <t>外径バイトホルダ</t>
    <rPh sb="0" eb="2">
      <t>ガイケイ</t>
    </rPh>
    <phoneticPr fontId="11"/>
  </si>
  <si>
    <t>SCLCR1616JX-09FF</t>
    <phoneticPr fontId="12"/>
  </si>
  <si>
    <t>T03</t>
  </si>
  <si>
    <t>VCGT110302MCL (QM3)</t>
    <phoneticPr fontId="12"/>
  </si>
  <si>
    <t>③狙い値φ16.64</t>
    <rPh sb="1" eb="2">
      <t>ネラ</t>
    </rPh>
    <rPh sb="3" eb="4">
      <t>チ</t>
    </rPh>
    <phoneticPr fontId="12"/>
  </si>
  <si>
    <t>φ16.65外径仕上げ</t>
    <rPh sb="6" eb="10">
      <t>ガイケイシア</t>
    </rPh>
    <phoneticPr fontId="12"/>
  </si>
  <si>
    <t>SVPBR1616JX-11</t>
    <phoneticPr fontId="12"/>
  </si>
  <si>
    <t>T04</t>
  </si>
  <si>
    <t>溝入れチップ</t>
    <rPh sb="0" eb="1">
      <t>ミゾ</t>
    </rPh>
    <rPh sb="1" eb="2">
      <t>イ</t>
    </rPh>
    <phoneticPr fontId="11"/>
  </si>
  <si>
    <t>京セラ</t>
    <rPh sb="0" eb="1">
      <t>キョウ</t>
    </rPh>
    <phoneticPr fontId="11"/>
  </si>
  <si>
    <t>刃物の幅注意2.5㎜</t>
    <rPh sb="0" eb="2">
      <t>ハモノ</t>
    </rPh>
    <rPh sb="3" eb="4">
      <t>ハバ</t>
    </rPh>
    <rPh sb="4" eb="6">
      <t>チュウイ</t>
    </rPh>
    <phoneticPr fontId="12"/>
  </si>
  <si>
    <t>溝入れ（外径荒、仕上げ）</t>
    <rPh sb="0" eb="1">
      <t>ミゾ</t>
    </rPh>
    <rPh sb="1" eb="2">
      <t>イ</t>
    </rPh>
    <rPh sb="4" eb="6">
      <t>ガイケイ</t>
    </rPh>
    <rPh sb="6" eb="7">
      <t>アラ</t>
    </rPh>
    <rPh sb="8" eb="10">
      <t>シア</t>
    </rPh>
    <phoneticPr fontId="12"/>
  </si>
  <si>
    <t>溝入れバイト</t>
    <rPh sb="0" eb="1">
      <t>ミゾ</t>
    </rPh>
    <rPh sb="1" eb="2">
      <t>イ</t>
    </rPh>
    <phoneticPr fontId="11"/>
  </si>
  <si>
    <t>KGDR1616H-2T06</t>
    <phoneticPr fontId="11"/>
  </si>
  <si>
    <t>T05</t>
  </si>
  <si>
    <t>突切りチップ</t>
    <rPh sb="0" eb="1">
      <t>ツ</t>
    </rPh>
    <rPh sb="1" eb="2">
      <t>キリ</t>
    </rPh>
    <phoneticPr fontId="12"/>
  </si>
  <si>
    <t>GDM2020N-020PM (PR1225)</t>
    <phoneticPr fontId="12"/>
  </si>
  <si>
    <t>刃物の幅注意2.0㎜</t>
    <rPh sb="0" eb="2">
      <t>ハモノ</t>
    </rPh>
    <rPh sb="3" eb="4">
      <t>ハバ</t>
    </rPh>
    <rPh sb="4" eb="6">
      <t>チュウイ</t>
    </rPh>
    <phoneticPr fontId="12"/>
  </si>
  <si>
    <t>突切り</t>
    <rPh sb="0" eb="1">
      <t>ツ</t>
    </rPh>
    <rPh sb="1" eb="2">
      <t>キ</t>
    </rPh>
    <phoneticPr fontId="12"/>
  </si>
  <si>
    <t>突切りバイトホルダ</t>
    <rPh sb="0" eb="1">
      <t>ツ</t>
    </rPh>
    <rPh sb="1" eb="2">
      <t>キリ</t>
    </rPh>
    <phoneticPr fontId="12"/>
  </si>
  <si>
    <t>KGDL1616JX-2</t>
    <phoneticPr fontId="11"/>
  </si>
  <si>
    <t>T11</t>
    <phoneticPr fontId="11"/>
  </si>
  <si>
    <t>エンドミル</t>
    <phoneticPr fontId="11"/>
  </si>
  <si>
    <t>住友</t>
    <rPh sb="0" eb="2">
      <t>スミトモ</t>
    </rPh>
    <phoneticPr fontId="12"/>
  </si>
  <si>
    <t>GSX20100S-2D</t>
    <phoneticPr fontId="12"/>
  </si>
  <si>
    <r>
      <rPr>
        <sz val="12"/>
        <color rgb="FFFF0000"/>
        <rFont val="ＭＳ Ｐゴシック"/>
        <family val="3"/>
        <charset val="128"/>
      </rPr>
      <t>※</t>
    </r>
    <r>
      <rPr>
        <sz val="12"/>
        <color indexed="8"/>
        <rFont val="ＭＳ Ｐゴシック"/>
        <family val="3"/>
        <charset val="128"/>
      </rPr>
      <t>⒳16.80～16.85狙い</t>
    </r>
    <rPh sb="13" eb="14">
      <t>ネラ</t>
    </rPh>
    <phoneticPr fontId="12"/>
  </si>
  <si>
    <t>ウェルド部仕上げ</t>
    <rPh sb="4" eb="5">
      <t>ブ</t>
    </rPh>
    <rPh sb="5" eb="7">
      <t>シア</t>
    </rPh>
    <phoneticPr fontId="11"/>
  </si>
  <si>
    <t>T12</t>
  </si>
  <si>
    <t>エンドミル</t>
  </si>
  <si>
    <t>三菱</t>
    <rPh sb="0" eb="2">
      <t>ミツビシ</t>
    </rPh>
    <phoneticPr fontId="12"/>
  </si>
  <si>
    <t>MS2MDD0300</t>
    <phoneticPr fontId="11"/>
  </si>
  <si>
    <t>ウェルド部荒取り</t>
    <rPh sb="4" eb="5">
      <t>ブ</t>
    </rPh>
    <rPh sb="5" eb="6">
      <t>アラ</t>
    </rPh>
    <rPh sb="6" eb="7">
      <t>ド</t>
    </rPh>
    <phoneticPr fontId="11"/>
  </si>
  <si>
    <t>T13</t>
  </si>
  <si>
    <t>OSG</t>
  </si>
  <si>
    <t>NEO-EMS 10</t>
    <phoneticPr fontId="11"/>
  </si>
  <si>
    <t>②狙い値18.00～18.03</t>
    <rPh sb="1" eb="2">
      <t>ネラ</t>
    </rPh>
    <rPh sb="3" eb="4">
      <t>チ</t>
    </rPh>
    <phoneticPr fontId="12"/>
  </si>
  <si>
    <t>スパナ掛け</t>
    <rPh sb="3" eb="4">
      <t>ガ</t>
    </rPh>
    <phoneticPr fontId="11"/>
  </si>
  <si>
    <t>T21</t>
    <phoneticPr fontId="11"/>
  </si>
  <si>
    <t>ドリル</t>
    <phoneticPr fontId="11"/>
  </si>
  <si>
    <t>MDW0300GS2</t>
    <phoneticPr fontId="11"/>
  </si>
  <si>
    <t>φ3穴</t>
    <rPh sb="2" eb="3">
      <t>アナ</t>
    </rPh>
    <phoneticPr fontId="11"/>
  </si>
  <si>
    <t>T23</t>
    <phoneticPr fontId="11"/>
  </si>
  <si>
    <t>センタードリル</t>
    <phoneticPr fontId="11"/>
  </si>
  <si>
    <t>イワタツール</t>
    <phoneticPr fontId="12"/>
  </si>
  <si>
    <t>90SPC2.5×8CBALD</t>
    <phoneticPr fontId="11"/>
  </si>
  <si>
    <t>φ3穴面</t>
    <rPh sb="2" eb="3">
      <t>アナ</t>
    </rPh>
    <rPh sb="3" eb="4">
      <t>メン</t>
    </rPh>
    <phoneticPr fontId="11"/>
  </si>
  <si>
    <t>T31</t>
    <phoneticPr fontId="12"/>
  </si>
  <si>
    <t>SCGT09T304L-FX (AC1030U)</t>
    <phoneticPr fontId="12"/>
  </si>
  <si>
    <t>外径仕上げ</t>
    <rPh sb="0" eb="4">
      <t>ガイケイシア</t>
    </rPh>
    <phoneticPr fontId="12"/>
  </si>
  <si>
    <t>SSSCR1616H09</t>
    <phoneticPr fontId="12"/>
  </si>
  <si>
    <t>T34</t>
    <phoneticPr fontId="11"/>
  </si>
  <si>
    <t>面取りカッター</t>
    <rPh sb="0" eb="2">
      <t>メント</t>
    </rPh>
    <phoneticPr fontId="11"/>
  </si>
  <si>
    <t>石川工具</t>
    <rPh sb="0" eb="4">
      <t>イシカワコウグ</t>
    </rPh>
    <phoneticPr fontId="12"/>
  </si>
  <si>
    <t>SP-SMC2080ACN</t>
    <phoneticPr fontId="11"/>
  </si>
  <si>
    <t>スパナ掛け面取り</t>
    <rPh sb="3" eb="4">
      <t>ガ</t>
    </rPh>
    <rPh sb="5" eb="6">
      <t>メン</t>
    </rPh>
    <rPh sb="6" eb="7">
      <t>ト</t>
    </rPh>
    <phoneticPr fontId="11"/>
  </si>
  <si>
    <t>T37</t>
    <phoneticPr fontId="11"/>
  </si>
  <si>
    <t>90CD2.5×6CBSALD</t>
    <phoneticPr fontId="11"/>
  </si>
  <si>
    <t>センター穴、φ3穴裏面</t>
    <rPh sb="4" eb="5">
      <t>アナ</t>
    </rPh>
    <rPh sb="8" eb="9">
      <t>アナ</t>
    </rPh>
    <rPh sb="9" eb="10">
      <t>ウラ</t>
    </rPh>
    <rPh sb="10" eb="11">
      <t>メン</t>
    </rPh>
    <phoneticPr fontId="11"/>
  </si>
  <si>
    <t>T38</t>
    <phoneticPr fontId="11"/>
  </si>
  <si>
    <t>旋削チップ</t>
    <rPh sb="0" eb="2">
      <t>センサク</t>
    </rPh>
    <phoneticPr fontId="11"/>
  </si>
  <si>
    <t>EPGT03X104F-JS(SH725)</t>
    <phoneticPr fontId="11"/>
  </si>
  <si>
    <t>ボーリングバー</t>
    <phoneticPr fontId="11"/>
  </si>
  <si>
    <t>E04G-SEXPR03-D045</t>
    <phoneticPr fontId="11"/>
  </si>
  <si>
    <t>スリーブ</t>
    <phoneticPr fontId="11"/>
  </si>
  <si>
    <t>EZH04022HP-135</t>
    <phoneticPr fontId="11"/>
  </si>
  <si>
    <t>T39</t>
    <phoneticPr fontId="11"/>
  </si>
  <si>
    <t>ねじ切り</t>
    <rPh sb="2" eb="3">
      <t>キ</t>
    </rPh>
    <phoneticPr fontId="11"/>
  </si>
  <si>
    <t>08IR60007 (PR1115)</t>
    <phoneticPr fontId="11"/>
  </si>
  <si>
    <t>ネジ有効径φ11.47狙い</t>
    <rPh sb="2" eb="4">
      <t>ユウコウ</t>
    </rPh>
    <rPh sb="4" eb="5">
      <t>ケイ</t>
    </rPh>
    <rPh sb="11" eb="12">
      <t>ネラ</t>
    </rPh>
    <phoneticPr fontId="12"/>
  </si>
  <si>
    <t>M12×1-6H</t>
    <phoneticPr fontId="11"/>
  </si>
  <si>
    <t>ねじ切りバイトホルダ</t>
    <rPh sb="2" eb="3">
      <t>キ</t>
    </rPh>
    <phoneticPr fontId="11"/>
  </si>
  <si>
    <t>SINR0816S-08E</t>
    <phoneticPr fontId="11"/>
  </si>
  <si>
    <t>金属カラー（内外径交差選択、寸法フリー指定）</t>
    <rPh sb="0" eb="2">
      <t>キンゾク</t>
    </rPh>
    <rPh sb="6" eb="8">
      <t>ナイガイ</t>
    </rPh>
    <rPh sb="8" eb="9">
      <t>ケイ</t>
    </rPh>
    <rPh sb="9" eb="11">
      <t>コウサ</t>
    </rPh>
    <rPh sb="11" eb="13">
      <t>センタク</t>
    </rPh>
    <rPh sb="14" eb="16">
      <t>スンポウ</t>
    </rPh>
    <rPh sb="19" eb="21">
      <t>シテイ</t>
    </rPh>
    <phoneticPr fontId="11"/>
  </si>
  <si>
    <t>ミスミ</t>
    <phoneticPr fontId="11"/>
  </si>
  <si>
    <t>SNCS-H H-V16.0-D22.0-L100.0</t>
    <phoneticPr fontId="11"/>
  </si>
  <si>
    <t>T40</t>
    <phoneticPr fontId="11"/>
  </si>
  <si>
    <t>MVE1100×02S110 (DP1020)</t>
    <phoneticPr fontId="12"/>
  </si>
  <si>
    <t>⒵13.40狙い（全長19.00）</t>
    <rPh sb="6" eb="7">
      <t>ネラ</t>
    </rPh>
    <rPh sb="9" eb="11">
      <t>ゼンチョウ</t>
    </rPh>
    <phoneticPr fontId="12"/>
  </si>
  <si>
    <t>φ11下穴</t>
    <rPh sb="3" eb="4">
      <t>シタ</t>
    </rPh>
    <rPh sb="4" eb="5">
      <t>アナ</t>
    </rPh>
    <phoneticPr fontId="12"/>
  </si>
  <si>
    <t>T34</t>
  </si>
  <si>
    <t>T37</t>
  </si>
  <si>
    <t>T38</t>
  </si>
  <si>
    <t>PLUG(23807-31160-0003B-C)　</t>
    <phoneticPr fontId="12"/>
  </si>
  <si>
    <t>寿命</t>
    <rPh sb="0" eb="2">
      <t>ジュミョウ</t>
    </rPh>
    <phoneticPr fontId="12"/>
  </si>
  <si>
    <t>工具寿命</t>
    <rPh sb="0" eb="2">
      <t>コウグ</t>
    </rPh>
    <rPh sb="2" eb="4">
      <t>ジュミョウ</t>
    </rPh>
    <phoneticPr fontId="12"/>
  </si>
  <si>
    <t>備考</t>
    <rPh sb="0" eb="2">
      <t>ビコウ</t>
    </rPh>
    <phoneticPr fontId="11"/>
  </si>
  <si>
    <t>T01</t>
    <phoneticPr fontId="11"/>
  </si>
  <si>
    <t>⑨㊱</t>
    <phoneticPr fontId="11"/>
  </si>
  <si>
    <t>㉓㉔㉕</t>
    <phoneticPr fontId="11"/>
  </si>
  <si>
    <t>②⑧</t>
    <phoneticPr fontId="11"/>
  </si>
  <si>
    <t>T07</t>
    <phoneticPr fontId="11"/>
  </si>
  <si>
    <t>③㉚㉛</t>
    <phoneticPr fontId="11"/>
  </si>
  <si>
    <t>③狙い値φ16.64</t>
    <rPh sb="1" eb="2">
      <t>ネラ</t>
    </rPh>
    <rPh sb="3" eb="4">
      <t>チ</t>
    </rPh>
    <phoneticPr fontId="11"/>
  </si>
  <si>
    <t>T08</t>
  </si>
  <si>
    <t>CCGT09T304MYL(DM4)</t>
    <phoneticPr fontId="12"/>
  </si>
  <si>
    <t>①⑩⑪㊱</t>
    <phoneticPr fontId="11"/>
  </si>
  <si>
    <t>⑩狙い値φ20.97</t>
    <rPh sb="1" eb="2">
      <t>ネラ</t>
    </rPh>
    <rPh sb="3" eb="4">
      <t>チ</t>
    </rPh>
    <phoneticPr fontId="11"/>
  </si>
  <si>
    <t>T09</t>
    <phoneticPr fontId="11"/>
  </si>
  <si>
    <t>GDM2020N-020PM(PR1225)</t>
    <phoneticPr fontId="12"/>
  </si>
  <si>
    <t>突切りホルダ</t>
    <rPh sb="0" eb="1">
      <t>ツ</t>
    </rPh>
    <rPh sb="1" eb="2">
      <t>キ</t>
    </rPh>
    <phoneticPr fontId="12"/>
  </si>
  <si>
    <t>KGDL1616JX-2</t>
    <phoneticPr fontId="12"/>
  </si>
  <si>
    <t>センター穴、φ3穴面</t>
    <rPh sb="4" eb="5">
      <t>アナ</t>
    </rPh>
    <rPh sb="8" eb="9">
      <t>アナ</t>
    </rPh>
    <rPh sb="9" eb="10">
      <t>メン</t>
    </rPh>
    <phoneticPr fontId="12"/>
  </si>
  <si>
    <t>T24</t>
    <phoneticPr fontId="12"/>
  </si>
  <si>
    <t>⑥</t>
    <phoneticPr fontId="11"/>
  </si>
  <si>
    <t>φ3穴</t>
    <rPh sb="2" eb="3">
      <t>アナ</t>
    </rPh>
    <phoneticPr fontId="12"/>
  </si>
  <si>
    <t>T26</t>
    <phoneticPr fontId="11"/>
  </si>
  <si>
    <t>溝入れ</t>
    <rPh sb="0" eb="2">
      <t>ミゾイ</t>
    </rPh>
    <phoneticPr fontId="12"/>
  </si>
  <si>
    <t>T27</t>
    <phoneticPr fontId="11"/>
  </si>
  <si>
    <t>90SPC2.0×6CBALD</t>
    <phoneticPr fontId="11"/>
  </si>
  <si>
    <t>センター穴、φ3穴面、スパナ掛け面取り</t>
    <rPh sb="4" eb="5">
      <t>アナ</t>
    </rPh>
    <rPh sb="8" eb="9">
      <t>アナ</t>
    </rPh>
    <rPh sb="9" eb="10">
      <t>メン</t>
    </rPh>
    <rPh sb="14" eb="15">
      <t>ガ</t>
    </rPh>
    <rPh sb="16" eb="18">
      <t>メント</t>
    </rPh>
    <phoneticPr fontId="11"/>
  </si>
  <si>
    <t>T32</t>
    <phoneticPr fontId="12"/>
  </si>
  <si>
    <t>スリーブ</t>
    <phoneticPr fontId="12"/>
  </si>
  <si>
    <t>EZH04025HP-135</t>
    <phoneticPr fontId="12"/>
  </si>
  <si>
    <t>T33</t>
  </si>
  <si>
    <t>ねじ切りチップ</t>
    <rPh sb="2" eb="3">
      <t>キ</t>
    </rPh>
    <phoneticPr fontId="12"/>
  </si>
  <si>
    <t>08IR60007(PR1115)</t>
    <phoneticPr fontId="12"/>
  </si>
  <si>
    <t>M12×1-6H</t>
    <phoneticPr fontId="12"/>
  </si>
  <si>
    <t>ねじ切りホルダ</t>
    <rPh sb="2" eb="3">
      <t>キ</t>
    </rPh>
    <phoneticPr fontId="12"/>
  </si>
  <si>
    <t>SINR0816S-08E</t>
    <phoneticPr fontId="12"/>
  </si>
  <si>
    <t xml:space="preserve"> ミスミ</t>
    <phoneticPr fontId="11"/>
  </si>
  <si>
    <t>SNCS-H H-V16.0-D25.0-L100.0</t>
    <phoneticPr fontId="11"/>
  </si>
  <si>
    <t>T35</t>
    <phoneticPr fontId="11"/>
  </si>
  <si>
    <t>CCGT09T302MN-FC(T1500A)</t>
    <phoneticPr fontId="12"/>
  </si>
  <si>
    <t>⑩</t>
    <phoneticPr fontId="11"/>
  </si>
  <si>
    <t>端面仕上げ、全長決め</t>
    <rPh sb="0" eb="1">
      <t>タン</t>
    </rPh>
    <rPh sb="1" eb="2">
      <t>メン</t>
    </rPh>
    <rPh sb="2" eb="4">
      <t>シア</t>
    </rPh>
    <rPh sb="6" eb="8">
      <t>ゼンチョウ</t>
    </rPh>
    <rPh sb="8" eb="9">
      <t>ギ</t>
    </rPh>
    <phoneticPr fontId="12"/>
  </si>
  <si>
    <t>外径スリーブホルダ</t>
    <rPh sb="0" eb="2">
      <t>ガイケイ</t>
    </rPh>
    <phoneticPr fontId="11"/>
  </si>
  <si>
    <t>RS25X-SCLL09</t>
    <phoneticPr fontId="11"/>
  </si>
  <si>
    <t>ドリル</t>
    <phoneticPr fontId="12"/>
  </si>
  <si>
    <t>MVE1100×02S110(DP1020)</t>
    <phoneticPr fontId="11"/>
  </si>
  <si>
    <t>φ11.14下穴</t>
    <rPh sb="6" eb="7">
      <t>シタ</t>
    </rPh>
    <rPh sb="7" eb="8">
      <t>アナ</t>
    </rPh>
    <phoneticPr fontId="12"/>
  </si>
  <si>
    <t>MVS0300×08S060(DP1020)</t>
    <phoneticPr fontId="11"/>
  </si>
  <si>
    <t>φ3穴ﾊﾞﾘ取り</t>
    <rPh sb="2" eb="3">
      <t>アナ</t>
    </rPh>
    <rPh sb="6" eb="7">
      <t>ト</t>
    </rPh>
    <phoneticPr fontId="12"/>
  </si>
  <si>
    <t>石川工具</t>
    <rPh sb="0" eb="2">
      <t>イシカワ</t>
    </rPh>
    <rPh sb="2" eb="4">
      <t>コウグ</t>
    </rPh>
    <phoneticPr fontId="12"/>
  </si>
  <si>
    <t>スパナ掛け面取り</t>
    <rPh sb="3" eb="4">
      <t>ガ</t>
    </rPh>
    <rPh sb="5" eb="7">
      <t>メント</t>
    </rPh>
    <phoneticPr fontId="11"/>
  </si>
  <si>
    <t>T07</t>
  </si>
  <si>
    <t>T22</t>
    <phoneticPr fontId="11"/>
  </si>
  <si>
    <t>T33</t>
    <phoneticPr fontId="11"/>
  </si>
  <si>
    <t>センター穴、φ3穴面</t>
    <rPh sb="4" eb="5">
      <t>アナ</t>
    </rPh>
    <rPh sb="8" eb="9">
      <t>アナ</t>
    </rPh>
    <rPh sb="9" eb="10">
      <t>メン</t>
    </rPh>
    <phoneticPr fontId="11"/>
  </si>
  <si>
    <t>T55</t>
    <phoneticPr fontId="11"/>
  </si>
  <si>
    <t>NC49 工具交換時 工程管理図番号チェック表（ B0326-Ⅱ）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</si>
  <si>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t>⑬⑭⑭’</t>
    <phoneticPr fontId="11"/>
  </si>
  <si>
    <t>CONNECTOR(23807-31160-0008)　</t>
    <phoneticPr fontId="12"/>
  </si>
  <si>
    <t>NC53 工具交換時 工程管理図番号チェック表（SS327）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</si>
  <si>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t>T01</t>
    <phoneticPr fontId="21"/>
  </si>
  <si>
    <t>センタードリル</t>
    <phoneticPr fontId="12"/>
  </si>
  <si>
    <t>イワタツール</t>
    <phoneticPr fontId="21"/>
  </si>
  <si>
    <t>90SPC2.0×6CBALD</t>
    <phoneticPr fontId="21"/>
  </si>
  <si>
    <t>㉔㉕</t>
    <phoneticPr fontId="21"/>
  </si>
  <si>
    <t>T02</t>
    <phoneticPr fontId="21"/>
  </si>
  <si>
    <t>テーパーエンドミル</t>
    <phoneticPr fontId="12"/>
  </si>
  <si>
    <t>ミスミ</t>
    <phoneticPr fontId="21"/>
  </si>
  <si>
    <t>TSC-TEM4R4-3</t>
    <phoneticPr fontId="21"/>
  </si>
  <si>
    <t>⑪⑫⑬</t>
    <phoneticPr fontId="21"/>
  </si>
  <si>
    <t>3°テーパーザグリ</t>
    <phoneticPr fontId="21"/>
  </si>
  <si>
    <t>T03</t>
    <phoneticPr fontId="21"/>
  </si>
  <si>
    <t>TAC-SDB4</t>
    <phoneticPr fontId="12"/>
  </si>
  <si>
    <t>⑩⑭</t>
    <phoneticPr fontId="21"/>
  </si>
  <si>
    <t>T04</t>
    <phoneticPr fontId="21"/>
  </si>
  <si>
    <t>エンドミル</t>
    <phoneticPr fontId="12"/>
  </si>
  <si>
    <t>OSG</t>
    <phoneticPr fontId="12"/>
  </si>
  <si>
    <t>FX-ZDS6</t>
    <phoneticPr fontId="12"/>
  </si>
  <si>
    <t>⑬</t>
    <phoneticPr fontId="21"/>
  </si>
  <si>
    <t>下穴深さ3.40～3.45狙い</t>
    <rPh sb="0" eb="2">
      <t>シタアナ</t>
    </rPh>
    <rPh sb="2" eb="3">
      <t>フカ</t>
    </rPh>
    <rPh sb="13" eb="14">
      <t>ネラ</t>
    </rPh>
    <phoneticPr fontId="21"/>
  </si>
  <si>
    <t>テーパーザグリ荒</t>
    <rPh sb="7" eb="8">
      <t>アラ</t>
    </rPh>
    <phoneticPr fontId="12"/>
  </si>
  <si>
    <t>T07</t>
    <phoneticPr fontId="12"/>
  </si>
  <si>
    <t>SCGT09T304L-FX(AC1030U)</t>
    <phoneticPr fontId="12"/>
  </si>
  <si>
    <t>⑤</t>
    <phoneticPr fontId="21"/>
  </si>
  <si>
    <t>端面仕上げ</t>
    <rPh sb="0" eb="2">
      <t>タンメン</t>
    </rPh>
    <rPh sb="2" eb="4">
      <t>シア</t>
    </rPh>
    <phoneticPr fontId="12"/>
  </si>
  <si>
    <t>T09</t>
    <phoneticPr fontId="21"/>
  </si>
  <si>
    <t>突切り（完成バイトをスペーサー、芯高調整用としてバイト奥、底に各1枚セット）</t>
    <rPh sb="0" eb="1">
      <t>ツ</t>
    </rPh>
    <rPh sb="1" eb="2">
      <t>キ</t>
    </rPh>
    <rPh sb="4" eb="6">
      <t>カンセイ</t>
    </rPh>
    <rPh sb="16" eb="17">
      <t>シン</t>
    </rPh>
    <rPh sb="17" eb="18">
      <t>タカ</t>
    </rPh>
    <rPh sb="18" eb="20">
      <t>チョウセイ</t>
    </rPh>
    <rPh sb="20" eb="21">
      <t>ヨウ</t>
    </rPh>
    <rPh sb="27" eb="28">
      <t>オク</t>
    </rPh>
    <rPh sb="29" eb="30">
      <t>ソコ</t>
    </rPh>
    <rPh sb="31" eb="32">
      <t>カク</t>
    </rPh>
    <rPh sb="33" eb="34">
      <t>マイ</t>
    </rPh>
    <phoneticPr fontId="12"/>
  </si>
  <si>
    <t>KGDL1212JX-2</t>
    <phoneticPr fontId="12"/>
  </si>
  <si>
    <t>完成バイト</t>
    <rPh sb="0" eb="2">
      <t>カンセイ</t>
    </rPh>
    <phoneticPr fontId="21"/>
  </si>
  <si>
    <t>ASSAB</t>
    <phoneticPr fontId="21"/>
  </si>
  <si>
    <t>12×4×160</t>
    <phoneticPr fontId="21"/>
  </si>
  <si>
    <t>T13</t>
    <phoneticPr fontId="21"/>
  </si>
  <si>
    <t>XAL-PEM4S 8</t>
    <phoneticPr fontId="21"/>
  </si>
  <si>
    <t>⑱⑲⑳</t>
    <phoneticPr fontId="21"/>
  </si>
  <si>
    <t>C2、C3ミーリング加工仕上げ</t>
    <rPh sb="10" eb="12">
      <t>カコウ</t>
    </rPh>
    <rPh sb="12" eb="14">
      <t>シア</t>
    </rPh>
    <phoneticPr fontId="12"/>
  </si>
  <si>
    <t>T27</t>
    <phoneticPr fontId="21"/>
  </si>
  <si>
    <t>溝入れチップ</t>
    <rPh sb="0" eb="1">
      <t>ミゾ</t>
    </rPh>
    <rPh sb="1" eb="2">
      <t>イ</t>
    </rPh>
    <phoneticPr fontId="12"/>
  </si>
  <si>
    <t>GDG3020N-020GS(PR1225)</t>
    <phoneticPr fontId="12"/>
  </si>
  <si>
    <t>幅3.0溝入れ</t>
    <rPh sb="0" eb="1">
      <t>ハバ</t>
    </rPh>
    <rPh sb="4" eb="5">
      <t>ミゾ</t>
    </rPh>
    <rPh sb="5" eb="6">
      <t>イ</t>
    </rPh>
    <phoneticPr fontId="11"/>
  </si>
  <si>
    <t>溝入れホルダ</t>
    <rPh sb="0" eb="1">
      <t>ミゾ</t>
    </rPh>
    <rPh sb="1" eb="2">
      <t>イ</t>
    </rPh>
    <phoneticPr fontId="12"/>
  </si>
  <si>
    <t>KGDR1616H-3T06</t>
    <phoneticPr fontId="12"/>
  </si>
  <si>
    <t>T31</t>
    <phoneticPr fontId="21"/>
  </si>
  <si>
    <t>裏バリカッター</t>
    <rPh sb="0" eb="1">
      <t>ウラ</t>
    </rPh>
    <phoneticPr fontId="12"/>
  </si>
  <si>
    <t>XEBEC</t>
    <phoneticPr fontId="12"/>
  </si>
  <si>
    <t>XC-33-A</t>
    <phoneticPr fontId="21"/>
  </si>
  <si>
    <t>㉓</t>
    <phoneticPr fontId="21"/>
  </si>
  <si>
    <t>交差穴バリ取り</t>
    <rPh sb="0" eb="3">
      <t>コウサアナ</t>
    </rPh>
    <rPh sb="5" eb="6">
      <t>ト</t>
    </rPh>
    <phoneticPr fontId="12"/>
  </si>
  <si>
    <t>T33</t>
    <phoneticPr fontId="21"/>
  </si>
  <si>
    <t>面取りカッター</t>
    <rPh sb="0" eb="2">
      <t>メント</t>
    </rPh>
    <phoneticPr fontId="12"/>
  </si>
  <si>
    <t>石川工具</t>
    <rPh sb="0" eb="2">
      <t>イシカワ</t>
    </rPh>
    <rPh sb="2" eb="4">
      <t>コウグ</t>
    </rPh>
    <phoneticPr fontId="21"/>
  </si>
  <si>
    <t>SP-SMC2060ACN</t>
    <phoneticPr fontId="21"/>
  </si>
  <si>
    <t>センター穴、外径面取り</t>
    <rPh sb="4" eb="5">
      <t>アナ</t>
    </rPh>
    <rPh sb="6" eb="8">
      <t>ガイケイ</t>
    </rPh>
    <rPh sb="8" eb="10">
      <t>メント</t>
    </rPh>
    <phoneticPr fontId="12"/>
  </si>
  <si>
    <t>T35</t>
    <phoneticPr fontId="21"/>
  </si>
  <si>
    <t>GBF32R300-010(PR1215)</t>
    <phoneticPr fontId="21"/>
  </si>
  <si>
    <t>S25.0H-KGBFL16</t>
    <phoneticPr fontId="21"/>
  </si>
  <si>
    <t>T36</t>
    <phoneticPr fontId="21"/>
  </si>
  <si>
    <t>⑦⑧</t>
    <phoneticPr fontId="21"/>
  </si>
  <si>
    <t>外径仕上げ</t>
    <rPh sb="0" eb="2">
      <t>ガイケイ</t>
    </rPh>
    <rPh sb="2" eb="4">
      <t>シア</t>
    </rPh>
    <phoneticPr fontId="12"/>
  </si>
  <si>
    <t>RS25X-SCLL09</t>
    <phoneticPr fontId="21"/>
  </si>
  <si>
    <t>Ｔ37</t>
    <phoneticPr fontId="21"/>
  </si>
  <si>
    <t>TAC-SDB3.8</t>
    <phoneticPr fontId="12"/>
  </si>
  <si>
    <t>⑨</t>
    <phoneticPr fontId="21"/>
  </si>
  <si>
    <t>φ3.8下穴</t>
    <rPh sb="4" eb="5">
      <t>シタ</t>
    </rPh>
    <rPh sb="5" eb="6">
      <t>アナ</t>
    </rPh>
    <phoneticPr fontId="12"/>
  </si>
  <si>
    <t>T38</t>
    <phoneticPr fontId="21"/>
  </si>
  <si>
    <t>ボーリングバー</t>
    <phoneticPr fontId="12"/>
  </si>
  <si>
    <t>SHFS030R015H(TM4)</t>
    <phoneticPr fontId="12"/>
  </si>
  <si>
    <t>⑨㉓</t>
    <phoneticPr fontId="21"/>
  </si>
  <si>
    <t>φ3.95穴仕上げ、バリ取り</t>
    <rPh sb="5" eb="6">
      <t>アナ</t>
    </rPh>
    <rPh sb="6" eb="8">
      <t>シア</t>
    </rPh>
    <rPh sb="12" eb="13">
      <t>ト</t>
    </rPh>
    <phoneticPr fontId="12"/>
  </si>
  <si>
    <t>EZH03025.0HP-135</t>
    <phoneticPr fontId="21"/>
  </si>
  <si>
    <t>SENSOR PLUG(15730-53SA0-0005)　</t>
    <phoneticPr fontId="12"/>
  </si>
  <si>
    <t>T02</t>
    <phoneticPr fontId="11"/>
  </si>
  <si>
    <t>SP-SMC2080ACN</t>
    <phoneticPr fontId="12"/>
  </si>
  <si>
    <t>R12.05先端部、裏面取り</t>
    <rPh sb="6" eb="8">
      <t>センタン</t>
    </rPh>
    <rPh sb="8" eb="9">
      <t>ブ</t>
    </rPh>
    <rPh sb="10" eb="11">
      <t>ウラ</t>
    </rPh>
    <rPh sb="11" eb="12">
      <t>メン</t>
    </rPh>
    <rPh sb="12" eb="13">
      <t>ド</t>
    </rPh>
    <phoneticPr fontId="12"/>
  </si>
  <si>
    <t>ラフィングエンドミル</t>
    <phoneticPr fontId="12"/>
  </si>
  <si>
    <t>SI-WC-RESF10</t>
    <phoneticPr fontId="12"/>
  </si>
  <si>
    <t>R12.05荒取り、スパナ掛け</t>
    <rPh sb="6" eb="7">
      <t>アラ</t>
    </rPh>
    <rPh sb="7" eb="8">
      <t>ド</t>
    </rPh>
    <rPh sb="13" eb="14">
      <t>ガ</t>
    </rPh>
    <phoneticPr fontId="12"/>
  </si>
  <si>
    <t>T04</t>
    <phoneticPr fontId="11"/>
  </si>
  <si>
    <t>NACHI</t>
    <phoneticPr fontId="12"/>
  </si>
  <si>
    <t>R12.05仕上げ</t>
    <rPh sb="6" eb="8">
      <t>シア</t>
    </rPh>
    <phoneticPr fontId="12"/>
  </si>
  <si>
    <t>T06</t>
    <phoneticPr fontId="11"/>
  </si>
  <si>
    <t>TBPA60FRPB10(ZM3)</t>
    <phoneticPr fontId="12"/>
  </si>
  <si>
    <t>φ26外径面取り</t>
    <phoneticPr fontId="12"/>
  </si>
  <si>
    <t>CTPAR16</t>
    <phoneticPr fontId="12"/>
  </si>
  <si>
    <t>CCGT09T304MYL(QM3)</t>
    <phoneticPr fontId="12"/>
  </si>
  <si>
    <t>φ26外径仕上げ</t>
    <rPh sb="3" eb="5">
      <t>ガイケイ</t>
    </rPh>
    <rPh sb="5" eb="7">
      <t>シア</t>
    </rPh>
    <phoneticPr fontId="12"/>
  </si>
  <si>
    <t>T21</t>
    <phoneticPr fontId="12"/>
  </si>
  <si>
    <t>MVS0300×05S030(DP1020)</t>
    <phoneticPr fontId="12"/>
  </si>
  <si>
    <t>完成品でチェック</t>
    <rPh sb="0" eb="3">
      <t>カンセイヒン</t>
    </rPh>
    <phoneticPr fontId="11"/>
  </si>
  <si>
    <t>φ3.2下穴</t>
    <rPh sb="4" eb="5">
      <t>シタ</t>
    </rPh>
    <rPh sb="5" eb="6">
      <t>アナ</t>
    </rPh>
    <phoneticPr fontId="12"/>
  </si>
  <si>
    <t>CCET060202MFL-U(PV720)</t>
    <phoneticPr fontId="11"/>
  </si>
  <si>
    <t>R部荒取り</t>
    <rPh sb="1" eb="2">
      <t>ブ</t>
    </rPh>
    <rPh sb="2" eb="3">
      <t>アラ</t>
    </rPh>
    <rPh sb="3" eb="4">
      <t>ド</t>
    </rPh>
    <phoneticPr fontId="12"/>
  </si>
  <si>
    <t>A12M-SCLCR06-14A</t>
    <phoneticPr fontId="11"/>
  </si>
  <si>
    <t>SHA1225.0-135</t>
    <phoneticPr fontId="11"/>
  </si>
  <si>
    <t>T23</t>
    <phoneticPr fontId="12"/>
  </si>
  <si>
    <t>MVE1200×02S120(DP1020)</t>
    <phoneticPr fontId="12"/>
  </si>
  <si>
    <t>φ12下穴</t>
    <rPh sb="3" eb="4">
      <t>シタ</t>
    </rPh>
    <rPh sb="4" eb="5">
      <t>アナ</t>
    </rPh>
    <phoneticPr fontId="12"/>
  </si>
  <si>
    <t>T24</t>
    <phoneticPr fontId="11"/>
  </si>
  <si>
    <t>ドリルヘッド</t>
    <phoneticPr fontId="12"/>
  </si>
  <si>
    <t>φ19下穴</t>
    <rPh sb="3" eb="4">
      <t>シタ</t>
    </rPh>
    <rPh sb="4" eb="5">
      <t>アナ</t>
    </rPh>
    <phoneticPr fontId="12"/>
  </si>
  <si>
    <t>ドリルホルダ</t>
    <phoneticPr fontId="12"/>
  </si>
  <si>
    <t>DRILLMEISTAR TID190F25-1.5</t>
    <phoneticPr fontId="11"/>
  </si>
  <si>
    <t>GDM3020N-025PM(PR1225)</t>
    <phoneticPr fontId="12"/>
  </si>
  <si>
    <t>φ17外径荒取り</t>
    <rPh sb="3" eb="5">
      <t>ガイケイ</t>
    </rPh>
    <rPh sb="5" eb="6">
      <t>アラ</t>
    </rPh>
    <rPh sb="6" eb="7">
      <t>ド</t>
    </rPh>
    <phoneticPr fontId="12"/>
  </si>
  <si>
    <t>φ17外径荒取り</t>
    <rPh sb="3" eb="5">
      <t>ガイケイ</t>
    </rPh>
    <rPh sb="5" eb="6">
      <t>アラ</t>
    </rPh>
    <rPh sb="6" eb="7">
      <t>ド</t>
    </rPh>
    <phoneticPr fontId="11"/>
  </si>
  <si>
    <t>φ11C面、内径荒取り</t>
    <rPh sb="4" eb="5">
      <t>メン</t>
    </rPh>
    <rPh sb="6" eb="8">
      <t>ナイケイ</t>
    </rPh>
    <rPh sb="8" eb="9">
      <t>アラ</t>
    </rPh>
    <rPh sb="9" eb="10">
      <t>ト</t>
    </rPh>
    <phoneticPr fontId="12"/>
  </si>
  <si>
    <t>EZH04025.0HP-135</t>
    <phoneticPr fontId="11"/>
  </si>
  <si>
    <t>T32</t>
    <phoneticPr fontId="11"/>
  </si>
  <si>
    <t>特注品ワイパーチップ</t>
    <rPh sb="0" eb="2">
      <t>トクチュウ</t>
    </rPh>
    <rPh sb="2" eb="3">
      <t>ヒン</t>
    </rPh>
    <phoneticPr fontId="11"/>
  </si>
  <si>
    <t>120°テーパー部、内径仕上げ</t>
    <rPh sb="8" eb="9">
      <t>ブ</t>
    </rPh>
    <rPh sb="10" eb="12">
      <t>ナイケイ</t>
    </rPh>
    <rPh sb="12" eb="14">
      <t>シア</t>
    </rPh>
    <phoneticPr fontId="12"/>
  </si>
  <si>
    <t>C045F-MBR</t>
    <phoneticPr fontId="11"/>
  </si>
  <si>
    <t>EZH04525.0HP-135</t>
    <phoneticPr fontId="11"/>
  </si>
  <si>
    <t>M10×1.0-5G</t>
    <phoneticPr fontId="12"/>
  </si>
  <si>
    <t>SHFS030R015S(TM4)</t>
    <phoneticPr fontId="11"/>
  </si>
  <si>
    <t>C0.35、φ3.2穴仕上げ、バリ取り</t>
    <rPh sb="10" eb="11">
      <t>アナ</t>
    </rPh>
    <rPh sb="11" eb="13">
      <t>シア</t>
    </rPh>
    <rPh sb="17" eb="18">
      <t>ト</t>
    </rPh>
    <phoneticPr fontId="12"/>
  </si>
  <si>
    <t>EZH03025.0HP-135</t>
    <phoneticPr fontId="12"/>
  </si>
  <si>
    <t>T35</t>
  </si>
  <si>
    <t>DCGT11T304MYL(QM3)</t>
    <phoneticPr fontId="11"/>
  </si>
  <si>
    <t>全長、φ17外径仕上げ</t>
    <rPh sb="0" eb="2">
      <t>ゼンチョウ</t>
    </rPh>
    <rPh sb="6" eb="8">
      <t>ガイケイ</t>
    </rPh>
    <rPh sb="8" eb="10">
      <t>シア</t>
    </rPh>
    <phoneticPr fontId="12"/>
  </si>
  <si>
    <t>DS-SDUL25-11MET</t>
    <phoneticPr fontId="11"/>
  </si>
  <si>
    <t>T36</t>
  </si>
  <si>
    <t>T37</t>
    <phoneticPr fontId="12"/>
  </si>
  <si>
    <t>MVE0900×03S090(DP1020)</t>
    <phoneticPr fontId="12"/>
  </si>
  <si>
    <t>φ9下穴</t>
    <rPh sb="2" eb="3">
      <t>シタ</t>
    </rPh>
    <rPh sb="3" eb="4">
      <t>アナ</t>
    </rPh>
    <phoneticPr fontId="12"/>
  </si>
  <si>
    <t>90SPC2.5×8CBALD</t>
    <phoneticPr fontId="12"/>
  </si>
  <si>
    <t>センター穴</t>
    <rPh sb="4" eb="5">
      <t>アナ</t>
    </rPh>
    <phoneticPr fontId="12"/>
  </si>
  <si>
    <r>
      <t>※</t>
    </r>
    <r>
      <rPr>
        <sz val="12"/>
        <color theme="1"/>
        <rFont val="ＭＳ Ｐゴシック"/>
        <family val="3"/>
        <charset val="128"/>
      </rPr>
      <t>T07⒵摩耗に-0.5を入力し⒳の寸法を計測する事</t>
    </r>
    <r>
      <rPr>
        <sz val="12"/>
        <color rgb="FFFF0000"/>
        <rFont val="ＭＳ Ｐゴシック"/>
        <family val="3"/>
        <charset val="128"/>
      </rPr>
      <t>（計測後-0.5の戻し忘れに注意）</t>
    </r>
    <rPh sb="5" eb="7">
      <t>マモウ</t>
    </rPh>
    <rPh sb="13" eb="15">
      <t>ニュウリョク</t>
    </rPh>
    <rPh sb="18" eb="20">
      <t>スンポウ</t>
    </rPh>
    <rPh sb="21" eb="23">
      <t>ケイソク</t>
    </rPh>
    <rPh sb="25" eb="26">
      <t>コト</t>
    </rPh>
    <rPh sb="27" eb="30">
      <t>ケイソクゴ</t>
    </rPh>
    <rPh sb="35" eb="36">
      <t>モド</t>
    </rPh>
    <rPh sb="37" eb="38">
      <t>ワス</t>
    </rPh>
    <rPh sb="40" eb="42">
      <t>チュウイ</t>
    </rPh>
    <phoneticPr fontId="12"/>
  </si>
  <si>
    <r>
      <t>※</t>
    </r>
    <r>
      <rPr>
        <sz val="12"/>
        <color theme="1"/>
        <rFont val="ＭＳ Ｐゴシック"/>
        <family val="3"/>
        <charset val="128"/>
      </rPr>
      <t>T03⒵摩耗に-0.5を入力し⒳の寸法を計測する事</t>
    </r>
    <r>
      <rPr>
        <sz val="12"/>
        <color rgb="FFFF0000"/>
        <rFont val="ＭＳ Ｐゴシック"/>
        <family val="3"/>
        <charset val="128"/>
      </rPr>
      <t>（計測後-0.5の戻し忘れに注意）</t>
    </r>
    <rPh sb="5" eb="7">
      <t>マモウ</t>
    </rPh>
    <rPh sb="13" eb="15">
      <t>ニュウリョク</t>
    </rPh>
    <rPh sb="18" eb="20">
      <t>スンポウ</t>
    </rPh>
    <rPh sb="21" eb="23">
      <t>ケイソク</t>
    </rPh>
    <rPh sb="25" eb="26">
      <t>コト</t>
    </rPh>
    <rPh sb="27" eb="30">
      <t>ケイソクゴ</t>
    </rPh>
    <rPh sb="35" eb="36">
      <t>モド</t>
    </rPh>
    <rPh sb="37" eb="38">
      <t>ワス</t>
    </rPh>
    <rPh sb="40" eb="42">
      <t>チュウイ</t>
    </rPh>
    <phoneticPr fontId="12"/>
  </si>
  <si>
    <t>ADAPTER,PRESSURE SENSOR (418600843002)　</t>
    <phoneticPr fontId="12"/>
  </si>
  <si>
    <t>NC76 工具交換時 工程管理図番号チェック表（BO326-Ⅱ）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</si>
  <si>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t>90SPC2.0×6CBALD</t>
    <phoneticPr fontId="12"/>
  </si>
  <si>
    <t>㉚</t>
    <phoneticPr fontId="11"/>
  </si>
  <si>
    <t>φ2.45センター穴、C1.1</t>
    <rPh sb="9" eb="10">
      <t>アナ</t>
    </rPh>
    <phoneticPr fontId="12"/>
  </si>
  <si>
    <t>T02</t>
    <phoneticPr fontId="12"/>
  </si>
  <si>
    <t>WX-MS-GDS φ2.45</t>
    <phoneticPr fontId="12"/>
  </si>
  <si>
    <t>φ2.45穴</t>
    <rPh sb="5" eb="6">
      <t>アナ</t>
    </rPh>
    <phoneticPr fontId="12"/>
  </si>
  <si>
    <t>T03</t>
    <phoneticPr fontId="11"/>
  </si>
  <si>
    <t>NACHI</t>
    <phoneticPr fontId="11"/>
  </si>
  <si>
    <t>GSXVL4100T-R10-2.5D</t>
    <phoneticPr fontId="11"/>
  </si>
  <si>
    <t>⑧⑯⑰⑱㉒</t>
    <phoneticPr fontId="11"/>
  </si>
  <si>
    <t>R8.575、2面幅仕上げ</t>
    <rPh sb="8" eb="9">
      <t>メン</t>
    </rPh>
    <rPh sb="9" eb="10">
      <t>ハバ</t>
    </rPh>
    <rPh sb="10" eb="12">
      <t>シア</t>
    </rPh>
    <phoneticPr fontId="11"/>
  </si>
  <si>
    <t>GDM2020N-020PM (PR1535)</t>
    <phoneticPr fontId="12"/>
  </si>
  <si>
    <t>突切りホルダ</t>
    <rPh sb="0" eb="1">
      <t>ツ</t>
    </rPh>
    <rPh sb="1" eb="2">
      <t>キリ</t>
    </rPh>
    <phoneticPr fontId="12"/>
  </si>
  <si>
    <t>面取りカッタ</t>
    <rPh sb="0" eb="2">
      <t>メント</t>
    </rPh>
    <phoneticPr fontId="11"/>
  </si>
  <si>
    <t>三菱</t>
    <rPh sb="0" eb="2">
      <t>ミツビシ</t>
    </rPh>
    <phoneticPr fontId="11"/>
  </si>
  <si>
    <t>VC-2C1000</t>
    <phoneticPr fontId="11"/>
  </si>
  <si>
    <t>R8.575、2面幅面取り</t>
    <rPh sb="8" eb="9">
      <t>メン</t>
    </rPh>
    <rPh sb="9" eb="10">
      <t>ハバ</t>
    </rPh>
    <rPh sb="10" eb="12">
      <t>メント</t>
    </rPh>
    <phoneticPr fontId="11"/>
  </si>
  <si>
    <t>T14</t>
    <phoneticPr fontId="11"/>
  </si>
  <si>
    <t>ラフィングエンドミル</t>
    <phoneticPr fontId="11"/>
  </si>
  <si>
    <t>OSG</t>
    <phoneticPr fontId="11"/>
  </si>
  <si>
    <t>SI-WC-RESF-10H</t>
    <phoneticPr fontId="11"/>
  </si>
  <si>
    <t>R8.575、2面幅荒取り</t>
    <rPh sb="8" eb="9">
      <t>メン</t>
    </rPh>
    <rPh sb="9" eb="10">
      <t>ハバ</t>
    </rPh>
    <rPh sb="10" eb="11">
      <t>アラ</t>
    </rPh>
    <rPh sb="11" eb="12">
      <t>ド</t>
    </rPh>
    <phoneticPr fontId="11"/>
  </si>
  <si>
    <t>T22</t>
  </si>
  <si>
    <t>ADO-SUS-2.7-3D</t>
    <phoneticPr fontId="11"/>
  </si>
  <si>
    <t>⑫</t>
    <phoneticPr fontId="11"/>
  </si>
  <si>
    <t>φ2.7穴</t>
    <rPh sb="4" eb="5">
      <t>アナ</t>
    </rPh>
    <phoneticPr fontId="11"/>
  </si>
  <si>
    <t>ADO-SUS-5-3D</t>
    <phoneticPr fontId="11"/>
  </si>
  <si>
    <t>③⑬</t>
    <phoneticPr fontId="11"/>
  </si>
  <si>
    <t>φ5穴</t>
    <rPh sb="2" eb="3">
      <t>アナ</t>
    </rPh>
    <phoneticPr fontId="11"/>
  </si>
  <si>
    <t>T26</t>
    <phoneticPr fontId="12"/>
  </si>
  <si>
    <t>GDM2520N-020PM (PR1535)</t>
    <phoneticPr fontId="12"/>
  </si>
  <si>
    <t>溝入れ</t>
    <rPh sb="0" eb="1">
      <t>ミゾ</t>
    </rPh>
    <rPh sb="1" eb="2">
      <t>イ</t>
    </rPh>
    <phoneticPr fontId="12"/>
  </si>
  <si>
    <t>KGDR1616H-2T06</t>
    <phoneticPr fontId="12"/>
  </si>
  <si>
    <t>T27</t>
    <phoneticPr fontId="12"/>
  </si>
  <si>
    <t>DCGT11T304MYL(ST4)</t>
    <phoneticPr fontId="12"/>
  </si>
  <si>
    <t>①②</t>
    <phoneticPr fontId="11"/>
  </si>
  <si>
    <t>SDJCR1616JX-11FF</t>
    <phoneticPr fontId="12"/>
  </si>
  <si>
    <t>T31</t>
  </si>
  <si>
    <t>超硬ソリッド球面カッター</t>
    <rPh sb="0" eb="2">
      <t>チョウコウ</t>
    </rPh>
    <rPh sb="6" eb="8">
      <t>キュウメン</t>
    </rPh>
    <phoneticPr fontId="11"/>
  </si>
  <si>
    <t>栄工舎</t>
    <rPh sb="0" eb="3">
      <t>エイコウシャ</t>
    </rPh>
    <phoneticPr fontId="11"/>
  </si>
  <si>
    <t>R1×10 CSQCS2-A MI</t>
    <phoneticPr fontId="11"/>
  </si>
  <si>
    <t>バリの有無注意</t>
    <rPh sb="3" eb="5">
      <t>ウム</t>
    </rPh>
    <rPh sb="5" eb="7">
      <t>チュウイ</t>
    </rPh>
    <phoneticPr fontId="11"/>
  </si>
  <si>
    <t>φ2.45穴裏面取り</t>
    <rPh sb="5" eb="6">
      <t>アナ</t>
    </rPh>
    <rPh sb="6" eb="7">
      <t>ウラ</t>
    </rPh>
    <rPh sb="7" eb="9">
      <t>メント</t>
    </rPh>
    <phoneticPr fontId="11"/>
  </si>
  <si>
    <t>T32</t>
  </si>
  <si>
    <t>フラットドリル</t>
    <phoneticPr fontId="11"/>
  </si>
  <si>
    <t>ADFO-3D φ10.3</t>
    <phoneticPr fontId="11"/>
  </si>
  <si>
    <t>φ10.5下穴</t>
    <rPh sb="5" eb="6">
      <t>シタ</t>
    </rPh>
    <rPh sb="6" eb="7">
      <t>アナ</t>
    </rPh>
    <phoneticPr fontId="11"/>
  </si>
  <si>
    <t>イスカル</t>
    <phoneticPr fontId="12"/>
  </si>
  <si>
    <t>PICCO R010.1005-20 IC1008</t>
    <phoneticPr fontId="11"/>
  </si>
  <si>
    <t>φ10.5内径奥溝仕上げ</t>
    <rPh sb="5" eb="7">
      <t>ナイケイ</t>
    </rPh>
    <rPh sb="7" eb="8">
      <t>オク</t>
    </rPh>
    <rPh sb="8" eb="9">
      <t>ミゾ</t>
    </rPh>
    <rPh sb="9" eb="11">
      <t>シア</t>
    </rPh>
    <phoneticPr fontId="11"/>
  </si>
  <si>
    <t>PICCO ACE 25-7</t>
    <phoneticPr fontId="12"/>
  </si>
  <si>
    <t>Carmex</t>
    <phoneticPr fontId="12"/>
  </si>
  <si>
    <t>08 IR 1.5 ISO BXC</t>
    <phoneticPr fontId="12"/>
  </si>
  <si>
    <t>⑤⑲</t>
    <phoneticPr fontId="11"/>
  </si>
  <si>
    <t>M12×1.5-6H仕上げ</t>
    <rPh sb="10" eb="12">
      <t>シア</t>
    </rPh>
    <phoneticPr fontId="12"/>
  </si>
  <si>
    <t>SIR 0007 K08CB</t>
    <phoneticPr fontId="12"/>
  </si>
  <si>
    <t>EZH08025.0HP-135</t>
    <phoneticPr fontId="12"/>
  </si>
  <si>
    <t>DCGT11T304MYL(ST4)</t>
    <phoneticPr fontId="11"/>
  </si>
  <si>
    <t>②</t>
    <phoneticPr fontId="11"/>
  </si>
  <si>
    <t>端面仕上げ</t>
    <rPh sb="0" eb="2">
      <t>タンメン</t>
    </rPh>
    <rPh sb="2" eb="4">
      <t>シア</t>
    </rPh>
    <phoneticPr fontId="11"/>
  </si>
  <si>
    <t>T36</t>
    <phoneticPr fontId="11"/>
  </si>
  <si>
    <t>60SPC2.0×6CBALD</t>
    <phoneticPr fontId="12"/>
  </si>
  <si>
    <t>⑪</t>
    <phoneticPr fontId="11"/>
  </si>
  <si>
    <t>センター穴、60°テーパー</t>
    <rPh sb="4" eb="5">
      <t>アナ</t>
    </rPh>
    <phoneticPr fontId="12"/>
  </si>
  <si>
    <t>M12×1.5-6H粗</t>
    <rPh sb="10" eb="11">
      <t>アラ</t>
    </rPh>
    <phoneticPr fontId="12"/>
  </si>
  <si>
    <t>EPGT040104F-JS(SH725)</t>
    <phoneticPr fontId="11"/>
  </si>
  <si>
    <t>⑨</t>
    <phoneticPr fontId="11"/>
  </si>
  <si>
    <t>・専用ピンゲージにて内径チェック
・深さ15.00狙い</t>
    <rPh sb="1" eb="3">
      <t>センヨウ</t>
    </rPh>
    <rPh sb="10" eb="12">
      <t>ナイケイ</t>
    </rPh>
    <rPh sb="18" eb="19">
      <t>フカ</t>
    </rPh>
    <rPh sb="25" eb="26">
      <t>ネラ</t>
    </rPh>
    <phoneticPr fontId="11"/>
  </si>
  <si>
    <t>φ10.5内径仕上げ</t>
    <rPh sb="5" eb="7">
      <t>ナイケイ</t>
    </rPh>
    <rPh sb="7" eb="9">
      <t>シア</t>
    </rPh>
    <phoneticPr fontId="11"/>
  </si>
  <si>
    <t>E05G-SEXPR04-D055</t>
    <phoneticPr fontId="11"/>
  </si>
  <si>
    <t>EZH05025.0HP-135</t>
    <phoneticPr fontId="12"/>
  </si>
  <si>
    <t>NC77 工具交換時 工程管理図番号チェック表（BO326-Ⅱ）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</si>
  <si>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r>
      <rPr>
        <sz val="12"/>
        <color rgb="FFFF0000"/>
        <rFont val="ＭＳ Ｐゴシック"/>
        <family val="3"/>
        <charset val="128"/>
      </rPr>
      <t>※</t>
    </r>
    <r>
      <rPr>
        <sz val="12"/>
        <color theme="1"/>
        <rFont val="ＭＳ Ｐゴシック"/>
        <family val="3"/>
        <charset val="128"/>
      </rPr>
      <t>深さ14.90～14.95狙い</t>
    </r>
    <rPh sb="1" eb="2">
      <t>フカ</t>
    </rPh>
    <rPh sb="14" eb="15">
      <t>ネラ</t>
    </rPh>
    <phoneticPr fontId="11"/>
  </si>
  <si>
    <r>
      <t>※</t>
    </r>
    <r>
      <rPr>
        <sz val="12"/>
        <rFont val="ＭＳ Ｐゴシック"/>
        <family val="3"/>
        <charset val="128"/>
      </rPr>
      <t>全長23.50の場合</t>
    </r>
    <rPh sb="1" eb="3">
      <t>ゼンチョウ</t>
    </rPh>
    <rPh sb="9" eb="11">
      <t>バアイ</t>
    </rPh>
    <phoneticPr fontId="11"/>
  </si>
  <si>
    <r>
      <rPr>
        <sz val="12"/>
        <color rgb="FFFF0000"/>
        <rFont val="ＭＳ Ｐゴシック"/>
        <family val="3"/>
        <charset val="128"/>
      </rPr>
      <t>赤：超硬　</t>
    </r>
    <r>
      <rPr>
        <sz val="12"/>
        <color theme="7"/>
        <rFont val="ＭＳ Ｐゴシック"/>
        <family val="3"/>
        <charset val="128"/>
      </rPr>
      <t>黄色：サーメット、ハイス</t>
    </r>
    <rPh sb="0" eb="1">
      <t>アカ</t>
    </rPh>
    <rPh sb="2" eb="4">
      <t>チョウコウ</t>
    </rPh>
    <rPh sb="5" eb="7">
      <t>キイロ</t>
    </rPh>
    <phoneticPr fontId="11"/>
  </si>
  <si>
    <t>専用ピンゲージでチェック
φ3.95入口Ｃ面の大きさ注意</t>
    <rPh sb="0" eb="2">
      <t>センヨウ</t>
    </rPh>
    <rPh sb="18" eb="20">
      <t>イリグチ</t>
    </rPh>
    <rPh sb="21" eb="22">
      <t>メン</t>
    </rPh>
    <rPh sb="23" eb="24">
      <t>オオ</t>
    </rPh>
    <rPh sb="26" eb="28">
      <t>チュウイ</t>
    </rPh>
    <phoneticPr fontId="21"/>
  </si>
  <si>
    <t>交差穴ﾊﾞﾘ無き事</t>
    <rPh sb="0" eb="3">
      <t>コウサアナ</t>
    </rPh>
    <rPh sb="6" eb="7">
      <t>ナ</t>
    </rPh>
    <rPh sb="8" eb="9">
      <t>コト</t>
    </rPh>
    <phoneticPr fontId="11"/>
  </si>
  <si>
    <t>センター穴、面取り</t>
    <rPh sb="4" eb="5">
      <t>アナ</t>
    </rPh>
    <rPh sb="6" eb="8">
      <t>メント</t>
    </rPh>
    <phoneticPr fontId="12"/>
  </si>
  <si>
    <t>φ3.5穴仕上げ</t>
    <rPh sb="4" eb="5">
      <t>アナ</t>
    </rPh>
    <rPh sb="5" eb="7">
      <t>シア</t>
    </rPh>
    <phoneticPr fontId="12"/>
  </si>
  <si>
    <t>⑱</t>
    <phoneticPr fontId="11"/>
  </si>
  <si>
    <t>CSRM3.5</t>
    <phoneticPr fontId="12"/>
  </si>
  <si>
    <t>栄工舎</t>
    <rPh sb="0" eb="3">
      <t>エイコウシャ</t>
    </rPh>
    <phoneticPr fontId="12"/>
  </si>
  <si>
    <t>ソリッドリーマ</t>
    <phoneticPr fontId="12"/>
  </si>
  <si>
    <t>φ3.4下穴</t>
    <rPh sb="4" eb="5">
      <t>シタ</t>
    </rPh>
    <rPh sb="5" eb="6">
      <t>アナ</t>
    </rPh>
    <phoneticPr fontId="12"/>
  </si>
  <si>
    <t>MVS0340×10S040(DP1020)</t>
    <phoneticPr fontId="12"/>
  </si>
  <si>
    <t>SDJCR1212JX-11FF</t>
    <phoneticPr fontId="12"/>
  </si>
  <si>
    <t>①③⑬⑳㉓</t>
    <phoneticPr fontId="11"/>
  </si>
  <si>
    <t>DCGT11T304MFP-GF(PR1725)</t>
    <phoneticPr fontId="12"/>
  </si>
  <si>
    <t>T31</t>
    <phoneticPr fontId="11"/>
  </si>
  <si>
    <t>MVS0340×05S040(DP1020)</t>
    <phoneticPr fontId="12"/>
  </si>
  <si>
    <t>外径荒取り</t>
    <rPh sb="0" eb="2">
      <t>ガイケイ</t>
    </rPh>
    <rPh sb="2" eb="3">
      <t>アラ</t>
    </rPh>
    <rPh sb="3" eb="4">
      <t>ト</t>
    </rPh>
    <phoneticPr fontId="12"/>
  </si>
  <si>
    <t>DCGT11T304(PV720)</t>
    <phoneticPr fontId="12"/>
  </si>
  <si>
    <t>T05</t>
    <phoneticPr fontId="12"/>
  </si>
  <si>
    <t>T05</t>
    <phoneticPr fontId="11"/>
  </si>
  <si>
    <t>①③⑥⑦⑪⑫⑮⑰㉔</t>
    <phoneticPr fontId="11"/>
  </si>
  <si>
    <t>T04</t>
    <phoneticPr fontId="12"/>
  </si>
  <si>
    <t>GTTR12K15</t>
    <phoneticPr fontId="12"/>
  </si>
  <si>
    <t>2mm溝入れ（外径荒、仕上げ）</t>
    <rPh sb="3" eb="4">
      <t>ミゾ</t>
    </rPh>
    <rPh sb="4" eb="5">
      <t>イ</t>
    </rPh>
    <rPh sb="7" eb="9">
      <t>ガイケイ</t>
    </rPh>
    <rPh sb="9" eb="10">
      <t>アラ</t>
    </rPh>
    <rPh sb="11" eb="13">
      <t>シア</t>
    </rPh>
    <phoneticPr fontId="12"/>
  </si>
  <si>
    <t>⑧⑲㉑㊷</t>
    <phoneticPr fontId="11"/>
  </si>
  <si>
    <t>GTMH32200RGX02(TM4)</t>
    <phoneticPr fontId="12"/>
  </si>
  <si>
    <t>T03</t>
    <phoneticPr fontId="12"/>
  </si>
  <si>
    <t>KGDR1212JX-2</t>
    <phoneticPr fontId="12"/>
  </si>
  <si>
    <t>φ8.15溝、R0.2、R1仕上げ</t>
    <rPh sb="5" eb="6">
      <t>ミゾ</t>
    </rPh>
    <rPh sb="14" eb="16">
      <t>シア</t>
    </rPh>
    <phoneticPr fontId="12"/>
  </si>
  <si>
    <t>④⑤⑭㉖</t>
    <phoneticPr fontId="11"/>
  </si>
  <si>
    <t>GTMH32150RGX01(TM4)</t>
    <phoneticPr fontId="12"/>
  </si>
  <si>
    <t>加工工程</t>
    <phoneticPr fontId="12"/>
  </si>
  <si>
    <t>NC66 工具交換時 工程管理図番号チェック表（NN-20UB8）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</si>
  <si>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t xml:space="preserve">FIR TREE(23807-31160-0006)　消耗工具品名 </t>
    <rPh sb="27" eb="31">
      <t>ショウモウコウグ</t>
    </rPh>
    <rPh sb="31" eb="33">
      <t>ヒンメイ</t>
    </rPh>
    <phoneticPr fontId="12"/>
  </si>
  <si>
    <t>T40</t>
    <phoneticPr fontId="12"/>
  </si>
  <si>
    <t>T30</t>
    <phoneticPr fontId="11"/>
  </si>
  <si>
    <t>NC64 工具交換時 工程管理図番号チェック表（NN-20J2）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</si>
  <si>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t>刃物の幅注意1.5㎜</t>
    <rPh sb="0" eb="2">
      <t>ハモノ</t>
    </rPh>
    <rPh sb="3" eb="4">
      <t>ハバ</t>
    </rPh>
    <rPh sb="4" eb="6">
      <t>チュウイ</t>
    </rPh>
    <phoneticPr fontId="12"/>
  </si>
  <si>
    <t>INJECTOR CUP (U2-019IC2584-00)消耗工具品名　</t>
    <rPh sb="30" eb="32">
      <t>ショウモウ</t>
    </rPh>
    <rPh sb="32" eb="34">
      <t>コウグ</t>
    </rPh>
    <rPh sb="34" eb="36">
      <t>ヒンメイ</t>
    </rPh>
    <phoneticPr fontId="12"/>
  </si>
  <si>
    <t>NC69 工具交換時 工程管理図番号チェック表（NN-32YB2XB）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</si>
  <si>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t>使用回数</t>
    <rPh sb="0" eb="2">
      <t>シヨウ</t>
    </rPh>
    <rPh sb="2" eb="3">
      <t>カイ</t>
    </rPh>
    <rPh sb="3" eb="4">
      <t>スウ</t>
    </rPh>
    <phoneticPr fontId="12"/>
  </si>
  <si>
    <t>社内研磨=○</t>
    <rPh sb="0" eb="2">
      <t>シャナイ</t>
    </rPh>
    <rPh sb="2" eb="4">
      <t>ケンマ</t>
    </rPh>
    <phoneticPr fontId="11"/>
  </si>
  <si>
    <t>使用個数</t>
    <rPh sb="0" eb="2">
      <t>シヨウ</t>
    </rPh>
    <rPh sb="2" eb="4">
      <t>コスウ</t>
    </rPh>
    <phoneticPr fontId="11"/>
  </si>
  <si>
    <t>安全在庫数</t>
    <rPh sb="0" eb="2">
      <t>アンゼン</t>
    </rPh>
    <rPh sb="2" eb="4">
      <t>ザイコ</t>
    </rPh>
    <rPh sb="4" eb="5">
      <t>スウ</t>
    </rPh>
    <phoneticPr fontId="11"/>
  </si>
  <si>
    <t>外注研磨=●</t>
    <rPh sb="0" eb="2">
      <t>ガイチュウ</t>
    </rPh>
    <rPh sb="2" eb="4">
      <t>ケンマ</t>
    </rPh>
    <phoneticPr fontId="11"/>
  </si>
  <si>
    <t>TNMG160408R-HM(AC6030M)</t>
    <phoneticPr fontId="12"/>
  </si>
  <si>
    <t>DTGNR1616-H16</t>
    <phoneticPr fontId="12"/>
  </si>
  <si>
    <t>DCMT11T304-FV(VP15TF)</t>
    <phoneticPr fontId="11"/>
  </si>
  <si>
    <t>SDJCR1616JX-11FF</t>
    <phoneticPr fontId="11"/>
  </si>
  <si>
    <t>VBGT110302MR-F(PR1225)</t>
    <phoneticPr fontId="11"/>
  </si>
  <si>
    <t>㊸㊹㊺</t>
    <phoneticPr fontId="11"/>
  </si>
  <si>
    <t>ツバ裏17°テーパー</t>
    <rPh sb="2" eb="3">
      <t>ウラ</t>
    </rPh>
    <phoneticPr fontId="12"/>
  </si>
  <si>
    <t>SVPBR1616JX-11</t>
    <phoneticPr fontId="11"/>
  </si>
  <si>
    <t>GDM3020N-040GM (PR1535)</t>
    <phoneticPr fontId="12"/>
  </si>
  <si>
    <t>刃物の幅注意3.0㎜</t>
    <rPh sb="0" eb="2">
      <t>ハモノ</t>
    </rPh>
    <rPh sb="3" eb="4">
      <t>ハバ</t>
    </rPh>
    <rPh sb="4" eb="6">
      <t>チュウイ</t>
    </rPh>
    <phoneticPr fontId="12"/>
  </si>
  <si>
    <t>T06</t>
    <phoneticPr fontId="12"/>
  </si>
  <si>
    <t>KGDR1616JX-2</t>
    <phoneticPr fontId="12"/>
  </si>
  <si>
    <t>T10</t>
    <phoneticPr fontId="11"/>
  </si>
  <si>
    <t>SI-WC-RESF12H (3017462)</t>
    <phoneticPr fontId="12"/>
  </si>
  <si>
    <t>新規</t>
    <rPh sb="0" eb="2">
      <t>シンキ</t>
    </rPh>
    <phoneticPr fontId="11"/>
  </si>
  <si>
    <t>φ19.13荒取り</t>
    <rPh sb="6" eb="7">
      <t>アラ</t>
    </rPh>
    <rPh sb="7" eb="8">
      <t>ド</t>
    </rPh>
    <phoneticPr fontId="12"/>
  </si>
  <si>
    <t>T11</t>
  </si>
  <si>
    <t>GSXVL4080T-2.5D</t>
    <phoneticPr fontId="12"/>
  </si>
  <si>
    <t>㉝㊷㊻</t>
    <phoneticPr fontId="11"/>
  </si>
  <si>
    <t>三次元測定機</t>
    <rPh sb="0" eb="6">
      <t>サンジゲンソクテイキ</t>
    </rPh>
    <phoneticPr fontId="11"/>
  </si>
  <si>
    <t>φ19.13仕上げ</t>
    <rPh sb="6" eb="8">
      <t>シア</t>
    </rPh>
    <phoneticPr fontId="12"/>
  </si>
  <si>
    <t>SP-SMC2060CST 先端径φ3.6×8L</t>
    <rPh sb="14" eb="17">
      <t>センタンケイ</t>
    </rPh>
    <phoneticPr fontId="12"/>
  </si>
  <si>
    <t>センター穴、φ2穴面、φ4.1ザグリ穴面</t>
    <rPh sb="4" eb="5">
      <t>アナ</t>
    </rPh>
    <rPh sb="8" eb="9">
      <t>アナ</t>
    </rPh>
    <rPh sb="9" eb="10">
      <t>メン</t>
    </rPh>
    <rPh sb="18" eb="19">
      <t>アナ</t>
    </rPh>
    <rPh sb="19" eb="20">
      <t>メン</t>
    </rPh>
    <phoneticPr fontId="12"/>
  </si>
  <si>
    <t>T13</t>
    <phoneticPr fontId="11"/>
  </si>
  <si>
    <t>FX-ZDS 4.1</t>
    <phoneticPr fontId="12"/>
  </si>
  <si>
    <t>新規/●</t>
    <rPh sb="0" eb="2">
      <t>シンキ</t>
    </rPh>
    <phoneticPr fontId="11"/>
  </si>
  <si>
    <t>⑫⑬⑯</t>
    <phoneticPr fontId="11"/>
  </si>
  <si>
    <t>φ4.1ザグリ穴</t>
    <rPh sb="7" eb="8">
      <t>アナ</t>
    </rPh>
    <phoneticPr fontId="12"/>
  </si>
  <si>
    <t>T14</t>
  </si>
  <si>
    <t>ﾄﾞﾘﾙ</t>
    <phoneticPr fontId="12"/>
  </si>
  <si>
    <t>VAPDSSUSD0200</t>
    <phoneticPr fontId="12"/>
  </si>
  <si>
    <t>φ2穴</t>
    <rPh sb="2" eb="3">
      <t>アナ</t>
    </rPh>
    <phoneticPr fontId="12"/>
  </si>
  <si>
    <t>T40</t>
  </si>
  <si>
    <t>ﾀﾝｶﾞﾛｲ</t>
    <phoneticPr fontId="12"/>
  </si>
  <si>
    <t>EPGT040104-JS(SH730)</t>
    <phoneticPr fontId="11"/>
  </si>
  <si>
    <t>③④⑧⑨⑰⑳㉑㉒㉓㊲㊳㊴㊵㊶</t>
    <phoneticPr fontId="11"/>
  </si>
  <si>
    <t>φ11.523内径仕上げ
端面仕上げ</t>
    <rPh sb="7" eb="9">
      <t>ナイケイ</t>
    </rPh>
    <rPh sb="9" eb="11">
      <t>シア</t>
    </rPh>
    <rPh sb="13" eb="17">
      <t>タンメンシア</t>
    </rPh>
    <phoneticPr fontId="12"/>
  </si>
  <si>
    <t>E06H-SEXPR04-D070</t>
    <phoneticPr fontId="11"/>
  </si>
  <si>
    <t>BLM22-06</t>
    <phoneticPr fontId="12"/>
  </si>
  <si>
    <t>T41</t>
  </si>
  <si>
    <t>⑧⑨</t>
    <phoneticPr fontId="11"/>
  </si>
  <si>
    <r>
      <t>※</t>
    </r>
    <r>
      <rPr>
        <sz val="12"/>
        <color theme="1"/>
        <rFont val="ＭＳ Ｐゴシック"/>
        <family val="3"/>
        <charset val="128"/>
      </rPr>
      <t>下穴17.90狙い
内径φ11.40狙い</t>
    </r>
    <rPh sb="1" eb="3">
      <t>シタアナ</t>
    </rPh>
    <rPh sb="8" eb="9">
      <t>ネラ</t>
    </rPh>
    <rPh sb="11" eb="13">
      <t>ナイケイ</t>
    </rPh>
    <rPh sb="19" eb="20">
      <t>ネラ</t>
    </rPh>
    <phoneticPr fontId="11"/>
  </si>
  <si>
    <t>φ11.523内径荒取り</t>
    <rPh sb="7" eb="9">
      <t>ナイケイ</t>
    </rPh>
    <rPh sb="9" eb="10">
      <t>アラ</t>
    </rPh>
    <rPh sb="10" eb="11">
      <t>ド</t>
    </rPh>
    <phoneticPr fontId="12"/>
  </si>
  <si>
    <t>BLM22-05</t>
    <phoneticPr fontId="11"/>
  </si>
  <si>
    <t>T42</t>
    <phoneticPr fontId="12"/>
  </si>
  <si>
    <t>φ11.4×33L</t>
    <phoneticPr fontId="12"/>
  </si>
  <si>
    <r>
      <rPr>
        <sz val="12"/>
        <color rgb="FFFF0000"/>
        <rFont val="ＭＳ Ｐゴシック"/>
        <family val="3"/>
        <charset val="128"/>
      </rPr>
      <t>※</t>
    </r>
    <r>
      <rPr>
        <sz val="12"/>
        <color theme="1"/>
        <rFont val="ＭＳ Ｐゴシック"/>
        <family val="3"/>
        <charset val="128"/>
      </rPr>
      <t>下穴17.60狙い</t>
    </r>
    <rPh sb="1" eb="3">
      <t>シタアナ</t>
    </rPh>
    <rPh sb="8" eb="9">
      <t>ネラシタアナネラナイケイネラ</t>
    </rPh>
    <phoneticPr fontId="11"/>
  </si>
  <si>
    <t>φ11.523下穴</t>
    <rPh sb="7" eb="8">
      <t>シタ</t>
    </rPh>
    <rPh sb="8" eb="9">
      <t>アナ</t>
    </rPh>
    <phoneticPr fontId="12"/>
  </si>
  <si>
    <t>T43</t>
  </si>
  <si>
    <t>EZBVR055050-010(PR1225)</t>
    <phoneticPr fontId="12"/>
  </si>
  <si>
    <t>⑦⑩⑭</t>
    <phoneticPr fontId="11"/>
  </si>
  <si>
    <t>φ6.2穴径、穴底仕上げ</t>
    <rPh sb="4" eb="5">
      <t>アナ</t>
    </rPh>
    <rPh sb="5" eb="6">
      <t>ケイ</t>
    </rPh>
    <rPh sb="7" eb="9">
      <t>アナゾコ</t>
    </rPh>
    <rPh sb="9" eb="11">
      <t>シア</t>
    </rPh>
    <phoneticPr fontId="12"/>
  </si>
  <si>
    <t>EZH05022HP-135</t>
    <phoneticPr fontId="12"/>
  </si>
  <si>
    <t>T44</t>
  </si>
  <si>
    <t>SP-SMC2060CST　先端径φ5.0×12L</t>
    <rPh sb="14" eb="17">
      <t>センタンケイ</t>
    </rPh>
    <phoneticPr fontId="12"/>
  </si>
  <si>
    <t>ｾﾝﾀｰ穴、キー溝正面側面取り</t>
    <rPh sb="4" eb="5">
      <t>アナ</t>
    </rPh>
    <rPh sb="8" eb="9">
      <t>ミゾ</t>
    </rPh>
    <rPh sb="9" eb="11">
      <t>ショウメン</t>
    </rPh>
    <rPh sb="11" eb="12">
      <t>ガワ</t>
    </rPh>
    <rPh sb="12" eb="14">
      <t>メント</t>
    </rPh>
    <phoneticPr fontId="12"/>
  </si>
  <si>
    <t>T45</t>
  </si>
  <si>
    <t>ミスミ</t>
    <phoneticPr fontId="12"/>
  </si>
  <si>
    <t>TAC-RFESDRA6</t>
    <phoneticPr fontId="12"/>
  </si>
  <si>
    <t>新規/◯</t>
    <rPh sb="0" eb="2">
      <t>シンキ</t>
    </rPh>
    <phoneticPr fontId="11"/>
  </si>
  <si>
    <r>
      <rPr>
        <sz val="12"/>
        <color rgb="FFFF0000"/>
        <rFont val="ＭＳ Ｐゴシック"/>
        <family val="3"/>
        <charset val="128"/>
      </rPr>
      <t>※</t>
    </r>
    <r>
      <rPr>
        <sz val="12"/>
        <color theme="1"/>
        <rFont val="ＭＳ Ｐゴシック"/>
        <family val="3"/>
        <charset val="128"/>
      </rPr>
      <t>下穴19.35～19.40狙い</t>
    </r>
    <rPh sb="1" eb="3">
      <t>シタアナ</t>
    </rPh>
    <rPh sb="14" eb="15">
      <t>ネラ</t>
    </rPh>
    <phoneticPr fontId="11"/>
  </si>
  <si>
    <t>φ6.2下穴</t>
    <rPh sb="4" eb="5">
      <t>シタ</t>
    </rPh>
    <rPh sb="5" eb="6">
      <t>アナ</t>
    </rPh>
    <phoneticPr fontId="12"/>
  </si>
  <si>
    <t>T47</t>
    <phoneticPr fontId="11"/>
  </si>
  <si>
    <t>SP-SMC2080CST</t>
    <phoneticPr fontId="12"/>
  </si>
  <si>
    <t>キー溝外径側面取り</t>
    <rPh sb="2" eb="3">
      <t>ミゾ</t>
    </rPh>
    <rPh sb="3" eb="5">
      <t>ガイケイ</t>
    </rPh>
    <rPh sb="5" eb="6">
      <t>ガワ</t>
    </rPh>
    <rPh sb="6" eb="7">
      <t>メン</t>
    </rPh>
    <rPh sb="7" eb="8">
      <t>ト</t>
    </rPh>
    <phoneticPr fontId="12"/>
  </si>
  <si>
    <t>T48</t>
  </si>
  <si>
    <t>AE-VMSS4.5</t>
    <phoneticPr fontId="11"/>
  </si>
  <si>
    <t>⑤⑥⑱㊼</t>
    <phoneticPr fontId="11"/>
  </si>
  <si>
    <t>キー溝</t>
    <rPh sb="2" eb="3">
      <t>ミゾ</t>
    </rPh>
    <phoneticPr fontId="12"/>
  </si>
  <si>
    <t>T50</t>
    <phoneticPr fontId="12"/>
  </si>
  <si>
    <t>③④</t>
    <phoneticPr fontId="11"/>
  </si>
  <si>
    <t>仕上げ未加工時
全長39.75狙い</t>
    <rPh sb="0" eb="2">
      <t>シア</t>
    </rPh>
    <rPh sb="3" eb="6">
      <t>ミカコウ</t>
    </rPh>
    <rPh sb="6" eb="7">
      <t>ジ</t>
    </rPh>
    <rPh sb="8" eb="10">
      <t>ゼンチョウ</t>
    </rPh>
    <rPh sb="15" eb="16">
      <t>ネラ</t>
    </rPh>
    <phoneticPr fontId="11"/>
  </si>
  <si>
    <t>外径面取り、端面荒取り</t>
    <rPh sb="0" eb="2">
      <t>ガイケイ</t>
    </rPh>
    <rPh sb="2" eb="4">
      <t>メント</t>
    </rPh>
    <rPh sb="6" eb="8">
      <t>タンメン</t>
    </rPh>
    <rPh sb="8" eb="9">
      <t>アラ</t>
    </rPh>
    <rPh sb="9" eb="10">
      <t>ド</t>
    </rPh>
    <phoneticPr fontId="12"/>
  </si>
  <si>
    <t>T63</t>
    <phoneticPr fontId="11"/>
  </si>
  <si>
    <t>ボールエンドミル</t>
    <phoneticPr fontId="12"/>
  </si>
  <si>
    <t>XAL-BEM2S0.85</t>
    <phoneticPr fontId="11"/>
  </si>
  <si>
    <t>交差穴バリ取り</t>
    <rPh sb="0" eb="2">
      <t>コウサ</t>
    </rPh>
    <rPh sb="2" eb="3">
      <t>アナ</t>
    </rPh>
    <rPh sb="5" eb="6">
      <t>ト</t>
    </rPh>
    <phoneticPr fontId="12"/>
  </si>
  <si>
    <r>
      <t>※</t>
    </r>
    <r>
      <rPr>
        <sz val="12"/>
        <rFont val="ＭＳ Ｐゴシック"/>
        <family val="3"/>
        <charset val="128"/>
      </rPr>
      <t>全長39.70の場合</t>
    </r>
    <rPh sb="1" eb="3">
      <t>ゼンチョウ</t>
    </rPh>
    <rPh sb="9" eb="11">
      <t>バアイ</t>
    </rPh>
    <phoneticPr fontId="11"/>
  </si>
  <si>
    <t>HOUSING,FUEL INJECTOR(16620-5R1-J011-M1-01) 消耗工具品名</t>
    <rPh sb="44" eb="48">
      <t>ショウモウコウグ</t>
    </rPh>
    <rPh sb="48" eb="50">
      <t>ヒンメイ</t>
    </rPh>
    <phoneticPr fontId="12"/>
  </si>
  <si>
    <t>NC55 工具交換時 工程管理図番号チェック表（NN-32YB2XB）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</si>
  <si>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t>測定番号</t>
    <rPh sb="0" eb="4">
      <t>ソクテイバンゴウ</t>
    </rPh>
    <phoneticPr fontId="11"/>
  </si>
  <si>
    <t>φ15.7φ23.0外径仕上げ</t>
    <rPh sb="10" eb="12">
      <t>ガイケイ</t>
    </rPh>
    <rPh sb="12" eb="14">
      <t>シア</t>
    </rPh>
    <phoneticPr fontId="12"/>
  </si>
  <si>
    <t>VCGT110302MYL(DM4)</t>
    <phoneticPr fontId="12"/>
  </si>
  <si>
    <t>①③㉚㉛</t>
    <phoneticPr fontId="11"/>
  </si>
  <si>
    <t>φ16.94ローレット下径仕上げ</t>
    <rPh sb="11" eb="12">
      <t>シタ</t>
    </rPh>
    <rPh sb="12" eb="13">
      <t>ケイ</t>
    </rPh>
    <rPh sb="13" eb="15">
      <t>シア</t>
    </rPh>
    <phoneticPr fontId="12"/>
  </si>
  <si>
    <t>SVJBR1616JX-11FF</t>
    <phoneticPr fontId="12"/>
  </si>
  <si>
    <t>ローレット駒</t>
    <rPh sb="5" eb="6">
      <t>コマ</t>
    </rPh>
    <phoneticPr fontId="12"/>
  </si>
  <si>
    <t>スーパーツール</t>
    <phoneticPr fontId="12"/>
  </si>
  <si>
    <t>P=1.2  平目用  KNE-12F</t>
    <rPh sb="7" eb="9">
      <t>ヒラメ</t>
    </rPh>
    <rPh sb="9" eb="10">
      <t>ヨウ</t>
    </rPh>
    <phoneticPr fontId="12"/>
  </si>
  <si>
    <t>①㉚㉛</t>
    <phoneticPr fontId="11"/>
  </si>
  <si>
    <t>ローレット転造</t>
    <rPh sb="5" eb="7">
      <t>テンゾウ</t>
    </rPh>
    <phoneticPr fontId="12"/>
  </si>
  <si>
    <t>ローレットホルダ</t>
    <phoneticPr fontId="12"/>
  </si>
  <si>
    <t>KH-1E20  追加工</t>
    <rPh sb="9" eb="12">
      <t>ツイカコウ</t>
    </rPh>
    <phoneticPr fontId="12"/>
  </si>
  <si>
    <t>溝入れﾁｯﾌﾟ</t>
    <rPh sb="0" eb="1">
      <t>ミゾ</t>
    </rPh>
    <rPh sb="1" eb="2">
      <t>イ</t>
    </rPh>
    <phoneticPr fontId="12"/>
  </si>
  <si>
    <t>GDM3020N-040GM(PR1535)</t>
    <phoneticPr fontId="12"/>
  </si>
  <si>
    <t>T06</t>
  </si>
  <si>
    <t>GCMN2002-GG(AC530U)</t>
    <phoneticPr fontId="12"/>
  </si>
  <si>
    <t>GNDLL1616JX-216J</t>
    <phoneticPr fontId="12"/>
  </si>
  <si>
    <t>φ18.05荒取り</t>
    <rPh sb="6" eb="8">
      <t>アラド</t>
    </rPh>
    <phoneticPr fontId="12"/>
  </si>
  <si>
    <t>㉝㉞㉟</t>
    <phoneticPr fontId="11"/>
  </si>
  <si>
    <t>φ18.05仕上げ</t>
    <rPh sb="6" eb="8">
      <t>シア</t>
    </rPh>
    <phoneticPr fontId="12"/>
  </si>
  <si>
    <t>SP-SMC2060CST φ3.6×8L</t>
    <phoneticPr fontId="12"/>
  </si>
  <si>
    <t>㉔</t>
    <phoneticPr fontId="11"/>
  </si>
  <si>
    <t>センター穴、φ4.2ザグリ面取り、φ18.05面取り</t>
    <rPh sb="4" eb="5">
      <t>アナ</t>
    </rPh>
    <rPh sb="13" eb="15">
      <t>メント</t>
    </rPh>
    <rPh sb="23" eb="25">
      <t>メント</t>
    </rPh>
    <phoneticPr fontId="12"/>
  </si>
  <si>
    <t>FX-ZDS 4.2</t>
    <phoneticPr fontId="12"/>
  </si>
  <si>
    <t>⑭⑮⑯⑲</t>
    <phoneticPr fontId="11"/>
  </si>
  <si>
    <t>φ4.2ザグリ穴</t>
    <rPh sb="7" eb="8">
      <t>アナ</t>
    </rPh>
    <phoneticPr fontId="12"/>
  </si>
  <si>
    <t>VAPDSSUSD0230</t>
    <phoneticPr fontId="12"/>
  </si>
  <si>
    <t>⑬⑮</t>
    <phoneticPr fontId="11"/>
  </si>
  <si>
    <t>φ2.3穴</t>
    <rPh sb="4" eb="5">
      <t>アナ</t>
    </rPh>
    <phoneticPr fontId="12"/>
  </si>
  <si>
    <t>⑤⑥⑨⑪⑰⑳㉑㉒㉓㉗㉘㉙</t>
    <phoneticPr fontId="11"/>
  </si>
  <si>
    <t>⑨⑪</t>
    <phoneticPr fontId="11"/>
  </si>
  <si>
    <r>
      <t>※</t>
    </r>
    <r>
      <rPr>
        <sz val="12"/>
        <color theme="1"/>
        <rFont val="ＭＳ Ｐゴシック"/>
        <family val="3"/>
        <charset val="128"/>
      </rPr>
      <t>下穴14.95狙い
内径φ11.40狙い</t>
    </r>
    <rPh sb="1" eb="3">
      <t>シタアナ</t>
    </rPh>
    <rPh sb="8" eb="9">
      <t>ネラ</t>
    </rPh>
    <rPh sb="11" eb="13">
      <t>ナイケイ</t>
    </rPh>
    <rPh sb="19" eb="20">
      <t>ネラ</t>
    </rPh>
    <phoneticPr fontId="11"/>
  </si>
  <si>
    <t>φ11.524内径荒取り</t>
  </si>
  <si>
    <t>T42</t>
    <phoneticPr fontId="11"/>
  </si>
  <si>
    <t>⑧⑫⑰</t>
    <phoneticPr fontId="11"/>
  </si>
  <si>
    <t>φ6.2穴仕上げ</t>
    <rPh sb="4" eb="5">
      <t>アナ</t>
    </rPh>
    <rPh sb="5" eb="7">
      <t>シア</t>
    </rPh>
    <phoneticPr fontId="12"/>
  </si>
  <si>
    <r>
      <rPr>
        <sz val="12"/>
        <color rgb="FFFF0000"/>
        <rFont val="ＭＳ Ｐゴシック"/>
        <family val="3"/>
        <charset val="128"/>
      </rPr>
      <t>※</t>
    </r>
    <r>
      <rPr>
        <sz val="12"/>
        <color theme="1"/>
        <rFont val="ＭＳ Ｐゴシック"/>
        <family val="3"/>
        <charset val="128"/>
      </rPr>
      <t>下穴14.65狙い</t>
    </r>
    <rPh sb="1" eb="3">
      <t>シタアナ</t>
    </rPh>
    <rPh sb="8" eb="9">
      <t>ネラシタアナネラナイケイネラ</t>
    </rPh>
    <phoneticPr fontId="11"/>
  </si>
  <si>
    <t>φ11.524下穴</t>
    <rPh sb="7" eb="8">
      <t>シタ</t>
    </rPh>
    <rPh sb="8" eb="9">
      <t>アナ</t>
    </rPh>
    <phoneticPr fontId="12"/>
  </si>
  <si>
    <t>T44</t>
    <phoneticPr fontId="12"/>
  </si>
  <si>
    <t>センター穴、キー溝正面C面</t>
    <rPh sb="4" eb="5">
      <t>アナ</t>
    </rPh>
    <rPh sb="8" eb="9">
      <t>ミゾ</t>
    </rPh>
    <rPh sb="9" eb="11">
      <t>ショウメン</t>
    </rPh>
    <rPh sb="12" eb="13">
      <t>メン</t>
    </rPh>
    <phoneticPr fontId="12"/>
  </si>
  <si>
    <t>T45</t>
    <phoneticPr fontId="12"/>
  </si>
  <si>
    <r>
      <rPr>
        <sz val="12"/>
        <color rgb="FFFF0000"/>
        <rFont val="ＭＳ Ｐゴシック"/>
        <family val="3"/>
        <charset val="128"/>
      </rPr>
      <t>※</t>
    </r>
    <r>
      <rPr>
        <sz val="12"/>
        <color theme="1"/>
        <rFont val="ＭＳ Ｐゴシック"/>
        <family val="3"/>
        <charset val="128"/>
      </rPr>
      <t>下穴17.85～17.90狙い</t>
    </r>
    <rPh sb="1" eb="3">
      <t>シタアナ</t>
    </rPh>
    <rPh sb="14" eb="15">
      <t>ネラシタアナネラナイケイネラ</t>
    </rPh>
    <phoneticPr fontId="11"/>
  </si>
  <si>
    <t>キー溝外径側C面</t>
    <rPh sb="2" eb="3">
      <t>ミゾ</t>
    </rPh>
    <rPh sb="3" eb="5">
      <t>ガイケイ</t>
    </rPh>
    <rPh sb="5" eb="6">
      <t>ガワ</t>
    </rPh>
    <rPh sb="7" eb="8">
      <t>メン</t>
    </rPh>
    <phoneticPr fontId="12"/>
  </si>
  <si>
    <t>⑦⑩㊱㊲</t>
    <phoneticPr fontId="11"/>
  </si>
  <si>
    <t>⑤⑥</t>
    <phoneticPr fontId="11"/>
  </si>
  <si>
    <t>仕上げ未加工時
全長31.05狙い</t>
    <rPh sb="0" eb="2">
      <t>シア</t>
    </rPh>
    <rPh sb="3" eb="6">
      <t>ミカコウ</t>
    </rPh>
    <rPh sb="6" eb="7">
      <t>ジ</t>
    </rPh>
    <rPh sb="8" eb="10">
      <t>ゼンチョウ</t>
    </rPh>
    <rPh sb="15" eb="16">
      <t>ネラ</t>
    </rPh>
    <phoneticPr fontId="11"/>
  </si>
  <si>
    <t>XAL-BEM2S1</t>
    <phoneticPr fontId="11"/>
  </si>
  <si>
    <t>交差穴ﾊﾞﾘ取り</t>
    <rPh sb="0" eb="3">
      <t>コウサアナ</t>
    </rPh>
    <rPh sb="6" eb="7">
      <t>ト</t>
    </rPh>
    <phoneticPr fontId="11"/>
  </si>
  <si>
    <r>
      <rPr>
        <sz val="12"/>
        <color rgb="FFFF0000"/>
        <rFont val="ＭＳ Ｐゴシック"/>
        <family val="3"/>
        <charset val="128"/>
      </rPr>
      <t>※</t>
    </r>
    <r>
      <rPr>
        <sz val="12"/>
        <color theme="1"/>
        <rFont val="ＭＳ Ｐゴシック"/>
        <family val="3"/>
        <charset val="128"/>
      </rPr>
      <t>全長31.0の場合</t>
    </r>
    <rPh sb="1" eb="3">
      <t>ゼンチョウ</t>
    </rPh>
    <rPh sb="8" eb="10">
      <t>バアイ</t>
    </rPh>
    <phoneticPr fontId="11"/>
  </si>
  <si>
    <t xml:space="preserve">FIR TREE(23271-74600-0004)　消耗工具品名 </t>
    <rPh sb="27" eb="31">
      <t>ショウモウコウグ</t>
    </rPh>
    <rPh sb="31" eb="33">
      <t>ヒンメイ</t>
    </rPh>
    <phoneticPr fontId="12"/>
  </si>
  <si>
    <t>DCGT11T302MYL(DM4)</t>
    <phoneticPr fontId="12"/>
  </si>
  <si>
    <t>①⑤⑥⑪</t>
    <phoneticPr fontId="11"/>
  </si>
  <si>
    <t>刃先Ｒ注意　Ｒ0.2</t>
    <rPh sb="0" eb="2">
      <t>ハサキ</t>
    </rPh>
    <rPh sb="3" eb="5">
      <t>チュウイ</t>
    </rPh>
    <phoneticPr fontId="11"/>
  </si>
  <si>
    <t>②③④⑨⑬⑲</t>
    <phoneticPr fontId="11"/>
  </si>
  <si>
    <t>溝入れ(R1、φ8.1、φ11.075）</t>
    <rPh sb="0" eb="1">
      <t>ミゾ</t>
    </rPh>
    <rPh sb="1" eb="2">
      <t>イ</t>
    </rPh>
    <phoneticPr fontId="12"/>
  </si>
  <si>
    <t>⑦⑫⑰㉜</t>
    <phoneticPr fontId="11"/>
  </si>
  <si>
    <t>溝入れ(2mm溝仕上げ）</t>
    <rPh sb="0" eb="1">
      <t>ミゾ</t>
    </rPh>
    <rPh sb="1" eb="2">
      <t>イ</t>
    </rPh>
    <rPh sb="7" eb="8">
      <t>ミゾ</t>
    </rPh>
    <rPh sb="8" eb="10">
      <t>シア</t>
    </rPh>
    <phoneticPr fontId="12"/>
  </si>
  <si>
    <t>T12</t>
    <phoneticPr fontId="12"/>
  </si>
  <si>
    <t>T20</t>
    <phoneticPr fontId="12"/>
  </si>
  <si>
    <t>ボーリングバー（スティックタイプ）</t>
    <phoneticPr fontId="12"/>
  </si>
  <si>
    <t>EZBR040040HP-015F(PR1225)</t>
    <phoneticPr fontId="12"/>
  </si>
  <si>
    <t>⑧⑮⑯</t>
    <phoneticPr fontId="11"/>
  </si>
  <si>
    <t>6°テーパー穴仕上げ</t>
    <rPh sb="6" eb="7">
      <t>アナ</t>
    </rPh>
    <rPh sb="7" eb="9">
      <t>シア</t>
    </rPh>
    <phoneticPr fontId="12"/>
  </si>
  <si>
    <t>EZH04022HP-135</t>
    <phoneticPr fontId="12"/>
  </si>
  <si>
    <t>FX-ZDS 7.5</t>
    <phoneticPr fontId="12"/>
  </si>
  <si>
    <t>下穴3.40～3.45狙い</t>
    <rPh sb="0" eb="2">
      <t>シタアナ</t>
    </rPh>
    <rPh sb="11" eb="12">
      <t>ネラ</t>
    </rPh>
    <phoneticPr fontId="11"/>
  </si>
  <si>
    <t>6°テーパー下穴</t>
    <rPh sb="6" eb="7">
      <t>シタ</t>
    </rPh>
    <rPh sb="7" eb="8">
      <t>アナ</t>
    </rPh>
    <phoneticPr fontId="12"/>
  </si>
  <si>
    <t>T22</t>
    <phoneticPr fontId="12"/>
  </si>
  <si>
    <t>ATOM</t>
    <phoneticPr fontId="12"/>
  </si>
  <si>
    <t>V-ADS-4.6</t>
    <phoneticPr fontId="12"/>
  </si>
  <si>
    <t>⑭</t>
    <phoneticPr fontId="11"/>
  </si>
  <si>
    <t>φ4.6下穴</t>
    <rPh sb="4" eb="5">
      <t>シタ</t>
    </rPh>
    <rPh sb="5" eb="6">
      <t>アナ</t>
    </rPh>
    <phoneticPr fontId="12"/>
  </si>
  <si>
    <t>DCGT11T304MYL(DM4)</t>
    <phoneticPr fontId="12"/>
  </si>
  <si>
    <t>①④⑤⑥⑦⑩⑪⑳㉟</t>
    <phoneticPr fontId="11"/>
  </si>
  <si>
    <t>刃先Ｒ注意　Ｒ0.4</t>
    <rPh sb="0" eb="2">
      <t>ハサキ</t>
    </rPh>
    <rPh sb="3" eb="5">
      <t>チュウイ</t>
    </rPh>
    <phoneticPr fontId="11"/>
  </si>
  <si>
    <t>T33</t>
    <phoneticPr fontId="12"/>
  </si>
  <si>
    <t>ソリッドリーマ CSR</t>
    <phoneticPr fontId="12"/>
  </si>
  <si>
    <t>CSR-4.7</t>
    <phoneticPr fontId="12"/>
  </si>
  <si>
    <t>φ4.7穴仕上げ</t>
    <rPh sb="4" eb="5">
      <t>アナ</t>
    </rPh>
    <rPh sb="5" eb="7">
      <t>シア</t>
    </rPh>
    <phoneticPr fontId="12"/>
  </si>
  <si>
    <t>DCGT11T302MFP-GF(PR1725)</t>
    <phoneticPr fontId="12"/>
  </si>
  <si>
    <r>
      <t xml:space="preserve">⑰φ4.575狙い
</t>
    </r>
    <r>
      <rPr>
        <sz val="12"/>
        <color rgb="FFFF0000"/>
        <rFont val="ＭＳ Ｐゴシック"/>
        <family val="3"/>
        <charset val="128"/>
      </rPr>
      <t>刃先Ｒ注意　Ｒ0.2</t>
    </r>
    <rPh sb="7" eb="8">
      <t>ネラ</t>
    </rPh>
    <rPh sb="10" eb="12">
      <t>ハサキ</t>
    </rPh>
    <rPh sb="13" eb="15">
      <t>チュウイ</t>
    </rPh>
    <phoneticPr fontId="11"/>
  </si>
  <si>
    <t>SENSOR BOSS(418B00833002)　消耗工具品名</t>
    <rPh sb="26" eb="30">
      <t>ショウモウコウグ</t>
    </rPh>
    <rPh sb="30" eb="32">
      <t>ヒンメイ</t>
    </rPh>
    <phoneticPr fontId="12"/>
  </si>
  <si>
    <t>NC73 工具交換時 工程管理図番号チェック表（NN-32YB2XB）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</si>
  <si>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t>個数</t>
    <rPh sb="0" eb="2">
      <t>コスウ</t>
    </rPh>
    <phoneticPr fontId="12"/>
  </si>
  <si>
    <t>1ケース（10個入）</t>
    <rPh sb="7" eb="8">
      <t>コ</t>
    </rPh>
    <rPh sb="8" eb="9">
      <t>イリ</t>
    </rPh>
    <phoneticPr fontId="12"/>
  </si>
  <si>
    <t>溝入れホルダ</t>
    <rPh sb="0" eb="2">
      <t>ミゾイ</t>
    </rPh>
    <phoneticPr fontId="12"/>
  </si>
  <si>
    <t>T11</t>
    <phoneticPr fontId="12"/>
  </si>
  <si>
    <t>R7.875、先端部、φ5穴面取り</t>
    <rPh sb="7" eb="9">
      <t>センタン</t>
    </rPh>
    <rPh sb="9" eb="10">
      <t>ブ</t>
    </rPh>
    <rPh sb="13" eb="14">
      <t>アナ</t>
    </rPh>
    <rPh sb="14" eb="15">
      <t>メン</t>
    </rPh>
    <rPh sb="15" eb="16">
      <t>ド</t>
    </rPh>
    <phoneticPr fontId="12"/>
  </si>
  <si>
    <t>GSXVL4120-2.5D</t>
    <phoneticPr fontId="12"/>
  </si>
  <si>
    <t>⑭⑭´⑮⑮´⑯⑰⑲㉑
㉙㉚㉛㉜</t>
    <phoneticPr fontId="11"/>
  </si>
  <si>
    <t>外径、R7.875仕上げ</t>
    <rPh sb="0" eb="2">
      <t>ガイケイ</t>
    </rPh>
    <rPh sb="9" eb="11">
      <t>シア</t>
    </rPh>
    <phoneticPr fontId="12"/>
  </si>
  <si>
    <t>SI-WC-RESF12</t>
    <phoneticPr fontId="12"/>
  </si>
  <si>
    <t>R7.875荒取り</t>
    <rPh sb="6" eb="7">
      <t>アラ</t>
    </rPh>
    <rPh sb="7" eb="8">
      <t>ド</t>
    </rPh>
    <phoneticPr fontId="12"/>
  </si>
  <si>
    <t>先端部荒取り</t>
    <rPh sb="0" eb="2">
      <t>センタン</t>
    </rPh>
    <rPh sb="2" eb="3">
      <t>ブ</t>
    </rPh>
    <rPh sb="3" eb="4">
      <t>アラ</t>
    </rPh>
    <rPh sb="4" eb="5">
      <t>ド</t>
    </rPh>
    <phoneticPr fontId="12"/>
  </si>
  <si>
    <t>T15</t>
    <phoneticPr fontId="12"/>
  </si>
  <si>
    <t>MVE0500×03S050(DP1020)</t>
    <phoneticPr fontId="12"/>
  </si>
  <si>
    <t>⑱⑳㉜</t>
    <phoneticPr fontId="11"/>
  </si>
  <si>
    <t>φ5穴</t>
    <rPh sb="2" eb="3">
      <t>アナ</t>
    </rPh>
    <phoneticPr fontId="12"/>
  </si>
  <si>
    <t>MBL015FRF1(TM4)</t>
    <phoneticPr fontId="11"/>
  </si>
  <si>
    <t>ピンゲージにて内径もチェック</t>
    <rPh sb="7" eb="9">
      <t>ナイケイ</t>
    </rPh>
    <phoneticPr fontId="11"/>
  </si>
  <si>
    <t>EZH04522HP-135</t>
    <phoneticPr fontId="12"/>
  </si>
  <si>
    <t>T41</t>
    <phoneticPr fontId="12"/>
  </si>
  <si>
    <t>⑩㉒</t>
    <phoneticPr fontId="11"/>
  </si>
  <si>
    <t>M10×1.0-6H</t>
    <phoneticPr fontId="11"/>
  </si>
  <si>
    <t>⑧⑫⑬㉔㉟</t>
    <phoneticPr fontId="11"/>
  </si>
  <si>
    <t>φ3.2穴、交差穴バリ取り</t>
    <rPh sb="4" eb="5">
      <t>アナ</t>
    </rPh>
    <rPh sb="6" eb="8">
      <t>コウサ</t>
    </rPh>
    <rPh sb="8" eb="9">
      <t>アナ</t>
    </rPh>
    <rPh sb="11" eb="12">
      <t>ト</t>
    </rPh>
    <phoneticPr fontId="12"/>
  </si>
  <si>
    <t>EZH03022HP-135</t>
    <phoneticPr fontId="12"/>
  </si>
  <si>
    <t>T43</t>
    <phoneticPr fontId="12"/>
  </si>
  <si>
    <t>XC-23-A</t>
    <phoneticPr fontId="12"/>
  </si>
  <si>
    <t>φ3.2交差穴バリ取り</t>
    <rPh sb="4" eb="6">
      <t>コウサ</t>
    </rPh>
    <rPh sb="6" eb="7">
      <t>アナ</t>
    </rPh>
    <rPh sb="9" eb="10">
      <t>ト</t>
    </rPh>
    <phoneticPr fontId="12"/>
  </si>
  <si>
    <t>MVE0900×02S090(DP1020)</t>
    <phoneticPr fontId="12"/>
  </si>
  <si>
    <r>
      <rPr>
        <sz val="12"/>
        <color rgb="FFFF0000"/>
        <rFont val="ＭＳ Ｐゴシック"/>
        <family val="3"/>
        <charset val="128"/>
      </rPr>
      <t>※</t>
    </r>
    <r>
      <rPr>
        <sz val="12"/>
        <color theme="1"/>
        <rFont val="ＭＳ Ｐゴシック"/>
        <family val="3"/>
        <charset val="128"/>
      </rPr>
      <t>下穴9.85～9.90狙い</t>
    </r>
    <rPh sb="1" eb="3">
      <t>シタアナ</t>
    </rPh>
    <rPh sb="12" eb="13">
      <t>ネラ</t>
    </rPh>
    <phoneticPr fontId="11"/>
  </si>
  <si>
    <t>φ9.1下穴</t>
    <rPh sb="4" eb="5">
      <t>シタ</t>
    </rPh>
    <rPh sb="5" eb="6">
      <t>アナ</t>
    </rPh>
    <phoneticPr fontId="12"/>
  </si>
  <si>
    <t>T49</t>
    <phoneticPr fontId="12"/>
  </si>
  <si>
    <t>DCGT11T302MFNAM3(QM3)</t>
    <phoneticPr fontId="12"/>
  </si>
  <si>
    <t>全長、外径仕上げ</t>
    <rPh sb="0" eb="2">
      <t>ゼンチョウ</t>
    </rPh>
    <rPh sb="3" eb="5">
      <t>ガイケイ</t>
    </rPh>
    <rPh sb="5" eb="7">
      <t>シア</t>
    </rPh>
    <phoneticPr fontId="12"/>
  </si>
  <si>
    <t>SDJCR1616X11N</t>
    <phoneticPr fontId="12"/>
  </si>
  <si>
    <t>T50</t>
  </si>
  <si>
    <t>T63</t>
    <phoneticPr fontId="12"/>
  </si>
  <si>
    <t>TAC-RSDR3</t>
    <phoneticPr fontId="12"/>
  </si>
  <si>
    <t>⑧</t>
    <phoneticPr fontId="11"/>
  </si>
  <si>
    <r>
      <rPr>
        <sz val="12"/>
        <color rgb="FFFF0000"/>
        <rFont val="ＭＳ Ｐゴシック"/>
        <family val="3"/>
        <charset val="128"/>
      </rPr>
      <t>※</t>
    </r>
    <r>
      <rPr>
        <sz val="12"/>
        <rFont val="ＭＳ Ｐゴシック"/>
        <family val="3"/>
        <charset val="128"/>
      </rPr>
      <t>全長32.00の場合</t>
    </r>
    <rPh sb="1" eb="3">
      <t>ゼンチョウ</t>
    </rPh>
    <rPh sb="9" eb="11">
      <t>バアイ</t>
    </rPh>
    <phoneticPr fontId="11"/>
  </si>
  <si>
    <t>在庫数</t>
    <rPh sb="0" eb="3">
      <t>ザイコスウ</t>
    </rPh>
    <phoneticPr fontId="12"/>
  </si>
  <si>
    <t>NC74 工具交換時 工程管理図番号チェック表（NN-32YB2XB）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</si>
  <si>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t>全長32.00狙い</t>
    <rPh sb="0" eb="2">
      <t>ゼンチョウ</t>
    </rPh>
    <rPh sb="7" eb="8">
      <t>ネラ</t>
    </rPh>
    <phoneticPr fontId="11"/>
  </si>
  <si>
    <t>INLET(U2-019RP2460-01)　消耗工具品名</t>
    <rPh sb="23" eb="27">
      <t>ショウモウコウグ</t>
    </rPh>
    <rPh sb="27" eb="29">
      <t>ヒンメイ</t>
    </rPh>
    <phoneticPr fontId="12"/>
  </si>
  <si>
    <t>NC72 工具交換時 工程管理図番号チェック表（NN-32YB2XB）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</si>
  <si>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t>計</t>
    <rPh sb="0" eb="1">
      <t>ケイ</t>
    </rPh>
    <phoneticPr fontId="12"/>
  </si>
  <si>
    <t>発注個数</t>
    <rPh sb="0" eb="2">
      <t>ハッチュウ</t>
    </rPh>
    <rPh sb="2" eb="4">
      <t>コスウ</t>
    </rPh>
    <phoneticPr fontId="12"/>
  </si>
  <si>
    <t>DCMT11T308-LM(MC7025)</t>
    <phoneticPr fontId="12"/>
  </si>
  <si>
    <t>ケース(10個入り）</t>
    <rPh sb="6" eb="7">
      <t>コ</t>
    </rPh>
    <rPh sb="7" eb="8">
      <t>イ</t>
    </rPh>
    <phoneticPr fontId="12"/>
  </si>
  <si>
    <t>外径荒取り</t>
    <rPh sb="0" eb="2">
      <t>ガイケイ</t>
    </rPh>
    <rPh sb="2" eb="4">
      <t>アラド</t>
    </rPh>
    <phoneticPr fontId="12"/>
  </si>
  <si>
    <t>DCGT11T302MFP-SKS(PR1725)</t>
    <phoneticPr fontId="12"/>
  </si>
  <si>
    <t>①②⑭⑬㉞㊳㊵</t>
    <phoneticPr fontId="11"/>
  </si>
  <si>
    <t>φ11.5、φ13.88、φ19.7外径仕上げ</t>
    <rPh sb="18" eb="20">
      <t>ガイケイ</t>
    </rPh>
    <rPh sb="20" eb="22">
      <t>シア</t>
    </rPh>
    <phoneticPr fontId="12"/>
  </si>
  <si>
    <t>TCP18R250F-010-35(SH725)</t>
    <phoneticPr fontId="12"/>
  </si>
  <si>
    <t>STCR1616X18-CHP</t>
    <phoneticPr fontId="12"/>
  </si>
  <si>
    <t>GTMH32100RGX01(ST4)</t>
    <phoneticPr fontId="12"/>
  </si>
  <si>
    <t>⑦⑧㉘㉙㊴</t>
    <phoneticPr fontId="11"/>
  </si>
  <si>
    <t>φ11、幅1.6mm溝入れ仕上げ</t>
    <rPh sb="4" eb="5">
      <t>ハバ</t>
    </rPh>
    <rPh sb="10" eb="12">
      <t>ミゾイ</t>
    </rPh>
    <rPh sb="13" eb="15">
      <t>シア</t>
    </rPh>
    <phoneticPr fontId="12"/>
  </si>
  <si>
    <t>GTTR16K15</t>
    <phoneticPr fontId="12"/>
  </si>
  <si>
    <t>GCM N2002-GG(AC530U)</t>
    <phoneticPr fontId="12"/>
  </si>
  <si>
    <t>③⑨</t>
    <phoneticPr fontId="11"/>
  </si>
  <si>
    <r>
      <rPr>
        <sz val="12"/>
        <color rgb="FFFF0000"/>
        <rFont val="ＭＳ Ｐゴシック"/>
        <family val="3"/>
        <charset val="128"/>
      </rPr>
      <t>※</t>
    </r>
    <r>
      <rPr>
        <sz val="12"/>
        <rFont val="ＭＳ Ｐゴシック"/>
        <family val="3"/>
        <charset val="128"/>
      </rPr>
      <t>下穴3.15～3.20狙い</t>
    </r>
    <rPh sb="1" eb="3">
      <t>シタアナ</t>
    </rPh>
    <rPh sb="12" eb="13">
      <t>ネラ</t>
    </rPh>
    <phoneticPr fontId="11"/>
  </si>
  <si>
    <t>φ9.2下穴、140°テーパー荒取り</t>
    <rPh sb="4" eb="6">
      <t>シタアナ</t>
    </rPh>
    <rPh sb="15" eb="17">
      <t>アラド</t>
    </rPh>
    <phoneticPr fontId="12"/>
  </si>
  <si>
    <t>SHFS050R015S(TM4)</t>
    <phoneticPr fontId="12"/>
  </si>
  <si>
    <t>③⑨㊲</t>
    <phoneticPr fontId="11"/>
  </si>
  <si>
    <t>φ9.2穴、140°ﾃｰﾊﾟｰ部仕上げ</t>
    <rPh sb="4" eb="5">
      <t>アナ</t>
    </rPh>
    <rPh sb="15" eb="16">
      <t>ブ</t>
    </rPh>
    <rPh sb="16" eb="18">
      <t>シア</t>
    </rPh>
    <phoneticPr fontId="12"/>
  </si>
  <si>
    <t>TAC-CTDA4.0×10.0</t>
    <phoneticPr fontId="12"/>
  </si>
  <si>
    <t>AQRVDR0580</t>
    <phoneticPr fontId="12"/>
  </si>
  <si>
    <t>④㉔</t>
    <phoneticPr fontId="11"/>
  </si>
  <si>
    <t>φ6.03下穴</t>
    <rPh sb="5" eb="6">
      <t>シタ</t>
    </rPh>
    <rPh sb="6" eb="7">
      <t>アナ</t>
    </rPh>
    <phoneticPr fontId="12"/>
  </si>
  <si>
    <t>EPGT040104F-JS(SH725)</t>
    <phoneticPr fontId="12"/>
  </si>
  <si>
    <t>φ6.03内径仕上げ</t>
    <rPh sb="5" eb="7">
      <t>ナイケイ</t>
    </rPh>
    <rPh sb="7" eb="9">
      <t>シア</t>
    </rPh>
    <phoneticPr fontId="12"/>
  </si>
  <si>
    <t>EPGT040102L-W08(SH730)</t>
    <phoneticPr fontId="12"/>
  </si>
  <si>
    <t>⑪⑫㉑㉒㉓㉕㊱</t>
    <phoneticPr fontId="11"/>
  </si>
  <si>
    <t>全長24.60狙い</t>
    <rPh sb="0" eb="2">
      <t>ゼンチョウ</t>
    </rPh>
    <rPh sb="7" eb="8">
      <t>ネラ</t>
    </rPh>
    <phoneticPr fontId="11"/>
  </si>
  <si>
    <t>60°テーパー部
φ7.5深さ0.95仕上げ
全長仕上げ</t>
    <rPh sb="23" eb="25">
      <t>ゼンチョウ</t>
    </rPh>
    <rPh sb="25" eb="27">
      <t>シア</t>
    </rPh>
    <phoneticPr fontId="11"/>
  </si>
  <si>
    <t>GBF32R200-010GL(PR1535)</t>
    <phoneticPr fontId="12"/>
  </si>
  <si>
    <t>⑤⑩⑫㉗</t>
    <phoneticPr fontId="11"/>
  </si>
  <si>
    <t>φ10.4溝入れ仕上げ</t>
    <rPh sb="5" eb="7">
      <t>ミゾイ</t>
    </rPh>
    <rPh sb="8" eb="10">
      <t>シア</t>
    </rPh>
    <phoneticPr fontId="12"/>
  </si>
  <si>
    <t>S22K-KGBFL16</t>
    <phoneticPr fontId="12"/>
  </si>
  <si>
    <t>60SPC3.0×10CBALD</t>
    <phoneticPr fontId="12"/>
  </si>
  <si>
    <t>切り込み量注意</t>
    <rPh sb="0" eb="1">
      <t>キ</t>
    </rPh>
    <rPh sb="2" eb="3">
      <t>コ</t>
    </rPh>
    <rPh sb="4" eb="5">
      <t>リョウ</t>
    </rPh>
    <rPh sb="5" eb="7">
      <t>チュウイ</t>
    </rPh>
    <phoneticPr fontId="11"/>
  </si>
  <si>
    <t>60°テーパー部荒取り</t>
    <rPh sb="8" eb="10">
      <t>アラド</t>
    </rPh>
    <phoneticPr fontId="12"/>
  </si>
  <si>
    <t>ねじ切りチップ</t>
    <rPh sb="2" eb="3">
      <t>キリ</t>
    </rPh>
    <phoneticPr fontId="12"/>
  </si>
  <si>
    <t>TTX32R6001(PR1115)</t>
    <phoneticPr fontId="12"/>
  </si>
  <si>
    <t>M14×1.5-6g</t>
    <phoneticPr fontId="12"/>
  </si>
  <si>
    <t>ねじ切りホルダ</t>
    <rPh sb="2" eb="3">
      <t>キリ</t>
    </rPh>
    <phoneticPr fontId="12"/>
  </si>
  <si>
    <t>KTTXR1616JX-16F</t>
    <phoneticPr fontId="12"/>
  </si>
  <si>
    <t>CCGT09T304MYL(ST4)</t>
    <phoneticPr fontId="12"/>
  </si>
  <si>
    <t>㉝㉟</t>
    <phoneticPr fontId="11"/>
  </si>
  <si>
    <t>ネジ外径13.85狙い</t>
    <rPh sb="2" eb="4">
      <t>ガイケイ</t>
    </rPh>
    <rPh sb="9" eb="10">
      <t>ネラ</t>
    </rPh>
    <phoneticPr fontId="11"/>
  </si>
  <si>
    <r>
      <rPr>
        <sz val="12"/>
        <color rgb="FFFF0000"/>
        <rFont val="ＭＳ Ｐゴシック"/>
        <family val="3"/>
        <charset val="128"/>
      </rPr>
      <t>※</t>
    </r>
    <r>
      <rPr>
        <sz val="12"/>
        <color theme="1"/>
        <rFont val="ＭＳ Ｐゴシック"/>
        <family val="3"/>
        <charset val="128"/>
      </rPr>
      <t>外径仕上げ加工後の場合</t>
    </r>
    <rPh sb="1" eb="3">
      <t>ガイケイ</t>
    </rPh>
    <rPh sb="3" eb="5">
      <t>シア</t>
    </rPh>
    <rPh sb="6" eb="9">
      <t>カコウゴ</t>
    </rPh>
    <rPh sb="10" eb="12">
      <t>バアイ</t>
    </rPh>
    <phoneticPr fontId="11"/>
  </si>
  <si>
    <t>FIR TREE(23807-31180-0002)　消耗工具品名</t>
    <rPh sb="27" eb="31">
      <t>ショウモウコウグ</t>
    </rPh>
    <rPh sb="31" eb="33">
      <t>ヒンメイ</t>
    </rPh>
    <phoneticPr fontId="12"/>
  </si>
  <si>
    <t>使用回数</t>
    <rPh sb="0" eb="2">
      <t>シヨウ</t>
    </rPh>
    <rPh sb="2" eb="4">
      <t>カイスウ</t>
    </rPh>
    <phoneticPr fontId="11"/>
  </si>
  <si>
    <t>カウント数</t>
    <rPh sb="4" eb="5">
      <t>スウ</t>
    </rPh>
    <phoneticPr fontId="11"/>
  </si>
  <si>
    <t>⑥⑪⑫</t>
    <phoneticPr fontId="11"/>
  </si>
  <si>
    <t>GMM2020-TMR(PR1115)</t>
    <phoneticPr fontId="12"/>
  </si>
  <si>
    <t>KGMR1616JX-2</t>
    <phoneticPr fontId="12"/>
  </si>
  <si>
    <t>XAL-EM4S10</t>
    <phoneticPr fontId="12"/>
  </si>
  <si>
    <t>18°斜め端面</t>
    <rPh sb="3" eb="4">
      <t>ナナ</t>
    </rPh>
    <rPh sb="5" eb="7">
      <t>タンメン</t>
    </rPh>
    <phoneticPr fontId="12"/>
  </si>
  <si>
    <t>XAC-MSXR8</t>
    <phoneticPr fontId="12"/>
  </si>
  <si>
    <t>⑦⑧⑨⑩</t>
    <phoneticPr fontId="11"/>
  </si>
  <si>
    <t>φ4.578、φ7.7凸部</t>
    <rPh sb="11" eb="13">
      <t>トツブ</t>
    </rPh>
    <phoneticPr fontId="12"/>
  </si>
  <si>
    <t>先端径φ5.0×12L   SP-SMC2060CST</t>
    <rPh sb="0" eb="2">
      <t>センタン</t>
    </rPh>
    <rPh sb="2" eb="3">
      <t>ケイ</t>
    </rPh>
    <phoneticPr fontId="11"/>
  </si>
  <si>
    <t>φ3.5穴 φ4.578、φ7.7凸部面取り</t>
    <rPh sb="4" eb="5">
      <t>アナ</t>
    </rPh>
    <rPh sb="17" eb="19">
      <t>トツブ</t>
    </rPh>
    <rPh sb="19" eb="21">
      <t>メント</t>
    </rPh>
    <phoneticPr fontId="12"/>
  </si>
  <si>
    <t>バニシングドリル</t>
    <phoneticPr fontId="12"/>
  </si>
  <si>
    <t>TAC-BNESDBA3.5</t>
  </si>
  <si>
    <t>⑰</t>
    <phoneticPr fontId="11"/>
  </si>
  <si>
    <t>交差穴深さ注意</t>
    <rPh sb="0" eb="2">
      <t>コウサ</t>
    </rPh>
    <rPh sb="2" eb="4">
      <t>アナフカ</t>
    </rPh>
    <rPh sb="5" eb="7">
      <t>チュウイ</t>
    </rPh>
    <phoneticPr fontId="11"/>
  </si>
  <si>
    <t>18°斜めφ3.5穴</t>
    <rPh sb="3" eb="4">
      <t>ナナ</t>
    </rPh>
    <rPh sb="9" eb="10">
      <t>アナ</t>
    </rPh>
    <phoneticPr fontId="12"/>
  </si>
  <si>
    <t>GDM3020N-025PM(PR1225)</t>
    <phoneticPr fontId="11"/>
  </si>
  <si>
    <t>φ8.912側外径荒取り</t>
    <rPh sb="6" eb="7">
      <t>ガワ</t>
    </rPh>
    <rPh sb="7" eb="9">
      <t>ガイケイ</t>
    </rPh>
    <rPh sb="9" eb="10">
      <t>アラ</t>
    </rPh>
    <rPh sb="10" eb="11">
      <t>ド</t>
    </rPh>
    <phoneticPr fontId="12"/>
  </si>
  <si>
    <t>KGDR1616H-3T06</t>
    <phoneticPr fontId="11"/>
  </si>
  <si>
    <t>φ9.2側外径荒取り</t>
    <rPh sb="4" eb="5">
      <t>ガワ</t>
    </rPh>
    <rPh sb="5" eb="7">
      <t>ガイケイ</t>
    </rPh>
    <rPh sb="7" eb="8">
      <t>アラ</t>
    </rPh>
    <rPh sb="8" eb="9">
      <t>ド</t>
    </rPh>
    <phoneticPr fontId="12"/>
  </si>
  <si>
    <t>16.6°外径荒取り</t>
    <rPh sb="5" eb="7">
      <t>ガイケイ</t>
    </rPh>
    <rPh sb="7" eb="8">
      <t>アラ</t>
    </rPh>
    <rPh sb="8" eb="9">
      <t>ド</t>
    </rPh>
    <phoneticPr fontId="12"/>
  </si>
  <si>
    <t>S25.0H-SDUCL11</t>
    <phoneticPr fontId="11"/>
  </si>
  <si>
    <t>VBGT110302MR-F(PR1225)</t>
    <phoneticPr fontId="12"/>
  </si>
  <si>
    <t>①②⑭⑲㉑</t>
    <phoneticPr fontId="11"/>
  </si>
  <si>
    <t>全長31.20狙い</t>
    <rPh sb="0" eb="2">
      <t>ゼンチョウ</t>
    </rPh>
    <rPh sb="7" eb="8">
      <t>ネラ</t>
    </rPh>
    <phoneticPr fontId="11"/>
  </si>
  <si>
    <t>φ8.912外径仕上げ</t>
    <rPh sb="6" eb="8">
      <t>ガイケイ</t>
    </rPh>
    <rPh sb="8" eb="10">
      <t>シア</t>
    </rPh>
    <phoneticPr fontId="12"/>
  </si>
  <si>
    <t>S25.0H-SVUBL11</t>
    <phoneticPr fontId="11"/>
  </si>
  <si>
    <t>GTMH32150RGX01(TM4)</t>
    <phoneticPr fontId="11"/>
  </si>
  <si>
    <t>②③④⑤⑬㉒</t>
    <phoneticPr fontId="11"/>
  </si>
  <si>
    <t>φ7.64、φ8.15溝入れ</t>
    <rPh sb="11" eb="12">
      <t>ミゾ</t>
    </rPh>
    <rPh sb="12" eb="13">
      <t>イ</t>
    </rPh>
    <phoneticPr fontId="12"/>
  </si>
  <si>
    <t>溝入れスリーブホルダ</t>
    <rPh sb="0" eb="1">
      <t>ミゾ</t>
    </rPh>
    <rPh sb="1" eb="2">
      <t>イ</t>
    </rPh>
    <phoneticPr fontId="12"/>
  </si>
  <si>
    <t>GTMH32200RGX02(TM4)</t>
    <phoneticPr fontId="11"/>
  </si>
  <si>
    <t>①⑱⑳㉜</t>
    <phoneticPr fontId="11"/>
  </si>
  <si>
    <t>φ6.68、幅2mm溝入れ</t>
    <rPh sb="6" eb="7">
      <t>ハバ</t>
    </rPh>
    <rPh sb="10" eb="11">
      <t>ミゾ</t>
    </rPh>
    <rPh sb="11" eb="12">
      <t>イ</t>
    </rPh>
    <phoneticPr fontId="12"/>
  </si>
  <si>
    <t>MVS0320×10S040(DP1020)</t>
    <phoneticPr fontId="12"/>
  </si>
  <si>
    <t>⑯</t>
    <phoneticPr fontId="11"/>
  </si>
  <si>
    <t>◯</t>
    <phoneticPr fontId="11"/>
  </si>
  <si>
    <t>φ3.5下穴</t>
    <rPh sb="4" eb="5">
      <t>シタ</t>
    </rPh>
    <rPh sb="5" eb="6">
      <t>アナ</t>
    </rPh>
    <phoneticPr fontId="12"/>
  </si>
  <si>
    <t>センター穴、φ3.5穴面</t>
    <rPh sb="4" eb="5">
      <t>アナ</t>
    </rPh>
    <rPh sb="10" eb="11">
      <t>アナ</t>
    </rPh>
    <rPh sb="11" eb="12">
      <t>メン</t>
    </rPh>
    <phoneticPr fontId="11"/>
  </si>
  <si>
    <t>φ3.5穴</t>
    <rPh sb="4" eb="5">
      <t>アナ</t>
    </rPh>
    <phoneticPr fontId="12"/>
  </si>
  <si>
    <t>NC42 工具交換時 工程管理図番号チェック表（SS327）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</si>
  <si>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t>三次元測定</t>
    <rPh sb="0" eb="3">
      <t>サンジゲン</t>
    </rPh>
    <rPh sb="3" eb="5">
      <t>ソクテイ</t>
    </rPh>
    <phoneticPr fontId="11"/>
  </si>
  <si>
    <t>㊼三次元測定</t>
    <rPh sb="1" eb="4">
      <t>サンジゲン</t>
    </rPh>
    <rPh sb="4" eb="6">
      <t>ソクテイ</t>
    </rPh>
    <phoneticPr fontId="11"/>
  </si>
  <si>
    <t>㊱㊲三次元測定</t>
    <rPh sb="2" eb="5">
      <t>サンジゲン</t>
    </rPh>
    <rPh sb="5" eb="7">
      <t>ソクテイ</t>
    </rPh>
    <phoneticPr fontId="11"/>
  </si>
  <si>
    <t>①②③④⑲㉝</t>
    <phoneticPr fontId="11"/>
  </si>
  <si>
    <t>②④⑤⑥⑱㉞㉟</t>
    <phoneticPr fontId="11"/>
  </si>
  <si>
    <t>㉞㉟三次元測定</t>
    <rPh sb="2" eb="7">
      <t>サンジゲンソクテイ</t>
    </rPh>
    <phoneticPr fontId="11"/>
  </si>
  <si>
    <t>㉝三次元測定</t>
    <rPh sb="1" eb="6">
      <t>サンジゲンソクテイ</t>
    </rPh>
    <phoneticPr fontId="11"/>
  </si>
  <si>
    <t>CNMG120408N-GU(AC6030M)</t>
    <phoneticPr fontId="11"/>
  </si>
  <si>
    <t>DS-SDUL22-11</t>
    <phoneticPr fontId="12"/>
  </si>
  <si>
    <t>T01</t>
    <phoneticPr fontId="12"/>
  </si>
  <si>
    <t>テーパー穴</t>
    <rPh sb="4" eb="5">
      <t>アナ</t>
    </rPh>
    <phoneticPr fontId="12"/>
  </si>
  <si>
    <t>120°テーパー下穴</t>
    <rPh sb="8" eb="9">
      <t>シタ</t>
    </rPh>
    <rPh sb="9" eb="10">
      <t>アナ</t>
    </rPh>
    <phoneticPr fontId="12"/>
  </si>
  <si>
    <t>⑪⑫⑬㉓㉞</t>
    <phoneticPr fontId="11"/>
  </si>
  <si>
    <t>⑤㉑㉘㉙㉜</t>
    <phoneticPr fontId="11"/>
  </si>
  <si>
    <t>⑥⑩⑪㉔㉜㉝</t>
    <phoneticPr fontId="11"/>
  </si>
  <si>
    <t>BOSS(16515-52010-0011)　</t>
    <phoneticPr fontId="12"/>
  </si>
  <si>
    <t>NC75 工具交換時 工程管理図番号チェック表（NN-32YB2XB）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</si>
  <si>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t>先端15°荒取り</t>
    <rPh sb="0" eb="2">
      <t>センタン</t>
    </rPh>
    <rPh sb="5" eb="7">
      <t>アラド</t>
    </rPh>
    <phoneticPr fontId="12"/>
  </si>
  <si>
    <t>DCGT11T304MN-SI(T1500Z)</t>
    <phoneticPr fontId="11"/>
  </si>
  <si>
    <t>①④</t>
    <phoneticPr fontId="11"/>
  </si>
  <si>
    <t>SPセンター</t>
    <phoneticPr fontId="12"/>
  </si>
  <si>
    <t>センター穴、φ12.5ザグリ穴面取り</t>
    <rPh sb="4" eb="5">
      <t>アナ</t>
    </rPh>
    <rPh sb="14" eb="15">
      <t>アナ</t>
    </rPh>
    <rPh sb="15" eb="17">
      <t>メント</t>
    </rPh>
    <phoneticPr fontId="11"/>
  </si>
  <si>
    <t>Ｒ8.575周辺面取り</t>
    <rPh sb="6" eb="8">
      <t>シュウヘン</t>
    </rPh>
    <rPh sb="8" eb="10">
      <t>メント</t>
    </rPh>
    <phoneticPr fontId="12"/>
  </si>
  <si>
    <t>T12</t>
    <phoneticPr fontId="11"/>
  </si>
  <si>
    <t>GSXVL4100-2.5D</t>
    <phoneticPr fontId="12"/>
  </si>
  <si>
    <t>②③</t>
    <phoneticPr fontId="11"/>
  </si>
  <si>
    <t>スパナ掛け仕上げ</t>
    <rPh sb="3" eb="4">
      <t>ガ</t>
    </rPh>
    <rPh sb="5" eb="7">
      <t>シア</t>
    </rPh>
    <phoneticPr fontId="11"/>
  </si>
  <si>
    <t>XAL-EM4B10</t>
    <phoneticPr fontId="12"/>
  </si>
  <si>
    <t>Ｒ8.575仕上げ</t>
    <rPh sb="6" eb="8">
      <t>シア</t>
    </rPh>
    <phoneticPr fontId="12"/>
  </si>
  <si>
    <t>SI-WC-RESF10</t>
    <phoneticPr fontId="11"/>
  </si>
  <si>
    <t>Ｒ8.575、スパナ掛け荒取り</t>
    <rPh sb="10" eb="11">
      <t>ガ</t>
    </rPh>
    <rPh sb="12" eb="14">
      <t>アラド</t>
    </rPh>
    <phoneticPr fontId="12"/>
  </si>
  <si>
    <t>T15</t>
    <phoneticPr fontId="11"/>
  </si>
  <si>
    <t>DMP103</t>
    <phoneticPr fontId="11"/>
  </si>
  <si>
    <t>φ10.5下穴</t>
    <rPh sb="5" eb="7">
      <t>シタアナ</t>
    </rPh>
    <phoneticPr fontId="11"/>
  </si>
  <si>
    <t>DRILL MEISTAR</t>
    <phoneticPr fontId="12"/>
  </si>
  <si>
    <t>TIDC100C10-3</t>
    <phoneticPr fontId="11"/>
  </si>
  <si>
    <t>CCET060201MFL-U(TN610)</t>
    <phoneticPr fontId="12"/>
  </si>
  <si>
    <t>⑥⑩</t>
    <phoneticPr fontId="11"/>
  </si>
  <si>
    <t>φ12.5ザグリ穴仕上げ</t>
    <rPh sb="8" eb="9">
      <t>アナ</t>
    </rPh>
    <rPh sb="9" eb="11">
      <t>シア</t>
    </rPh>
    <phoneticPr fontId="12"/>
  </si>
  <si>
    <t>C08X-SCLCR06-100EZP</t>
    <phoneticPr fontId="11"/>
  </si>
  <si>
    <t>EZH08022HP-135</t>
    <phoneticPr fontId="11"/>
  </si>
  <si>
    <t>90SPC3.0×10CBALD</t>
    <phoneticPr fontId="12"/>
  </si>
  <si>
    <t>φ10.5下穴貫通（ﾊﾞﾘ取り）</t>
    <rPh sb="5" eb="7">
      <t>シタアナ</t>
    </rPh>
    <rPh sb="7" eb="9">
      <t>カンツウ</t>
    </rPh>
    <rPh sb="13" eb="14">
      <t>ト</t>
    </rPh>
    <phoneticPr fontId="11"/>
  </si>
  <si>
    <t>T41</t>
    <phoneticPr fontId="11"/>
  </si>
  <si>
    <t>⑦⑫</t>
    <phoneticPr fontId="11"/>
  </si>
  <si>
    <t>M12×1.5-6Ｈ</t>
    <phoneticPr fontId="11"/>
  </si>
  <si>
    <t>XD21396SINR7807-08EZ</t>
    <phoneticPr fontId="11"/>
  </si>
  <si>
    <t>EZH07022HP-135</t>
    <phoneticPr fontId="11"/>
  </si>
  <si>
    <t>CCGT060202MP-CK(PR1725)</t>
    <phoneticPr fontId="11"/>
  </si>
  <si>
    <t>⑪⑲⑳</t>
    <phoneticPr fontId="11"/>
  </si>
  <si>
    <t>Ｃ1.2、φ10.5穴仕上げ</t>
    <rPh sb="10" eb="11">
      <t>アナ</t>
    </rPh>
    <rPh sb="11" eb="13">
      <t>シア</t>
    </rPh>
    <phoneticPr fontId="12"/>
  </si>
  <si>
    <t>T50</t>
    <phoneticPr fontId="11"/>
  </si>
  <si>
    <t>CCGT09T304MN-SI(T1500Z)</t>
    <phoneticPr fontId="12"/>
  </si>
  <si>
    <t>④⑬⑭</t>
    <phoneticPr fontId="11"/>
  </si>
  <si>
    <t>SCLCR1616H-09</t>
    <phoneticPr fontId="12"/>
  </si>
  <si>
    <t>CNMG120404-LP(MP3025)</t>
    <phoneticPr fontId="12"/>
  </si>
  <si>
    <t>MDW300GS2</t>
    <phoneticPr fontId="11"/>
  </si>
  <si>
    <t>T24使用済品を取付</t>
    <rPh sb="3" eb="6">
      <t>シヨウズ</t>
    </rPh>
    <rPh sb="6" eb="7">
      <t>ヒン</t>
    </rPh>
    <rPh sb="8" eb="10">
      <t>トリツケ</t>
    </rPh>
    <phoneticPr fontId="11"/>
  </si>
  <si>
    <t>T34</t>
    <phoneticPr fontId="12"/>
  </si>
  <si>
    <t>T35</t>
    <phoneticPr fontId="12"/>
  </si>
  <si>
    <t>MVE1100×02S110(DP1020)</t>
    <phoneticPr fontId="12"/>
  </si>
  <si>
    <t>MVE0500×03S050(DP1020)</t>
    <phoneticPr fontId="11"/>
  </si>
  <si>
    <t>旧品番CCGT09T302MFNAM3(QM3)</t>
    <rPh sb="0" eb="3">
      <t>キュウヒンバン</t>
    </rPh>
    <phoneticPr fontId="11"/>
  </si>
  <si>
    <t>NC56 工具交換時 工程管理図番号チェック表（NN-32YB2XB）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</si>
  <si>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t>DCMT11T302N-SU(AC6030M)</t>
    <phoneticPr fontId="11"/>
  </si>
  <si>
    <t>TCL27-250-020(AH725)</t>
    <phoneticPr fontId="12"/>
  </si>
  <si>
    <t>STCR1212-27-CHP</t>
    <phoneticPr fontId="12"/>
  </si>
  <si>
    <t>φ11.524内径仕上げ
端面仕上げ</t>
    <rPh sb="7" eb="9">
      <t>ナイケイ</t>
    </rPh>
    <rPh sb="9" eb="11">
      <t>シア</t>
    </rPh>
    <rPh sb="13" eb="17">
      <t>タンメンシア</t>
    </rPh>
    <phoneticPr fontId="12"/>
  </si>
  <si>
    <t>④⑦</t>
    <phoneticPr fontId="11"/>
  </si>
  <si>
    <t>④専用ピンゲージにて測定</t>
    <rPh sb="1" eb="3">
      <t>センヨウ</t>
    </rPh>
    <rPh sb="10" eb="12">
      <t>ソクテイ</t>
    </rPh>
    <phoneticPr fontId="11"/>
  </si>
  <si>
    <t>NC78 工具交換時 工程管理図番号チェック表（BO326-Ⅱ）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</si>
  <si>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t>HOLDER (428600761803)消耗工具品名　</t>
    <rPh sb="21" eb="27">
      <t>ショウモウコウグヒンメイ</t>
    </rPh>
    <phoneticPr fontId="12"/>
  </si>
  <si>
    <t>①②③④㉛㉟</t>
    <phoneticPr fontId="11"/>
  </si>
  <si>
    <t>㉛三次元測定</t>
    <rPh sb="1" eb="6">
      <t>サンジゲンソクテイ</t>
    </rPh>
    <phoneticPr fontId="11"/>
  </si>
  <si>
    <t>㉜㉝㉞</t>
    <phoneticPr fontId="11"/>
  </si>
  <si>
    <t>個</t>
    <rPh sb="0" eb="1">
      <t>コ</t>
    </rPh>
    <phoneticPr fontId="11"/>
  </si>
  <si>
    <t>φ18.13荒取り</t>
    <rPh sb="6" eb="7">
      <t>アラ</t>
    </rPh>
    <rPh sb="7" eb="8">
      <t>ド</t>
    </rPh>
    <phoneticPr fontId="12"/>
  </si>
  <si>
    <t>㉚㉛</t>
    <phoneticPr fontId="11"/>
  </si>
  <si>
    <t>φ18.13仕上げ</t>
    <rPh sb="6" eb="8">
      <t>シア</t>
    </rPh>
    <phoneticPr fontId="12"/>
  </si>
  <si>
    <t>90SPC1.0×3SECBALD</t>
    <phoneticPr fontId="12"/>
  </si>
  <si>
    <t>センター穴、φ2.3穴面、φ4.2ザグリ穴面</t>
    <rPh sb="4" eb="5">
      <t>アナ</t>
    </rPh>
    <rPh sb="10" eb="11">
      <t>アナ</t>
    </rPh>
    <rPh sb="11" eb="12">
      <t>メン</t>
    </rPh>
    <rPh sb="20" eb="21">
      <t>アナ</t>
    </rPh>
    <rPh sb="21" eb="22">
      <t>メン</t>
    </rPh>
    <phoneticPr fontId="12"/>
  </si>
  <si>
    <t>⑮⑯⑰</t>
    <phoneticPr fontId="11"/>
  </si>
  <si>
    <t>③④⑧⑬⑱⑲⑳㉑㊴㊶㊹</t>
    <phoneticPr fontId="11"/>
  </si>
  <si>
    <t>φ11.523内径仕上げ</t>
    <rPh sb="7" eb="9">
      <t>ナイケイ</t>
    </rPh>
    <rPh sb="9" eb="11">
      <t>シア</t>
    </rPh>
    <phoneticPr fontId="12"/>
  </si>
  <si>
    <t>⑧⑬</t>
    <phoneticPr fontId="11"/>
  </si>
  <si>
    <t>T43</t>
    <phoneticPr fontId="11"/>
  </si>
  <si>
    <t>EX-SUS-GDR3.1</t>
    <phoneticPr fontId="12"/>
  </si>
  <si>
    <t>⑩⑪</t>
    <phoneticPr fontId="11"/>
  </si>
  <si>
    <t>φ3.1穴</t>
    <rPh sb="4" eb="5">
      <t>アナ</t>
    </rPh>
    <phoneticPr fontId="12"/>
  </si>
  <si>
    <t>⑨⑫</t>
    <phoneticPr fontId="11"/>
  </si>
  <si>
    <t>φ6.2穴</t>
    <rPh sb="4" eb="5">
      <t>アナ</t>
    </rPh>
    <phoneticPr fontId="12"/>
  </si>
  <si>
    <t>⑤⑥⑦㉒</t>
    <phoneticPr fontId="11"/>
  </si>
  <si>
    <t>⑦㉒三次元測定</t>
    <rPh sb="2" eb="7">
      <t>サンジゲンソクテイ</t>
    </rPh>
    <phoneticPr fontId="11"/>
  </si>
  <si>
    <t>外径、端面仕上げ</t>
    <rPh sb="0" eb="2">
      <t>ガイケイ</t>
    </rPh>
    <rPh sb="3" eb="5">
      <t>タンメン</t>
    </rPh>
    <rPh sb="5" eb="7">
      <t>シア</t>
    </rPh>
    <phoneticPr fontId="12"/>
  </si>
  <si>
    <r>
      <t>※</t>
    </r>
    <r>
      <rPr>
        <sz val="12"/>
        <color theme="1"/>
        <rFont val="ＭＳ Ｐゴシック"/>
        <family val="3"/>
        <charset val="128"/>
      </rPr>
      <t>全長37.00の場合</t>
    </r>
    <rPh sb="1" eb="3">
      <t>ゼンチョウ</t>
    </rPh>
    <rPh sb="9" eb="11">
      <t>バアイ</t>
    </rPh>
    <phoneticPr fontId="11"/>
  </si>
  <si>
    <t>VF-SFPR 12</t>
    <phoneticPr fontId="12"/>
  </si>
  <si>
    <r>
      <rPr>
        <sz val="12"/>
        <color rgb="FFFF0000"/>
        <rFont val="ＭＳ Ｐゴシック"/>
        <family val="3"/>
        <charset val="128"/>
      </rPr>
      <t>※</t>
    </r>
    <r>
      <rPr>
        <sz val="12"/>
        <color indexed="8"/>
        <rFont val="ＭＳ Ｐゴシック"/>
        <family val="3"/>
        <charset val="128"/>
      </rPr>
      <t>⒳16.85～16.90狙い</t>
    </r>
    <rPh sb="13" eb="14">
      <t>ネラ</t>
    </rPh>
    <phoneticPr fontId="12"/>
  </si>
  <si>
    <t>NC41 工具交換時 工程管理図番号チェック表（SS327）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</si>
  <si>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t>T08</t>
    <phoneticPr fontId="11"/>
  </si>
  <si>
    <t>T09</t>
    <phoneticPr fontId="12"/>
  </si>
  <si>
    <t>T25</t>
    <phoneticPr fontId="11"/>
  </si>
  <si>
    <t>CNMG120408N-GU(AC6030M)</t>
    <phoneticPr fontId="12"/>
  </si>
  <si>
    <t>PCLNR1616</t>
    <phoneticPr fontId="12"/>
  </si>
  <si>
    <t>BLM25-06</t>
    <phoneticPr fontId="12"/>
  </si>
  <si>
    <t>φ18.13仕上げ、R部先端ﾊﾞﾘ取り</t>
    <rPh sb="6" eb="8">
      <t>シア</t>
    </rPh>
    <rPh sb="11" eb="12">
      <t>ブ</t>
    </rPh>
    <rPh sb="12" eb="14">
      <t>センタン</t>
    </rPh>
    <rPh sb="17" eb="18">
      <t>ト</t>
    </rPh>
    <phoneticPr fontId="12"/>
  </si>
  <si>
    <t>φ11.4×33L(先端角R0.4)</t>
    <rPh sb="10" eb="12">
      <t>センタン</t>
    </rPh>
    <rPh sb="12" eb="13">
      <t>カク</t>
    </rPh>
    <phoneticPr fontId="12"/>
  </si>
  <si>
    <t>GDM2520N-020PM(PR1225)</t>
    <phoneticPr fontId="11"/>
  </si>
  <si>
    <t>VCGT110302MCL(QM3)</t>
    <phoneticPr fontId="12"/>
  </si>
  <si>
    <t>08IR60007(PR1115)</t>
    <phoneticPr fontId="11"/>
  </si>
  <si>
    <t>T51</t>
    <phoneticPr fontId="11"/>
  </si>
  <si>
    <t>90SPC2.0×6CBSALD</t>
    <phoneticPr fontId="11"/>
  </si>
  <si>
    <t>MVE01140×02S120(DP1020)</t>
    <phoneticPr fontId="12"/>
  </si>
  <si>
    <r>
      <rPr>
        <sz val="12"/>
        <color rgb="FFFF0000"/>
        <rFont val="ＭＳ Ｐゴシック"/>
        <family val="3"/>
        <charset val="128"/>
      </rPr>
      <t>※</t>
    </r>
    <r>
      <rPr>
        <sz val="12"/>
        <color theme="1"/>
        <rFont val="ＭＳ Ｐゴシック"/>
        <family val="3"/>
        <charset val="128"/>
      </rPr>
      <t>下穴15.00狙い</t>
    </r>
    <rPh sb="1" eb="3">
      <t>シタアナ</t>
    </rPh>
    <rPh sb="8" eb="9">
      <t>ネラシタアナネラナイケイネラ</t>
    </rPh>
    <phoneticPr fontId="11"/>
  </si>
  <si>
    <r>
      <rPr>
        <sz val="12"/>
        <color rgb="FFFF0000"/>
        <rFont val="ＭＳ Ｐゴシック"/>
        <family val="3"/>
        <charset val="128"/>
      </rPr>
      <t>※</t>
    </r>
    <r>
      <rPr>
        <sz val="12"/>
        <color theme="1"/>
        <rFont val="ＭＳ Ｐゴシック"/>
        <family val="3"/>
        <charset val="128"/>
      </rPr>
      <t>下穴13.84狙い</t>
    </r>
    <rPh sb="1" eb="3">
      <t>シタアナ</t>
    </rPh>
    <rPh sb="8" eb="9">
      <t>ネラシタアナネラナイケイネラ</t>
    </rPh>
    <phoneticPr fontId="11"/>
  </si>
  <si>
    <t>DCMT11T304N-LU(AC6030M)</t>
    <phoneticPr fontId="11"/>
  </si>
  <si>
    <t>NC78 工具交換時 工程管理図番号チェック表（BO326-Ⅲ）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</si>
  <si>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t>シート面、φ11.523内径仕上げ</t>
    <rPh sb="3" eb="4">
      <t>メン</t>
    </rPh>
    <rPh sb="12" eb="14">
      <t>ナイケイ</t>
    </rPh>
    <rPh sb="14" eb="16">
      <t>シア</t>
    </rPh>
    <phoneticPr fontId="12"/>
  </si>
  <si>
    <t>端面、外径仕上げ</t>
    <rPh sb="0" eb="2">
      <t>タンメン</t>
    </rPh>
    <rPh sb="3" eb="7">
      <t>ガイケイシア</t>
    </rPh>
    <phoneticPr fontId="12"/>
  </si>
  <si>
    <t>下穴</t>
    <rPh sb="0" eb="2">
      <t>シタアナ</t>
    </rPh>
    <phoneticPr fontId="12"/>
  </si>
  <si>
    <t>AQDEXZ1100-R05</t>
    <phoneticPr fontId="12"/>
  </si>
  <si>
    <t>内径荒</t>
    <rPh sb="0" eb="3">
      <t>ナイケイアラ</t>
    </rPh>
    <phoneticPr fontId="12"/>
  </si>
  <si>
    <t>内径仕上げ</t>
    <rPh sb="0" eb="4">
      <t>ナイケイシア</t>
    </rPh>
    <phoneticPr fontId="12"/>
  </si>
  <si>
    <t>EPGT040102L-W08(GT9530)</t>
    <phoneticPr fontId="12"/>
  </si>
  <si>
    <t>CCGT09T304MFP-SK(PV730)</t>
    <phoneticPr fontId="12"/>
  </si>
  <si>
    <t>捨て溝</t>
    <rPh sb="0" eb="1">
      <t>ス</t>
    </rPh>
    <rPh sb="2" eb="3">
      <t>ミゾ</t>
    </rPh>
    <phoneticPr fontId="12"/>
  </si>
  <si>
    <t>GDM2520N-020PM (PR1225)</t>
    <phoneticPr fontId="12"/>
  </si>
  <si>
    <t>φ9.3下穴</t>
    <rPh sb="4" eb="5">
      <t>シタ</t>
    </rPh>
    <rPh sb="5" eb="6">
      <t>アナ</t>
    </rPh>
    <phoneticPr fontId="12"/>
  </si>
  <si>
    <t>MVE0930X02S100(DP1020)</t>
    <phoneticPr fontId="12"/>
  </si>
  <si>
    <t>90SPC4.0×12CBALD</t>
    <phoneticPr fontId="12"/>
  </si>
  <si>
    <t>AGSUSS6.2</t>
    <phoneticPr fontId="12"/>
  </si>
  <si>
    <t>SSSCR1212F09</t>
    <phoneticPr fontId="12"/>
  </si>
  <si>
    <t>KGDR1216H-3T06</t>
    <phoneticPr fontId="12"/>
  </si>
  <si>
    <t>T14</t>
    <phoneticPr fontId="21"/>
  </si>
  <si>
    <t>T15</t>
    <phoneticPr fontId="21"/>
  </si>
  <si>
    <t>T16</t>
    <phoneticPr fontId="21"/>
  </si>
  <si>
    <t>T17</t>
    <phoneticPr fontId="21"/>
  </si>
  <si>
    <t>T30</t>
    <phoneticPr fontId="21"/>
  </si>
  <si>
    <t>EZH03022.0HP-135</t>
    <phoneticPr fontId="21"/>
  </si>
  <si>
    <t>T32</t>
    <phoneticPr fontId="21"/>
  </si>
  <si>
    <t>T34</t>
    <phoneticPr fontId="21"/>
  </si>
  <si>
    <t>T39</t>
    <phoneticPr fontId="21"/>
  </si>
  <si>
    <t>SCLCR1212JX-09FF</t>
    <phoneticPr fontId="21"/>
  </si>
  <si>
    <t>T40</t>
    <phoneticPr fontId="21"/>
  </si>
  <si>
    <t>KGBFR1212JX-16F</t>
    <phoneticPr fontId="21"/>
  </si>
  <si>
    <t>CNMG120404-LP(MP3025)</t>
    <phoneticPr fontId="11"/>
  </si>
  <si>
    <r>
      <t>代替品(</t>
    </r>
    <r>
      <rPr>
        <sz val="10"/>
        <color rgb="FFFF0000"/>
        <rFont val="ＭＳ Ｐゴシック"/>
        <family val="3"/>
        <charset val="128"/>
      </rPr>
      <t>超硬</t>
    </r>
    <r>
      <rPr>
        <sz val="10"/>
        <color theme="1"/>
        <rFont val="ＭＳ Ｐゴシック"/>
        <family val="3"/>
        <charset val="128"/>
      </rPr>
      <t xml:space="preserve">)
</t>
    </r>
    <r>
      <rPr>
        <sz val="10"/>
        <color rgb="FFFF0000"/>
        <rFont val="ＭＳ Ｐゴシック"/>
        <family val="3"/>
        <charset val="128"/>
      </rPr>
      <t>CNMG120404-LP(MC6015)</t>
    </r>
    <rPh sb="0" eb="3">
      <t>ダイガエヒン</t>
    </rPh>
    <rPh sb="4" eb="6">
      <t>チョウコウ</t>
    </rPh>
    <phoneticPr fontId="11"/>
  </si>
  <si>
    <t>φ11.14内径仕上げ
穴底120°テーパー</t>
    <rPh sb="6" eb="8">
      <t>ナイケイ</t>
    </rPh>
    <rPh sb="8" eb="10">
      <t>シア</t>
    </rPh>
    <rPh sb="12" eb="13">
      <t>アナ</t>
    </rPh>
    <rPh sb="13" eb="14">
      <t>ゾコ</t>
    </rPh>
    <phoneticPr fontId="12"/>
  </si>
  <si>
    <t>120°テーパー
φ20.96外径仕上げ</t>
    <rPh sb="15" eb="19">
      <t>ガイケイシア</t>
    </rPh>
    <phoneticPr fontId="12"/>
  </si>
  <si>
    <t>φ11.14内径仕上げ
穴底120°テーパー</t>
    <rPh sb="6" eb="8">
      <t>ナイケイ</t>
    </rPh>
    <rPh sb="8" eb="10">
      <t>シア</t>
    </rPh>
    <rPh sb="12" eb="14">
      <t>アナゾコ</t>
    </rPh>
    <phoneticPr fontId="11"/>
  </si>
  <si>
    <t xml:space="preserve">TSUGAMI   B0326-Ⅱ  </t>
    <phoneticPr fontId="11"/>
  </si>
  <si>
    <t xml:space="preserve">SLEEVE(327A00067800)　NC49 消耗工具品名 </t>
    <rPh sb="26" eb="30">
      <t>ショウモウコウグ</t>
    </rPh>
    <rPh sb="30" eb="32">
      <t>ヒンメイ</t>
    </rPh>
    <phoneticPr fontId="12"/>
  </si>
  <si>
    <t>溝入れホルダ</t>
    <rPh sb="0" eb="2">
      <t>ミゾイ</t>
    </rPh>
    <phoneticPr fontId="11"/>
  </si>
  <si>
    <t>φ9.5下穴</t>
    <rPh sb="4" eb="5">
      <t>シタ</t>
    </rPh>
    <rPh sb="5" eb="6">
      <t>アナ</t>
    </rPh>
    <phoneticPr fontId="12"/>
  </si>
  <si>
    <t>BLM25-06</t>
    <phoneticPr fontId="11"/>
  </si>
  <si>
    <t>NTK</t>
    <phoneticPr fontId="11"/>
  </si>
  <si>
    <t>CCGT060202MFL-U(PV720)</t>
    <phoneticPr fontId="12"/>
  </si>
  <si>
    <t>C08K-SCLCR06D10-OH</t>
    <phoneticPr fontId="11"/>
  </si>
  <si>
    <t>SHA0825-125</t>
    <phoneticPr fontId="11"/>
  </si>
  <si>
    <t>FX-ZDS11.6</t>
    <phoneticPr fontId="11"/>
  </si>
  <si>
    <t>超硬段付エンドミル</t>
    <rPh sb="0" eb="2">
      <t>チョウコウ</t>
    </rPh>
    <rPh sb="2" eb="4">
      <t>ダンツ</t>
    </rPh>
    <phoneticPr fontId="11"/>
  </si>
  <si>
    <t>φ4.7×2L(φ6シャンクC面刃付)</t>
    <rPh sb="15" eb="16">
      <t>メン</t>
    </rPh>
    <rPh sb="16" eb="17">
      <t>ハ</t>
    </rPh>
    <rPh sb="17" eb="18">
      <t>ツキ</t>
    </rPh>
    <phoneticPr fontId="11"/>
  </si>
  <si>
    <t>T17</t>
    <phoneticPr fontId="11"/>
  </si>
  <si>
    <t>センター穴、φ2.0穴面、φ4.1ザグリ穴面</t>
    <rPh sb="4" eb="5">
      <t>アナ</t>
    </rPh>
    <rPh sb="10" eb="11">
      <t>アナ</t>
    </rPh>
    <rPh sb="11" eb="12">
      <t>メン</t>
    </rPh>
    <rPh sb="20" eb="21">
      <t>アナ</t>
    </rPh>
    <rPh sb="21" eb="22">
      <t>メン</t>
    </rPh>
    <phoneticPr fontId="12"/>
  </si>
  <si>
    <t>φ2.0穴</t>
    <rPh sb="4" eb="5">
      <t>アナ</t>
    </rPh>
    <phoneticPr fontId="12"/>
  </si>
  <si>
    <t>φ19.13仕上げ、R部先端ﾊﾞﾘ取り</t>
    <rPh sb="6" eb="8">
      <t>シア</t>
    </rPh>
    <rPh sb="11" eb="12">
      <t>ブ</t>
    </rPh>
    <rPh sb="12" eb="14">
      <t>センタン</t>
    </rPh>
    <rPh sb="17" eb="18">
      <t>ト</t>
    </rPh>
    <phoneticPr fontId="12"/>
  </si>
  <si>
    <t>φ17.97φ22.92外径仕上げ</t>
    <rPh sb="12" eb="16">
      <t>ガイケイシア</t>
    </rPh>
    <phoneticPr fontId="12"/>
  </si>
  <si>
    <t>ツバ裏部17°隅取り</t>
    <rPh sb="2" eb="4">
      <t>ウラブ</t>
    </rPh>
    <rPh sb="7" eb="9">
      <t>スミト</t>
    </rPh>
    <phoneticPr fontId="11"/>
  </si>
  <si>
    <t>φ2.0交差穴裏バリ取り(面取り)</t>
    <rPh sb="4" eb="6">
      <t>コウサ</t>
    </rPh>
    <rPh sb="6" eb="7">
      <t>アナ</t>
    </rPh>
    <rPh sb="7" eb="8">
      <t>ウラ</t>
    </rPh>
    <rPh sb="10" eb="11">
      <t>ト</t>
    </rPh>
    <rPh sb="13" eb="15">
      <t>メント</t>
    </rPh>
    <phoneticPr fontId="12"/>
  </si>
  <si>
    <t>φ2.0交差穴バリ取り</t>
    <rPh sb="4" eb="6">
      <t>コウサ</t>
    </rPh>
    <rPh sb="6" eb="7">
      <t>アナ</t>
    </rPh>
    <rPh sb="9" eb="10">
      <t>ト</t>
    </rPh>
    <phoneticPr fontId="12"/>
  </si>
  <si>
    <t>φ11.4穴底(φ11.523下穴)</t>
    <rPh sb="5" eb="6">
      <t>アナ</t>
    </rPh>
    <rPh sb="6" eb="7">
      <t>ソコ</t>
    </rPh>
    <rPh sb="15" eb="16">
      <t>シタ</t>
    </rPh>
    <rPh sb="16" eb="17">
      <t>アナ</t>
    </rPh>
    <phoneticPr fontId="12"/>
  </si>
  <si>
    <t>⑤⑥⑦</t>
    <phoneticPr fontId="11"/>
  </si>
  <si>
    <t>⑦三次元測定</t>
    <rPh sb="1" eb="4">
      <t>サンジゲン</t>
    </rPh>
    <rPh sb="4" eb="6">
      <t>ソクテイ</t>
    </rPh>
    <phoneticPr fontId="11"/>
  </si>
  <si>
    <t>拡大鏡で面バリのチェック</t>
    <rPh sb="0" eb="3">
      <t>カクダイキョウ</t>
    </rPh>
    <rPh sb="4" eb="5">
      <t>メン</t>
    </rPh>
    <phoneticPr fontId="11"/>
  </si>
  <si>
    <t>90LSPC1.5×4×100CBALD</t>
    <phoneticPr fontId="11"/>
  </si>
  <si>
    <t>φ3.1穴面（C0.1～0.2)</t>
    <rPh sb="4" eb="6">
      <t>アナメン</t>
    </rPh>
    <phoneticPr fontId="11"/>
  </si>
  <si>
    <t>MVE1140×02S120(DP1020)</t>
    <phoneticPr fontId="11"/>
  </si>
  <si>
    <t>識別マーク確認</t>
    <rPh sb="0" eb="2">
      <t>シキベツ</t>
    </rPh>
    <rPh sb="5" eb="7">
      <t>カクニン</t>
    </rPh>
    <phoneticPr fontId="11"/>
  </si>
  <si>
    <t>SI-WC-RESF 10H</t>
    <phoneticPr fontId="12"/>
  </si>
  <si>
    <t>ツバ裏部17°隅取り</t>
    <phoneticPr fontId="11"/>
  </si>
  <si>
    <t>日新工具</t>
    <rPh sb="0" eb="2">
      <t>ニッシン</t>
    </rPh>
    <rPh sb="2" eb="4">
      <t>コウグ</t>
    </rPh>
    <phoneticPr fontId="12"/>
  </si>
  <si>
    <t>MFD φ4.1×8.2</t>
    <phoneticPr fontId="12"/>
  </si>
  <si>
    <t>CCMT060204N-SU(AC6030M)</t>
    <phoneticPr fontId="11"/>
  </si>
  <si>
    <t>E08L-SCLCR06-10AN</t>
    <phoneticPr fontId="11"/>
  </si>
  <si>
    <t>SHA0825.0-135</t>
    <phoneticPr fontId="11"/>
  </si>
  <si>
    <t>SP-SMC2060CST 先端径φ5.0×12L</t>
    <rPh sb="14" eb="17">
      <t>センタンケイ</t>
    </rPh>
    <phoneticPr fontId="12"/>
  </si>
  <si>
    <t>KDA0600×05S060N</t>
    <phoneticPr fontId="12"/>
  </si>
  <si>
    <t>EZH05025.0HP-135</t>
    <phoneticPr fontId="11"/>
  </si>
  <si>
    <t>φ6.2穴径、穴底仕上げ</t>
    <rPh sb="4" eb="5">
      <t>アナ</t>
    </rPh>
    <rPh sb="5" eb="6">
      <t>ケイ</t>
    </rPh>
    <rPh sb="7" eb="11">
      <t>アナゾコシア</t>
    </rPh>
    <phoneticPr fontId="12"/>
  </si>
  <si>
    <t xml:space="preserve">SP-SMC2060CST </t>
    <phoneticPr fontId="12"/>
  </si>
  <si>
    <t>φ6.2穴下穴</t>
    <rPh sb="4" eb="5">
      <t>アナ</t>
    </rPh>
    <rPh sb="5" eb="7">
      <t>シタアナ</t>
    </rPh>
    <phoneticPr fontId="12"/>
  </si>
  <si>
    <t>ツバ厚8.75狙い</t>
    <rPh sb="2" eb="3">
      <t>アツ</t>
    </rPh>
    <rPh sb="7" eb="8">
      <t>ネラ</t>
    </rPh>
    <phoneticPr fontId="11"/>
  </si>
  <si>
    <t>シート面、φ11.523内径仕上げ
φ6.2穴入り口C面(C0.15)</t>
    <rPh sb="3" eb="4">
      <t>メン</t>
    </rPh>
    <rPh sb="12" eb="14">
      <t>ナイケイ</t>
    </rPh>
    <rPh sb="14" eb="16">
      <t>シア</t>
    </rPh>
    <rPh sb="22" eb="23">
      <t>アナ</t>
    </rPh>
    <rPh sb="23" eb="24">
      <t>イ</t>
    </rPh>
    <rPh sb="25" eb="26">
      <t>グチ</t>
    </rPh>
    <rPh sb="27" eb="28">
      <t>メン</t>
    </rPh>
    <phoneticPr fontId="12"/>
  </si>
  <si>
    <t>キー溝、C面(外径側)</t>
    <rPh sb="2" eb="3">
      <t>ミゾ</t>
    </rPh>
    <rPh sb="5" eb="6">
      <t>メン</t>
    </rPh>
    <rPh sb="7" eb="10">
      <t>ガイケイガワ</t>
    </rPh>
    <phoneticPr fontId="11"/>
  </si>
  <si>
    <t>NC81 工具交換時 工程管理図番号チェック表（SS327-Ⅲ）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</si>
  <si>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t>XC-18-A</t>
    <phoneticPr fontId="12"/>
  </si>
  <si>
    <t>φ2.3交差穴裏バリ取り(面取り)</t>
    <rPh sb="4" eb="6">
      <t>コウサ</t>
    </rPh>
    <rPh sb="6" eb="7">
      <t>アナ</t>
    </rPh>
    <rPh sb="7" eb="8">
      <t>ウラ</t>
    </rPh>
    <rPh sb="10" eb="11">
      <t>ト</t>
    </rPh>
    <rPh sb="13" eb="15">
      <t>メント</t>
    </rPh>
    <phoneticPr fontId="12"/>
  </si>
  <si>
    <t>φ2.3交差穴バリ取り</t>
    <rPh sb="4" eb="6">
      <t>コウサ</t>
    </rPh>
    <rPh sb="6" eb="7">
      <t>アナ</t>
    </rPh>
    <rPh sb="9" eb="10">
      <t>ト</t>
    </rPh>
    <phoneticPr fontId="12"/>
  </si>
  <si>
    <t>AGSUSS3.1</t>
    <phoneticPr fontId="12"/>
  </si>
  <si>
    <t>T53</t>
    <phoneticPr fontId="11"/>
  </si>
  <si>
    <t>T46</t>
    <phoneticPr fontId="11"/>
  </si>
  <si>
    <t>ｾﾝﾀｰ、φ3.1穴面、キー溝正面側面取り</t>
    <rPh sb="9" eb="10">
      <t>アナ</t>
    </rPh>
    <rPh sb="10" eb="11">
      <t>メン</t>
    </rPh>
    <rPh sb="14" eb="15">
      <t>ミゾ</t>
    </rPh>
    <rPh sb="15" eb="17">
      <t>ショウメン</t>
    </rPh>
    <rPh sb="17" eb="18">
      <t>ガワ</t>
    </rPh>
    <rPh sb="18" eb="20">
      <t>メント</t>
    </rPh>
    <phoneticPr fontId="12"/>
  </si>
  <si>
    <t>φ11.523テーパー部荒取り</t>
    <rPh sb="11" eb="12">
      <t>ブ</t>
    </rPh>
    <rPh sb="12" eb="13">
      <t>アラ</t>
    </rPh>
    <rPh sb="13" eb="14">
      <t>ド</t>
    </rPh>
    <phoneticPr fontId="12"/>
  </si>
  <si>
    <t>㊼</t>
    <phoneticPr fontId="11"/>
  </si>
  <si>
    <t>SHA0822.0-125</t>
    <phoneticPr fontId="11"/>
  </si>
  <si>
    <t>T54</t>
    <phoneticPr fontId="11"/>
  </si>
  <si>
    <t>φ16.97φ22.92外径仕上げ</t>
    <rPh sb="12" eb="16">
      <t>ガイケイシア</t>
    </rPh>
    <phoneticPr fontId="12"/>
  </si>
  <si>
    <t>センター穴、φ2.3穴面、φ4.2ザグリ穴面、識別ﾏｰｸ</t>
    <rPh sb="4" eb="5">
      <t>アナ</t>
    </rPh>
    <rPh sb="10" eb="11">
      <t>アナ</t>
    </rPh>
    <rPh sb="11" eb="12">
      <t>メン</t>
    </rPh>
    <rPh sb="20" eb="21">
      <t>アナ</t>
    </rPh>
    <rPh sb="21" eb="22">
      <t>メン</t>
    </rPh>
    <rPh sb="23" eb="25">
      <t>シキベツ</t>
    </rPh>
    <phoneticPr fontId="12"/>
  </si>
  <si>
    <t>φ23.13仕上げ、R部先端ﾊﾞﾘ取り</t>
    <rPh sb="6" eb="8">
      <t>シア</t>
    </rPh>
    <rPh sb="11" eb="12">
      <t>ブ</t>
    </rPh>
    <rPh sb="12" eb="14">
      <t>センタン</t>
    </rPh>
    <rPh sb="17" eb="18">
      <t>ト</t>
    </rPh>
    <phoneticPr fontId="12"/>
  </si>
  <si>
    <t>φ23.13荒取り</t>
    <rPh sb="6" eb="7">
      <t>アラ</t>
    </rPh>
    <rPh sb="7" eb="8">
      <t>ド</t>
    </rPh>
    <phoneticPr fontId="12"/>
  </si>
  <si>
    <t>キー溝、面取り</t>
    <rPh sb="2" eb="3">
      <t>ミゾ</t>
    </rPh>
    <rPh sb="4" eb="6">
      <t>メント</t>
    </rPh>
    <phoneticPr fontId="11"/>
  </si>
  <si>
    <t>T81</t>
    <phoneticPr fontId="11"/>
  </si>
  <si>
    <t>T82</t>
    <phoneticPr fontId="11"/>
  </si>
  <si>
    <t>T83</t>
    <phoneticPr fontId="11"/>
  </si>
  <si>
    <t>φ11.4×33L(先端角R0.4)OH付</t>
    <rPh sb="10" eb="12">
      <t>センタン</t>
    </rPh>
    <rPh sb="12" eb="13">
      <t>カク</t>
    </rPh>
    <rPh sb="20" eb="21">
      <t>ツキ</t>
    </rPh>
    <phoneticPr fontId="12"/>
  </si>
  <si>
    <t>SDJCR1616X11N-F020H2</t>
    <phoneticPr fontId="12"/>
  </si>
  <si>
    <t>16ERA60-TQ(PR1535)</t>
    <phoneticPr fontId="12"/>
  </si>
  <si>
    <t>S25.0H-KTNL16</t>
    <phoneticPr fontId="12"/>
  </si>
  <si>
    <t>RS25X-SCLL09</t>
    <phoneticPr fontId="12"/>
  </si>
  <si>
    <t>T38</t>
    <phoneticPr fontId="12"/>
  </si>
  <si>
    <t>KDA0590×03S060N</t>
    <phoneticPr fontId="12"/>
  </si>
  <si>
    <t>S25.0H-KGBFL16</t>
    <phoneticPr fontId="12"/>
  </si>
  <si>
    <t>φ9.2穴、140°ﾃｰﾊﾟｰ部
φ6.01内径荒取り</t>
    <rPh sb="4" eb="5">
      <t>アナ</t>
    </rPh>
    <rPh sb="15" eb="16">
      <t>ブ</t>
    </rPh>
    <rPh sb="22" eb="26">
      <t>ナイケイアラド</t>
    </rPh>
    <phoneticPr fontId="12"/>
  </si>
  <si>
    <t>T25</t>
    <phoneticPr fontId="12"/>
  </si>
  <si>
    <t>リーマー</t>
    <phoneticPr fontId="12"/>
  </si>
  <si>
    <t>栄工舎</t>
    <rPh sb="0" eb="1">
      <t>サカエ</t>
    </rPh>
    <rPh sb="1" eb="2">
      <t>タクミ</t>
    </rPh>
    <rPh sb="2" eb="3">
      <t>シャ</t>
    </rPh>
    <phoneticPr fontId="12"/>
  </si>
  <si>
    <t>CCGT09T302MCL(QM3)</t>
    <phoneticPr fontId="21"/>
  </si>
  <si>
    <t>SENSOR BOSS（U2-019RP2461-01）</t>
    <phoneticPr fontId="12"/>
  </si>
  <si>
    <t>GTMH32100RGX01(ST4)</t>
    <phoneticPr fontId="11"/>
  </si>
  <si>
    <t>GTTR16K15</t>
    <phoneticPr fontId="11"/>
  </si>
  <si>
    <t>GNDLL1616JX-216J</t>
    <phoneticPr fontId="11"/>
  </si>
  <si>
    <t>溝入れホルダ</t>
    <rPh sb="0" eb="1">
      <t>ミゾ</t>
    </rPh>
    <rPh sb="1" eb="2">
      <t>イ</t>
    </rPh>
    <phoneticPr fontId="11"/>
  </si>
  <si>
    <t>T20</t>
    <phoneticPr fontId="11"/>
  </si>
  <si>
    <t>AE-VMSS10</t>
    <phoneticPr fontId="11"/>
  </si>
  <si>
    <t>SHFS040R015S(TM4)</t>
    <phoneticPr fontId="12"/>
  </si>
  <si>
    <t>KDA0430×05S060N</t>
    <phoneticPr fontId="11"/>
  </si>
  <si>
    <t>φ11.5、φ13.88
φ20.7外径仕上げ</t>
    <rPh sb="18" eb="22">
      <t>ガイケイシア</t>
    </rPh>
    <phoneticPr fontId="12"/>
  </si>
  <si>
    <t>φ11、幅1.6mm溝入れ</t>
    <rPh sb="4" eb="5">
      <t>ハバ</t>
    </rPh>
    <rPh sb="10" eb="12">
      <t>ミゾイ</t>
    </rPh>
    <phoneticPr fontId="12"/>
  </si>
  <si>
    <t>φ17.7外径荒取り</t>
    <rPh sb="5" eb="7">
      <t>ガイケイ</t>
    </rPh>
    <rPh sb="7" eb="8">
      <t>アラ</t>
    </rPh>
    <rPh sb="8" eb="9">
      <t>ド</t>
    </rPh>
    <phoneticPr fontId="12"/>
  </si>
  <si>
    <t>4面幅面取り</t>
    <rPh sb="1" eb="3">
      <t>メンハバ</t>
    </rPh>
    <rPh sb="3" eb="5">
      <t>メント</t>
    </rPh>
    <phoneticPr fontId="11"/>
  </si>
  <si>
    <t>4面幅18.6mm</t>
    <rPh sb="1" eb="3">
      <t>メンハバ</t>
    </rPh>
    <phoneticPr fontId="11"/>
  </si>
  <si>
    <t>φ9-140°テーパー部
端面、φ4.4穴仕上げ</t>
    <rPh sb="6" eb="12">
      <t>ドテーパーブ</t>
    </rPh>
    <rPh sb="13" eb="15">
      <t>タンメン</t>
    </rPh>
    <rPh sb="20" eb="21">
      <t>アナ</t>
    </rPh>
    <rPh sb="21" eb="23">
      <t>シア</t>
    </rPh>
    <phoneticPr fontId="12"/>
  </si>
  <si>
    <t>140°テーパー荒取り</t>
    <rPh sb="8" eb="10">
      <t>アラド</t>
    </rPh>
    <phoneticPr fontId="11"/>
  </si>
  <si>
    <t>φ4.4下穴</t>
    <rPh sb="4" eb="6">
      <t>シタアナ</t>
    </rPh>
    <phoneticPr fontId="11"/>
  </si>
  <si>
    <t>MVE1090×02S110(DP1020)</t>
    <phoneticPr fontId="11"/>
  </si>
  <si>
    <t>φ12.2深さ0.5mm
φ4.4穴入り口バリ取り</t>
    <rPh sb="5" eb="6">
      <t>フカ</t>
    </rPh>
    <rPh sb="17" eb="19">
      <t>アナイ</t>
    </rPh>
    <rPh sb="20" eb="21">
      <t>グチ</t>
    </rPh>
    <rPh sb="23" eb="24">
      <t>ト</t>
    </rPh>
    <phoneticPr fontId="12"/>
  </si>
  <si>
    <t>φ11.05下穴</t>
    <rPh sb="6" eb="8">
      <t>シタアナ</t>
    </rPh>
    <phoneticPr fontId="11"/>
  </si>
  <si>
    <t>SDJCR1616H-11</t>
    <phoneticPr fontId="12"/>
  </si>
  <si>
    <t>全長、外径仕上げ</t>
    <rPh sb="0" eb="2">
      <t>ゼンチョウ</t>
    </rPh>
    <rPh sb="3" eb="7">
      <t>ガイケイシア</t>
    </rPh>
    <phoneticPr fontId="11"/>
  </si>
  <si>
    <t>センター穴、C面</t>
    <rPh sb="4" eb="5">
      <t>アナ</t>
    </rPh>
    <rPh sb="7" eb="8">
      <t>メン</t>
    </rPh>
    <phoneticPr fontId="11"/>
  </si>
  <si>
    <t>M12×1.0-6H</t>
    <phoneticPr fontId="11"/>
  </si>
  <si>
    <t>ねじ切りホルダ</t>
    <rPh sb="2" eb="3">
      <t>キ</t>
    </rPh>
    <phoneticPr fontId="11"/>
  </si>
  <si>
    <t>EZH05022HP-135</t>
    <phoneticPr fontId="11"/>
  </si>
  <si>
    <t>φ11.05内径仕上げ
120°テーパー部</t>
    <rPh sb="6" eb="8">
      <t>ナイケイ</t>
    </rPh>
    <rPh sb="8" eb="10">
      <t>シア</t>
    </rPh>
    <rPh sb="20" eb="21">
      <t>ブ</t>
    </rPh>
    <phoneticPr fontId="11"/>
  </si>
  <si>
    <t>φ11.4×33L 先端角R0.4(OH付き)</t>
    <rPh sb="10" eb="12">
      <t>センタン</t>
    </rPh>
    <rPh sb="12" eb="13">
      <t>カク</t>
    </rPh>
    <rPh sb="20" eb="21">
      <t>ツ</t>
    </rPh>
    <phoneticPr fontId="12"/>
  </si>
  <si>
    <t>INJECTOR CUP/AP5 (U2-019IC2584-01)消耗工具品名　</t>
    <rPh sb="34" eb="40">
      <t>ショウモウコウグヒンメイ</t>
    </rPh>
    <phoneticPr fontId="12"/>
  </si>
  <si>
    <t>CSUSR-A 6.01</t>
    <phoneticPr fontId="12"/>
  </si>
  <si>
    <t>センター穴、ザグリ穴,φ4.0,C2,C3面取り</t>
    <rPh sb="4" eb="5">
      <t>アナ</t>
    </rPh>
    <rPh sb="9" eb="10">
      <t>アナ</t>
    </rPh>
    <rPh sb="21" eb="23">
      <t>メント</t>
    </rPh>
    <phoneticPr fontId="21"/>
  </si>
  <si>
    <t>VAPDSSUSD0310</t>
    <phoneticPr fontId="12"/>
  </si>
  <si>
    <t>INJECTOR CUP/AP3 (U2-019IC2488-04)消耗工具品名　</t>
    <rPh sb="34" eb="40">
      <t>ショウモウコウグヒンメイ</t>
    </rPh>
    <phoneticPr fontId="12"/>
  </si>
  <si>
    <t>SHA0822-125</t>
    <phoneticPr fontId="11"/>
  </si>
  <si>
    <t>①②③④㉛</t>
    <phoneticPr fontId="11"/>
  </si>
  <si>
    <t>⑮⑯</t>
    <phoneticPr fontId="11"/>
  </si>
  <si>
    <t>③④⑧⑬⑱⑲⑳㉑㊶㊹㊺</t>
    <phoneticPr fontId="11"/>
  </si>
  <si>
    <t>NC88 工具交換時 工程管理図番号チェック表（SS327-Ⅲ）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</si>
  <si>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t>EZH07025.0HP-135</t>
    <phoneticPr fontId="11"/>
  </si>
  <si>
    <t>S25.0H-SDUCL11</t>
    <phoneticPr fontId="12"/>
  </si>
  <si>
    <t>C面の大きさ注意</t>
    <rPh sb="1" eb="2">
      <t>メン</t>
    </rPh>
    <rPh sb="3" eb="4">
      <t>オオ</t>
    </rPh>
    <rPh sb="6" eb="8">
      <t>チュウイ</t>
    </rPh>
    <phoneticPr fontId="11"/>
  </si>
  <si>
    <t>φ3.1穴　先端角138°</t>
    <rPh sb="4" eb="5">
      <t>アナ</t>
    </rPh>
    <rPh sb="6" eb="9">
      <t>センタンカク</t>
    </rPh>
    <phoneticPr fontId="12"/>
  </si>
  <si>
    <t>φ6.2穴　先端角140°</t>
    <rPh sb="4" eb="5">
      <t>アナ</t>
    </rPh>
    <rPh sb="6" eb="9">
      <t>センタンカク</t>
    </rPh>
    <phoneticPr fontId="12"/>
  </si>
  <si>
    <t>φ4穴　先端角120°</t>
    <rPh sb="2" eb="3">
      <t>アナ</t>
    </rPh>
    <rPh sb="4" eb="7">
      <t>センタンカク</t>
    </rPh>
    <phoneticPr fontId="12"/>
  </si>
  <si>
    <t>TCP18R250-010-35(AH725)</t>
    <phoneticPr fontId="12"/>
  </si>
  <si>
    <r>
      <t>⑤</t>
    </r>
    <r>
      <rPr>
        <sz val="9"/>
        <rFont val="ＭＳ Ｐゴシック"/>
        <family val="3"/>
        <charset val="128"/>
      </rPr>
      <t>ピン</t>
    </r>
    <r>
      <rPr>
        <sz val="12"/>
        <rFont val="ＭＳ Ｐゴシック"/>
        <family val="3"/>
        <charset val="128"/>
      </rPr>
      <t>、⑥</t>
    </r>
    <r>
      <rPr>
        <sz val="9"/>
        <rFont val="ＭＳ Ｐゴシック"/>
        <family val="3"/>
        <charset val="128"/>
      </rPr>
      <t>リニア</t>
    </r>
    <r>
      <rPr>
        <sz val="12"/>
        <rFont val="ＭＳ Ｐゴシック"/>
        <family val="3"/>
        <charset val="128"/>
      </rPr>
      <t>、⑦</t>
    </r>
    <r>
      <rPr>
        <sz val="9"/>
        <rFont val="ＭＳ Ｐゴシック"/>
        <family val="3"/>
        <charset val="128"/>
      </rPr>
      <t>三次元</t>
    </r>
    <rPh sb="10" eb="13">
      <t>サンジゲン</t>
    </rPh>
    <phoneticPr fontId="11"/>
  </si>
  <si>
    <r>
      <t>④</t>
    </r>
    <r>
      <rPr>
        <sz val="9"/>
        <rFont val="ＭＳ Ｐゴシック"/>
        <family val="3"/>
        <charset val="128"/>
      </rPr>
      <t>マイクロ</t>
    </r>
    <phoneticPr fontId="11"/>
  </si>
  <si>
    <t>T50番の加工のみで
ツバ厚8.75狙い</t>
    <rPh sb="3" eb="4">
      <t>バン</t>
    </rPh>
    <rPh sb="5" eb="7">
      <t>カコウ</t>
    </rPh>
    <rPh sb="13" eb="14">
      <t>アツ</t>
    </rPh>
    <rPh sb="18" eb="19">
      <t>ネラ</t>
    </rPh>
    <phoneticPr fontId="11"/>
  </si>
  <si>
    <t>S0001-565</t>
    <phoneticPr fontId="11"/>
  </si>
  <si>
    <r>
      <t>※</t>
    </r>
    <r>
      <rPr>
        <sz val="9"/>
        <rFont val="ＭＳ Ｐゴシック"/>
        <family val="3"/>
        <charset val="128"/>
      </rPr>
      <t>粗の目が出ていないか確認</t>
    </r>
    <rPh sb="1" eb="2">
      <t>アラ</t>
    </rPh>
    <rPh sb="3" eb="4">
      <t>メ</t>
    </rPh>
    <rPh sb="5" eb="6">
      <t>デ</t>
    </rPh>
    <rPh sb="11" eb="13">
      <t>カクニン</t>
    </rPh>
    <phoneticPr fontId="11"/>
  </si>
  <si>
    <t>　　　    　備考欄の（※）印事項は記録不要。問題が有り、対処が分からない場合はリーダーに報告する。</t>
    <rPh sb="8" eb="11">
      <t>ビコウラン</t>
    </rPh>
    <rPh sb="15" eb="16">
      <t>シルシ</t>
    </rPh>
    <rPh sb="16" eb="18">
      <t>ジコウ</t>
    </rPh>
    <rPh sb="19" eb="21">
      <t>キロク</t>
    </rPh>
    <rPh sb="21" eb="23">
      <t>フヨウ</t>
    </rPh>
    <rPh sb="24" eb="26">
      <t>モンダイ</t>
    </rPh>
    <rPh sb="27" eb="28">
      <t>ア</t>
    </rPh>
    <rPh sb="30" eb="32">
      <t>タイショ</t>
    </rPh>
    <rPh sb="33" eb="34">
      <t>ワ</t>
    </rPh>
    <rPh sb="38" eb="40">
      <t>バアイ</t>
    </rPh>
    <rPh sb="46" eb="48">
      <t>ホウコク</t>
    </rPh>
    <phoneticPr fontId="11"/>
  </si>
  <si>
    <t>※目視←ビビり無き事。粗さ問題なき事。</t>
    <rPh sb="1" eb="3">
      <t>モクシ</t>
    </rPh>
    <rPh sb="7" eb="8">
      <t>ナ</t>
    </rPh>
    <rPh sb="9" eb="10">
      <t>コト</t>
    </rPh>
    <rPh sb="11" eb="12">
      <t>アラ</t>
    </rPh>
    <rPh sb="13" eb="15">
      <t>モンダイ</t>
    </rPh>
    <rPh sb="17" eb="18">
      <t>コト</t>
    </rPh>
    <phoneticPr fontId="11"/>
  </si>
  <si>
    <r>
      <rPr>
        <sz val="12"/>
        <rFont val="ＭＳ Ｐゴシック"/>
        <family val="3"/>
        <charset val="128"/>
      </rPr>
      <t>※目視</t>
    </r>
    <r>
      <rPr>
        <sz val="9"/>
        <rFont val="ＭＳ Ｐゴシック"/>
        <family val="3"/>
        <charset val="128"/>
      </rPr>
      <t>（面の大きさは適切か）</t>
    </r>
    <rPh sb="1" eb="3">
      <t>モクシ</t>
    </rPh>
    <phoneticPr fontId="11"/>
  </si>
  <si>
    <t>※目視確認で穴位置のズレ無き事</t>
    <rPh sb="1" eb="3">
      <t>モクシ</t>
    </rPh>
    <rPh sb="3" eb="5">
      <t>カクニン</t>
    </rPh>
    <rPh sb="6" eb="9">
      <t>アナイチ</t>
    </rPh>
    <rPh sb="12" eb="13">
      <t>ナ</t>
    </rPh>
    <rPh sb="14" eb="15">
      <t>コト</t>
    </rPh>
    <phoneticPr fontId="11"/>
  </si>
  <si>
    <t>※目視←ビビり無き事。粗さ問題無き事。</t>
    <rPh sb="1" eb="3">
      <t>モクシ</t>
    </rPh>
    <rPh sb="7" eb="8">
      <t>ナ</t>
    </rPh>
    <rPh sb="9" eb="10">
      <t>コト</t>
    </rPh>
    <rPh sb="11" eb="12">
      <t>アラ</t>
    </rPh>
    <rPh sb="13" eb="15">
      <t>モンダイ</t>
    </rPh>
    <rPh sb="15" eb="16">
      <t>ナ</t>
    </rPh>
    <rPh sb="17" eb="18">
      <t>コト</t>
    </rPh>
    <phoneticPr fontId="11"/>
  </si>
  <si>
    <t>NC79、80（NN-16SB7） 工具交換時 工程管理図番号チェック表</t>
    <rPh sb="18" eb="23">
      <t>コウグコウカンジ</t>
    </rPh>
    <rPh sb="24" eb="29">
      <t>コウテイカンリズ</t>
    </rPh>
    <rPh sb="29" eb="31">
      <t>バンゴウ</t>
    </rPh>
    <rPh sb="35" eb="36">
      <t>ヒョウ</t>
    </rPh>
    <phoneticPr fontId="11"/>
  </si>
  <si>
    <r>
      <t>刃先Ｒ0.2　を使用　　　　　　</t>
    </r>
    <r>
      <rPr>
        <b/>
        <sz val="12"/>
        <rFont val="ＭＳ Ｐゴシック"/>
        <family val="3"/>
        <charset val="128"/>
      </rPr>
      <t>（</t>
    </r>
    <r>
      <rPr>
        <b/>
        <sz val="10"/>
        <rFont val="ＭＳ Ｐゴシック"/>
        <family val="3"/>
        <charset val="128"/>
      </rPr>
      <t>類似　R0.4は×）</t>
    </r>
    <rPh sb="0" eb="2">
      <t>ハサキ</t>
    </rPh>
    <rPh sb="8" eb="10">
      <t>シヨウ</t>
    </rPh>
    <rPh sb="17" eb="19">
      <t>ルイジ</t>
    </rPh>
    <phoneticPr fontId="11"/>
  </si>
  <si>
    <r>
      <t>刃先Ｒ0.4　を使用　　　　　　</t>
    </r>
    <r>
      <rPr>
        <b/>
        <sz val="12"/>
        <rFont val="ＭＳ Ｐゴシック"/>
        <family val="3"/>
        <charset val="128"/>
      </rPr>
      <t>（</t>
    </r>
    <r>
      <rPr>
        <b/>
        <sz val="10"/>
        <rFont val="ＭＳ Ｐゴシック"/>
        <family val="3"/>
        <charset val="128"/>
      </rPr>
      <t>類似　R0.2は×）</t>
    </r>
    <rPh sb="0" eb="2">
      <t>ハサキ</t>
    </rPh>
    <rPh sb="8" eb="10">
      <t>シヨウ</t>
    </rPh>
    <rPh sb="17" eb="19">
      <t>ルイジ</t>
    </rPh>
    <phoneticPr fontId="11"/>
  </si>
  <si>
    <r>
      <t>代替品</t>
    </r>
    <r>
      <rPr>
        <sz val="9"/>
        <rFont val="ＭＳ Ｐゴシック"/>
        <family val="3"/>
        <charset val="128"/>
      </rPr>
      <t>(超硬)
CNMG120404-LP(MC6015)</t>
    </r>
    <rPh sb="0" eb="3">
      <t>ダイガエヒン</t>
    </rPh>
    <rPh sb="4" eb="6">
      <t>チョウコウ</t>
    </rPh>
    <phoneticPr fontId="11"/>
  </si>
  <si>
    <r>
      <t>DCGT11T3</t>
    </r>
    <r>
      <rPr>
        <b/>
        <sz val="12"/>
        <color rgb="FFFF0000"/>
        <rFont val="ＭＳ Ｐゴシック"/>
        <family val="3"/>
        <charset val="128"/>
      </rPr>
      <t>02</t>
    </r>
    <r>
      <rPr>
        <sz val="12"/>
        <rFont val="ＭＳ Ｐゴシック"/>
        <family val="3"/>
        <charset val="128"/>
      </rPr>
      <t>MYL(DM4)</t>
    </r>
    <phoneticPr fontId="12"/>
  </si>
  <si>
    <r>
      <t>GTMH32</t>
    </r>
    <r>
      <rPr>
        <b/>
        <sz val="12"/>
        <color rgb="FFFF0000"/>
        <rFont val="ＭＳ Ｐゴシック"/>
        <family val="3"/>
        <charset val="128"/>
      </rPr>
      <t>150</t>
    </r>
    <r>
      <rPr>
        <sz val="12"/>
        <rFont val="ＭＳ Ｐゴシック"/>
        <family val="3"/>
        <charset val="128"/>
      </rPr>
      <t>RGX01(TM4)</t>
    </r>
    <phoneticPr fontId="12"/>
  </si>
  <si>
    <r>
      <t>GTMH32</t>
    </r>
    <r>
      <rPr>
        <b/>
        <sz val="12"/>
        <color rgb="FFFF0000"/>
        <rFont val="ＭＳ Ｐゴシック"/>
        <family val="3"/>
        <charset val="128"/>
      </rPr>
      <t>200</t>
    </r>
    <r>
      <rPr>
        <sz val="12"/>
        <rFont val="ＭＳ Ｐゴシック"/>
        <family val="3"/>
        <charset val="128"/>
      </rPr>
      <t>RGX02(TM4)</t>
    </r>
    <phoneticPr fontId="12"/>
  </si>
  <si>
    <r>
      <t>DCGT11T3</t>
    </r>
    <r>
      <rPr>
        <b/>
        <sz val="12"/>
        <color rgb="FFFF0000"/>
        <rFont val="ＭＳ Ｐゴシック"/>
        <family val="3"/>
        <charset val="128"/>
      </rPr>
      <t>04</t>
    </r>
    <r>
      <rPr>
        <sz val="12"/>
        <rFont val="ＭＳ Ｐゴシック"/>
        <family val="3"/>
        <charset val="128"/>
      </rPr>
      <t>MYL(DM4)</t>
    </r>
    <phoneticPr fontId="12"/>
  </si>
  <si>
    <r>
      <t>①⑥</t>
    </r>
    <r>
      <rPr>
        <sz val="9"/>
        <color theme="1"/>
        <rFont val="ＭＳ Ｐゴシック"/>
        <family val="3"/>
        <charset val="128"/>
      </rPr>
      <t>ノギス</t>
    </r>
    <r>
      <rPr>
        <sz val="12"/>
        <color theme="1"/>
        <rFont val="ＭＳ Ｐゴシック"/>
        <family val="3"/>
        <charset val="128"/>
      </rPr>
      <t>、⑪</t>
    </r>
    <r>
      <rPr>
        <sz val="9"/>
        <color theme="1"/>
        <rFont val="ＭＳ Ｐゴシック"/>
        <family val="3"/>
        <charset val="128"/>
      </rPr>
      <t>プレードマイクロ</t>
    </r>
    <phoneticPr fontId="11"/>
  </si>
  <si>
    <r>
      <t>③④</t>
    </r>
    <r>
      <rPr>
        <sz val="9"/>
        <color theme="1"/>
        <rFont val="ＭＳ Ｐゴシック"/>
        <family val="3"/>
        <charset val="128"/>
      </rPr>
      <t>ノギス</t>
    </r>
    <r>
      <rPr>
        <sz val="12"/>
        <color theme="1"/>
        <rFont val="ＭＳ Ｐゴシック"/>
        <family val="3"/>
        <charset val="128"/>
      </rPr>
      <t>、⑨⑬</t>
    </r>
    <r>
      <rPr>
        <sz val="9"/>
        <color theme="1"/>
        <rFont val="ＭＳ Ｐゴシック"/>
        <family val="3"/>
        <charset val="128"/>
      </rPr>
      <t>ブレードマイクロ</t>
    </r>
    <phoneticPr fontId="11"/>
  </si>
  <si>
    <r>
      <t>⑦</t>
    </r>
    <r>
      <rPr>
        <sz val="9"/>
        <color theme="1"/>
        <rFont val="ＭＳ Ｐゴシック"/>
        <family val="3"/>
        <charset val="128"/>
      </rPr>
      <t>ノギス</t>
    </r>
    <r>
      <rPr>
        <sz val="12"/>
        <color theme="1"/>
        <rFont val="ＭＳ Ｐゴシック"/>
        <family val="3"/>
        <charset val="128"/>
      </rPr>
      <t>、⑫</t>
    </r>
    <r>
      <rPr>
        <sz val="9"/>
        <color theme="1"/>
        <rFont val="ＭＳ Ｐゴシック"/>
        <family val="3"/>
        <charset val="128"/>
      </rPr>
      <t xml:space="preserve">ブレードマイクロ </t>
    </r>
    <r>
      <rPr>
        <sz val="12"/>
        <color theme="1"/>
        <rFont val="ＭＳ Ｐゴシック"/>
        <family val="3"/>
        <charset val="128"/>
      </rPr>
      <t>、⑰</t>
    </r>
    <r>
      <rPr>
        <sz val="9"/>
        <color theme="1"/>
        <rFont val="ＭＳ Ｐゴシック"/>
        <family val="3"/>
        <charset val="128"/>
      </rPr>
      <t>溝ゲージ</t>
    </r>
    <r>
      <rPr>
        <sz val="12"/>
        <color theme="1"/>
        <rFont val="ＭＳ Ｐゴシック"/>
        <family val="3"/>
        <charset val="128"/>
      </rPr>
      <t>、　　　　　　　　　　　　　　　㉜</t>
    </r>
    <r>
      <rPr>
        <sz val="9"/>
        <color theme="1"/>
        <rFont val="ＭＳ Ｐゴシック"/>
        <family val="3"/>
        <charset val="128"/>
      </rPr>
      <t>目視（ビビり無き事。粗さ問題なき事。記録不要）</t>
    </r>
    <rPh sb="17" eb="18">
      <t>ミゾ</t>
    </rPh>
    <rPh sb="38" eb="40">
      <t>モクシ</t>
    </rPh>
    <rPh sb="56" eb="58">
      <t>キロク</t>
    </rPh>
    <rPh sb="58" eb="60">
      <t>フヨウ</t>
    </rPh>
    <phoneticPr fontId="11"/>
  </si>
  <si>
    <r>
      <t>⑧</t>
    </r>
    <r>
      <rPr>
        <sz val="9"/>
        <color theme="1"/>
        <rFont val="ＭＳ Ｐゴシック"/>
        <family val="3"/>
        <charset val="128"/>
      </rPr>
      <t>ノギス</t>
    </r>
    <r>
      <rPr>
        <sz val="12"/>
        <color theme="1"/>
        <rFont val="ＭＳ Ｐゴシック"/>
        <family val="3"/>
        <charset val="128"/>
      </rPr>
      <t>、⑮</t>
    </r>
    <r>
      <rPr>
        <sz val="9"/>
        <color theme="1"/>
        <rFont val="ＭＳ Ｐゴシック"/>
        <family val="3"/>
        <charset val="128"/>
      </rPr>
      <t>テーパーピン  　</t>
    </r>
    <r>
      <rPr>
        <sz val="12"/>
        <color theme="1"/>
        <rFont val="ＭＳ Ｐゴシック"/>
        <family val="3"/>
        <charset val="128"/>
      </rPr>
      <t>⑯</t>
    </r>
    <r>
      <rPr>
        <sz val="9"/>
        <color theme="1"/>
        <rFont val="ＭＳ Ｐゴシック"/>
        <family val="3"/>
        <charset val="128"/>
      </rPr>
      <t>ピン</t>
    </r>
    <phoneticPr fontId="11"/>
  </si>
  <si>
    <r>
      <t>⑭</t>
    </r>
    <r>
      <rPr>
        <sz val="9"/>
        <color theme="1"/>
        <rFont val="ＭＳ Ｐゴシック"/>
        <family val="3"/>
        <charset val="128"/>
      </rPr>
      <t>ピン</t>
    </r>
    <phoneticPr fontId="11"/>
  </si>
  <si>
    <r>
      <t>⑧</t>
    </r>
    <r>
      <rPr>
        <sz val="8"/>
        <color theme="1"/>
        <rFont val="ＭＳ Ｐゴシック"/>
        <family val="3"/>
        <charset val="128"/>
      </rPr>
      <t>ノギス</t>
    </r>
    <r>
      <rPr>
        <sz val="12"/>
        <color theme="1"/>
        <rFont val="ＭＳ Ｐゴシック"/>
        <family val="3"/>
        <charset val="128"/>
      </rPr>
      <t>、　※</t>
    </r>
    <r>
      <rPr>
        <sz val="9"/>
        <color theme="1"/>
        <rFont val="ＭＳ Ｐゴシック"/>
        <family val="3"/>
        <charset val="128"/>
      </rPr>
      <t>目視（穴底に粗の目無き事）</t>
    </r>
    <rPh sb="7" eb="9">
      <t>モクシ</t>
    </rPh>
    <rPh sb="10" eb="12">
      <t>アナゾコ</t>
    </rPh>
    <rPh sb="13" eb="14">
      <t>アラ</t>
    </rPh>
    <rPh sb="15" eb="16">
      <t>メ</t>
    </rPh>
    <rPh sb="16" eb="17">
      <t>ナ</t>
    </rPh>
    <rPh sb="18" eb="19">
      <t>コト</t>
    </rPh>
    <phoneticPr fontId="11"/>
  </si>
  <si>
    <r>
      <t>①⑦</t>
    </r>
    <r>
      <rPr>
        <sz val="9"/>
        <color theme="1"/>
        <rFont val="ＭＳ Ｐゴシック"/>
        <family val="3"/>
        <charset val="128"/>
      </rPr>
      <t>ノギス</t>
    </r>
    <r>
      <rPr>
        <sz val="12"/>
        <color theme="1"/>
        <rFont val="ＭＳ Ｐゴシック"/>
        <family val="3"/>
        <charset val="128"/>
      </rPr>
      <t>、⑩</t>
    </r>
    <r>
      <rPr>
        <sz val="9"/>
        <color theme="1"/>
        <rFont val="ＭＳ Ｐゴシック"/>
        <family val="3"/>
        <charset val="128"/>
      </rPr>
      <t>マイクロ　  　　　　　　　　　　　　　　　　</t>
    </r>
    <r>
      <rPr>
        <sz val="12"/>
        <color theme="1"/>
        <rFont val="ＭＳ Ｐゴシック"/>
        <family val="3"/>
        <charset val="128"/>
      </rPr>
      <t>㊲</t>
    </r>
    <r>
      <rPr>
        <sz val="9"/>
        <color theme="1"/>
        <rFont val="ＭＳ Ｐゴシック"/>
        <family val="3"/>
        <charset val="128"/>
      </rPr>
      <t>目視（ビビり無き事。粗さ問題なき事。記録不要）</t>
    </r>
    <rPh sb="31" eb="33">
      <t>モクシ</t>
    </rPh>
    <phoneticPr fontId="11"/>
  </si>
  <si>
    <r>
      <t>※</t>
    </r>
    <r>
      <rPr>
        <sz val="9"/>
        <color theme="1"/>
        <rFont val="ＭＳ Ｐゴシック"/>
        <family val="3"/>
        <charset val="128"/>
      </rPr>
      <t>目視（穴入口の面が適切な大きさである事）</t>
    </r>
    <rPh sb="1" eb="3">
      <t>モクシ</t>
    </rPh>
    <rPh sb="4" eb="5">
      <t>アナ</t>
    </rPh>
    <rPh sb="5" eb="7">
      <t>イリクチ</t>
    </rPh>
    <rPh sb="8" eb="9">
      <t>メン</t>
    </rPh>
    <rPh sb="10" eb="12">
      <t>テキセツ</t>
    </rPh>
    <rPh sb="13" eb="14">
      <t>オオ</t>
    </rPh>
    <rPh sb="19" eb="20">
      <t>コト</t>
    </rPh>
    <phoneticPr fontId="11"/>
  </si>
  <si>
    <t>NC39、40（ B0325-Ⅱ） 工具交換時 工程管理図番号チェック表</t>
    <rPh sb="18" eb="23">
      <t>コウグコウカンジ</t>
    </rPh>
    <rPh sb="24" eb="29">
      <t>コウテイカンリズ</t>
    </rPh>
    <rPh sb="29" eb="31">
      <t>バンゴウ</t>
    </rPh>
    <rPh sb="35" eb="36">
      <t>ヒョウ</t>
    </rPh>
    <phoneticPr fontId="11"/>
  </si>
  <si>
    <t>NC47、48（ B0266-Ⅱ） 工具交換時 工程管理図番号チェック表</t>
    <rPh sb="18" eb="23">
      <t>コウグコウカンジ</t>
    </rPh>
    <rPh sb="24" eb="29">
      <t>コウテイカンリズ</t>
    </rPh>
    <rPh sb="29" eb="31">
      <t>バンゴウ</t>
    </rPh>
    <rPh sb="35" eb="36">
      <t>ヒョウ</t>
    </rPh>
    <phoneticPr fontId="11"/>
  </si>
  <si>
    <r>
      <t>〇</t>
    </r>
    <r>
      <rPr>
        <b/>
        <sz val="9"/>
        <color rgb="FFFF0000"/>
        <rFont val="ＭＳ Ｐゴシック"/>
        <family val="3"/>
        <charset val="128"/>
      </rPr>
      <t>ノギス</t>
    </r>
    <r>
      <rPr>
        <b/>
        <sz val="12"/>
        <color rgb="FFFF0000"/>
        <rFont val="ＭＳ Ｐゴシック"/>
        <family val="3"/>
        <charset val="128"/>
      </rPr>
      <t>⒳16.80～16.85狙い　</t>
    </r>
    <r>
      <rPr>
        <b/>
        <sz val="10"/>
        <color rgb="FFFF0000"/>
        <rFont val="ＭＳ Ｐゴシック"/>
        <family val="3"/>
        <charset val="128"/>
      </rPr>
      <t>　　　</t>
    </r>
    <rPh sb="16" eb="17">
      <t>ネラ</t>
    </rPh>
    <phoneticPr fontId="12"/>
  </si>
  <si>
    <r>
      <t>〇</t>
    </r>
    <r>
      <rPr>
        <b/>
        <sz val="9"/>
        <color rgb="FFFF0000"/>
        <rFont val="ＭＳ Ｐゴシック"/>
        <family val="3"/>
        <charset val="128"/>
      </rPr>
      <t>ノギス</t>
    </r>
    <r>
      <rPr>
        <b/>
        <sz val="12"/>
        <color rgb="FFFF0000"/>
        <rFont val="ＭＳ Ｐゴシック"/>
        <family val="3"/>
        <charset val="128"/>
      </rPr>
      <t>⒳16.85～16.90狙い　</t>
    </r>
    <r>
      <rPr>
        <b/>
        <sz val="10"/>
        <color rgb="FFFF0000"/>
        <rFont val="ＭＳ Ｐゴシック"/>
        <family val="3"/>
        <charset val="128"/>
      </rPr>
      <t>　　　</t>
    </r>
    <rPh sb="16" eb="17">
      <t>ネラ</t>
    </rPh>
    <phoneticPr fontId="12"/>
  </si>
  <si>
    <r>
      <t>※</t>
    </r>
    <r>
      <rPr>
        <sz val="9"/>
        <color theme="1"/>
        <rFont val="ＭＳ Ｐゴシック"/>
        <family val="3"/>
        <charset val="128"/>
      </rPr>
      <t>目視（面の大きさは適切か）</t>
    </r>
    <rPh sb="1" eb="3">
      <t>モクシ</t>
    </rPh>
    <rPh sb="4" eb="5">
      <t>メン</t>
    </rPh>
    <rPh sb="6" eb="7">
      <t>オオ</t>
    </rPh>
    <rPh sb="10" eb="12">
      <t>テキセツ</t>
    </rPh>
    <phoneticPr fontId="11"/>
  </si>
  <si>
    <r>
      <t>②⑧</t>
    </r>
    <r>
      <rPr>
        <sz val="9"/>
        <color theme="1"/>
        <rFont val="ＭＳ Ｐゴシック"/>
        <family val="3"/>
        <charset val="128"/>
      </rPr>
      <t>ノギス</t>
    </r>
    <phoneticPr fontId="11"/>
  </si>
  <si>
    <r>
      <t>⑨</t>
    </r>
    <r>
      <rPr>
        <sz val="9"/>
        <color theme="1"/>
        <rFont val="ＭＳ Ｐゴシック"/>
        <family val="3"/>
        <charset val="128"/>
      </rPr>
      <t>ノギス</t>
    </r>
    <r>
      <rPr>
        <sz val="12"/>
        <color theme="1"/>
        <rFont val="ＭＳ Ｐゴシック"/>
        <family val="3"/>
        <charset val="128"/>
      </rPr>
      <t>、㉓</t>
    </r>
    <r>
      <rPr>
        <sz val="9"/>
        <color theme="1"/>
        <rFont val="ＭＳ Ｐゴシック"/>
        <family val="3"/>
        <charset val="128"/>
      </rPr>
      <t>ノギス</t>
    </r>
    <r>
      <rPr>
        <sz val="12"/>
        <color theme="1"/>
        <rFont val="ＭＳ Ｐゴシック"/>
        <family val="3"/>
        <charset val="128"/>
      </rPr>
      <t>、㊱</t>
    </r>
    <r>
      <rPr>
        <sz val="9"/>
        <color theme="1"/>
        <rFont val="ＭＳ Ｐゴシック"/>
        <family val="3"/>
        <charset val="128"/>
      </rPr>
      <t>輪郭形状</t>
    </r>
    <rPh sb="11" eb="13">
      <t>リンカク</t>
    </rPh>
    <rPh sb="13" eb="15">
      <t>ケイジョウ</t>
    </rPh>
    <phoneticPr fontId="11"/>
  </si>
  <si>
    <r>
      <t>①⑩</t>
    </r>
    <r>
      <rPr>
        <sz val="9"/>
        <color theme="1"/>
        <rFont val="ＭＳ Ｐゴシック"/>
        <family val="3"/>
        <charset val="128"/>
      </rPr>
      <t>ノギス</t>
    </r>
    <r>
      <rPr>
        <sz val="12"/>
        <color theme="1"/>
        <rFont val="ＭＳ Ｐゴシック"/>
        <family val="3"/>
        <charset val="128"/>
      </rPr>
      <t>、㊱</t>
    </r>
    <r>
      <rPr>
        <sz val="9"/>
        <color theme="1"/>
        <rFont val="ＭＳ Ｐゴシック"/>
        <family val="3"/>
        <charset val="128"/>
      </rPr>
      <t>輪郭形状</t>
    </r>
    <phoneticPr fontId="11"/>
  </si>
  <si>
    <r>
      <t>⑥</t>
    </r>
    <r>
      <rPr>
        <sz val="9"/>
        <color theme="1"/>
        <rFont val="ＭＳ Ｐゴシック"/>
        <family val="3"/>
        <charset val="128"/>
      </rPr>
      <t>ピン</t>
    </r>
    <phoneticPr fontId="11"/>
  </si>
  <si>
    <t>⑩狙い値φ20.96</t>
    <rPh sb="1" eb="2">
      <t>ネラ</t>
    </rPh>
    <rPh sb="3" eb="4">
      <t>チ</t>
    </rPh>
    <phoneticPr fontId="11"/>
  </si>
  <si>
    <r>
      <t>⑬</t>
    </r>
    <r>
      <rPr>
        <sz val="9"/>
        <color theme="1"/>
        <rFont val="ＭＳ Ｐゴシック"/>
        <family val="3"/>
        <charset val="128"/>
      </rPr>
      <t>ネジゲージ通りと、ノギス</t>
    </r>
    <r>
      <rPr>
        <sz val="12"/>
        <color theme="1"/>
        <rFont val="ＭＳ Ｐゴシック"/>
        <family val="3"/>
        <charset val="128"/>
      </rPr>
      <t>、⑭</t>
    </r>
    <r>
      <rPr>
        <sz val="9"/>
        <color theme="1"/>
        <rFont val="ＭＳ Ｐゴシック"/>
        <family val="3"/>
        <charset val="128"/>
      </rPr>
      <t>ネジゲージ　　　　　　　　　　　</t>
    </r>
    <r>
      <rPr>
        <sz val="12"/>
        <color theme="1"/>
        <rFont val="ＭＳ Ｐゴシック"/>
        <family val="3"/>
        <charset val="128"/>
      </rPr>
      <t>⑭’</t>
    </r>
    <r>
      <rPr>
        <sz val="9"/>
        <color theme="1"/>
        <rFont val="ＭＳ Ｐゴシック"/>
        <family val="3"/>
        <charset val="128"/>
      </rPr>
      <t>ボアゲージ</t>
    </r>
    <rPh sb="6" eb="7">
      <t>トオ</t>
    </rPh>
    <phoneticPr fontId="11"/>
  </si>
  <si>
    <r>
      <t>㉓</t>
    </r>
    <r>
      <rPr>
        <sz val="9"/>
        <color theme="1"/>
        <rFont val="ＭＳ Ｐゴシック"/>
        <family val="3"/>
        <charset val="128"/>
      </rPr>
      <t>ノギス</t>
    </r>
    <r>
      <rPr>
        <sz val="12"/>
        <color theme="1"/>
        <rFont val="ＭＳ Ｐゴシック"/>
        <family val="3"/>
        <charset val="128"/>
      </rPr>
      <t>　　　　　　　　　　　　　　　　　　　　〇</t>
    </r>
    <r>
      <rPr>
        <sz val="9"/>
        <color theme="1"/>
        <rFont val="ＭＳ Ｐゴシック"/>
        <family val="3"/>
        <charset val="128"/>
      </rPr>
      <t>ノギス13.5部段差0.02±0.01</t>
    </r>
    <phoneticPr fontId="11"/>
  </si>
  <si>
    <r>
      <t>⑤</t>
    </r>
    <r>
      <rPr>
        <sz val="9"/>
        <rFont val="ＭＳ Ｐゴシック"/>
        <family val="3"/>
        <charset val="128"/>
      </rPr>
      <t>ピン</t>
    </r>
    <r>
      <rPr>
        <sz val="12"/>
        <rFont val="ＭＳ Ｐゴシック"/>
        <family val="3"/>
        <charset val="128"/>
      </rPr>
      <t>、㉑</t>
    </r>
    <r>
      <rPr>
        <sz val="9"/>
        <rFont val="ＭＳ Ｐゴシック"/>
        <family val="3"/>
        <charset val="128"/>
      </rPr>
      <t>ノギス　　　　　　　　　　　　　　　　　　　　　</t>
    </r>
    <r>
      <rPr>
        <b/>
        <sz val="12"/>
        <rFont val="ＭＳ Ｐゴシック"/>
        <family val="3"/>
        <charset val="128"/>
      </rPr>
      <t>㉙</t>
    </r>
    <r>
      <rPr>
        <b/>
        <sz val="9"/>
        <rFont val="ＭＳ Ｐゴシック"/>
        <family val="3"/>
        <charset val="128"/>
      </rPr>
      <t>目視（粗さが目視で問題ない事。記録は不要）</t>
    </r>
    <rPh sb="30" eb="32">
      <t>モクシ</t>
    </rPh>
    <rPh sb="33" eb="34">
      <t>アラ</t>
    </rPh>
    <rPh sb="36" eb="38">
      <t>モクシ</t>
    </rPh>
    <rPh sb="39" eb="41">
      <t>モンダイ</t>
    </rPh>
    <rPh sb="43" eb="44">
      <t>コト</t>
    </rPh>
    <rPh sb="45" eb="47">
      <t>キロク</t>
    </rPh>
    <rPh sb="48" eb="50">
      <t>フヨウ</t>
    </rPh>
    <phoneticPr fontId="11"/>
  </si>
  <si>
    <r>
      <t>⑩</t>
    </r>
    <r>
      <rPr>
        <sz val="9"/>
        <color theme="1"/>
        <rFont val="ＭＳ Ｐゴシック"/>
        <family val="3"/>
        <charset val="128"/>
      </rPr>
      <t>ノギス</t>
    </r>
    <r>
      <rPr>
        <sz val="12"/>
        <color theme="1"/>
        <rFont val="ＭＳ Ｐゴシック"/>
        <family val="3"/>
        <charset val="128"/>
      </rPr>
      <t>、※</t>
    </r>
    <r>
      <rPr>
        <sz val="9"/>
        <color theme="1"/>
        <rFont val="ＭＳ Ｐゴシック"/>
        <family val="3"/>
        <charset val="128"/>
      </rPr>
      <t>目視（C面が適切な大きさである事）</t>
    </r>
    <phoneticPr fontId="11"/>
  </si>
  <si>
    <r>
      <t>〇</t>
    </r>
    <r>
      <rPr>
        <b/>
        <sz val="9"/>
        <color rgb="FFFF0000"/>
        <rFont val="ＭＳ Ｐゴシック"/>
        <family val="3"/>
        <charset val="128"/>
      </rPr>
      <t>ノギス　⒵13.40狙い（全長の時、19.00）</t>
    </r>
    <rPh sb="17" eb="18">
      <t>トキ</t>
    </rPh>
    <phoneticPr fontId="11"/>
  </si>
  <si>
    <r>
      <t>③</t>
    </r>
    <r>
      <rPr>
        <sz val="9"/>
        <color theme="1"/>
        <rFont val="ＭＳ Ｐゴシック"/>
        <family val="3"/>
        <charset val="128"/>
      </rPr>
      <t>マイクロ</t>
    </r>
    <r>
      <rPr>
        <sz val="12"/>
        <color theme="1"/>
        <rFont val="ＭＳ Ｐゴシック"/>
        <family val="3"/>
        <charset val="128"/>
      </rPr>
      <t>、　　　　　　　　　　　　　　　　　　</t>
    </r>
    <r>
      <rPr>
        <b/>
        <sz val="12"/>
        <color theme="1"/>
        <rFont val="ＭＳ Ｐゴシック"/>
        <family val="3"/>
        <charset val="128"/>
      </rPr>
      <t>※</t>
    </r>
    <r>
      <rPr>
        <b/>
        <sz val="9"/>
        <color theme="1"/>
        <rFont val="ＭＳ Ｐゴシック"/>
        <family val="3"/>
        <charset val="128"/>
      </rPr>
      <t>目視　（根元に削り残りの段差無き事。　　  　　　　　　また、根元が食い込みすぎない事）</t>
    </r>
    <rPh sb="25" eb="27">
      <t>モクシ</t>
    </rPh>
    <rPh sb="29" eb="31">
      <t>ネモト</t>
    </rPh>
    <rPh sb="32" eb="33">
      <t>ケズ</t>
    </rPh>
    <rPh sb="34" eb="35">
      <t>ノコ</t>
    </rPh>
    <rPh sb="37" eb="39">
      <t>ダンサ</t>
    </rPh>
    <rPh sb="39" eb="40">
      <t>ナ</t>
    </rPh>
    <rPh sb="41" eb="42">
      <t>コト</t>
    </rPh>
    <rPh sb="56" eb="58">
      <t>ネモト</t>
    </rPh>
    <rPh sb="59" eb="60">
      <t>ク</t>
    </rPh>
    <rPh sb="61" eb="62">
      <t>コ</t>
    </rPh>
    <rPh sb="67" eb="68">
      <t>コト</t>
    </rPh>
    <phoneticPr fontId="11"/>
  </si>
  <si>
    <r>
      <t>※</t>
    </r>
    <r>
      <rPr>
        <b/>
        <sz val="9"/>
        <color rgb="FFFF0000"/>
        <rFont val="ＭＳ Ｐゴシック"/>
        <family val="3"/>
        <charset val="128"/>
      </rPr>
      <t>目視　（穴底、及び穴底肩0.3の段にφ9の切削残りが無い事）</t>
    </r>
    <rPh sb="1" eb="3">
      <t>モクシ</t>
    </rPh>
    <rPh sb="5" eb="6">
      <t>アナ</t>
    </rPh>
    <rPh sb="6" eb="7">
      <t>ソコ</t>
    </rPh>
    <rPh sb="8" eb="9">
      <t>オヨ</t>
    </rPh>
    <rPh sb="10" eb="12">
      <t>アナゾコ</t>
    </rPh>
    <rPh sb="12" eb="13">
      <t>カタ</t>
    </rPh>
    <rPh sb="17" eb="18">
      <t>ダン</t>
    </rPh>
    <rPh sb="22" eb="24">
      <t>セッサク</t>
    </rPh>
    <rPh sb="24" eb="25">
      <t>ノコ</t>
    </rPh>
    <rPh sb="27" eb="28">
      <t>ナ</t>
    </rPh>
    <rPh sb="29" eb="30">
      <t>コト</t>
    </rPh>
    <phoneticPr fontId="11"/>
  </si>
  <si>
    <r>
      <t>※</t>
    </r>
    <r>
      <rPr>
        <sz val="9"/>
        <color theme="1"/>
        <rFont val="ＭＳ Ｐゴシック"/>
        <family val="3"/>
        <charset val="128"/>
      </rPr>
      <t>目視（穴入口の面、2面幅淵の面が適切な大きさである事）</t>
    </r>
    <rPh sb="1" eb="3">
      <t>モクシ</t>
    </rPh>
    <rPh sb="4" eb="5">
      <t>アナ</t>
    </rPh>
    <rPh sb="5" eb="7">
      <t>イリクチ</t>
    </rPh>
    <rPh sb="8" eb="9">
      <t>メン</t>
    </rPh>
    <rPh sb="11" eb="13">
      <t>メンハバ</t>
    </rPh>
    <rPh sb="13" eb="14">
      <t>フチ</t>
    </rPh>
    <rPh sb="15" eb="16">
      <t>メン</t>
    </rPh>
    <rPh sb="17" eb="19">
      <t>テキセツ</t>
    </rPh>
    <rPh sb="20" eb="21">
      <t>オオ</t>
    </rPh>
    <rPh sb="26" eb="27">
      <t>コト</t>
    </rPh>
    <phoneticPr fontId="11"/>
  </si>
  <si>
    <r>
      <t>〇</t>
    </r>
    <r>
      <rPr>
        <b/>
        <sz val="9"/>
        <color rgb="FFFF0000"/>
        <rFont val="ＭＳ Ｐゴシック"/>
        <family val="3"/>
        <charset val="128"/>
      </rPr>
      <t>ノギス　⒵14.90狙い（全長の時、19.00）</t>
    </r>
    <rPh sb="17" eb="18">
      <t>トキ</t>
    </rPh>
    <phoneticPr fontId="11"/>
  </si>
  <si>
    <r>
      <t>※</t>
    </r>
    <r>
      <rPr>
        <b/>
        <sz val="9"/>
        <color rgb="FFFF0000"/>
        <rFont val="ＭＳ Ｐゴシック"/>
        <family val="3"/>
        <charset val="128"/>
      </rPr>
      <t>目視　（穴底にφ5の切削残りが　　無い事）</t>
    </r>
    <rPh sb="1" eb="3">
      <t>モクシ</t>
    </rPh>
    <rPh sb="5" eb="6">
      <t>アナ</t>
    </rPh>
    <rPh sb="6" eb="7">
      <t>ソコ</t>
    </rPh>
    <rPh sb="11" eb="13">
      <t>セッサク</t>
    </rPh>
    <rPh sb="13" eb="14">
      <t>ノコ</t>
    </rPh>
    <rPh sb="18" eb="19">
      <t>ナ</t>
    </rPh>
    <rPh sb="20" eb="21">
      <t>コト</t>
    </rPh>
    <phoneticPr fontId="11"/>
  </si>
  <si>
    <t>NC66 （NN-20UB8）    工具交換時 工程管理図番号チェック表（NN-20UB8）</t>
    <rPh sb="19" eb="24">
      <t>コウグコウカンジ</t>
    </rPh>
    <rPh sb="25" eb="30">
      <t>コウテイカンリズ</t>
    </rPh>
    <rPh sb="30" eb="32">
      <t>バンゴウ</t>
    </rPh>
    <rPh sb="36" eb="37">
      <t>ヒョウ</t>
    </rPh>
    <phoneticPr fontId="11"/>
  </si>
  <si>
    <r>
      <t>DCGT11T3</t>
    </r>
    <r>
      <rPr>
        <b/>
        <sz val="12"/>
        <color rgb="FFFF0000"/>
        <rFont val="ＭＳ Ｐゴシック"/>
        <family val="3"/>
        <charset val="128"/>
      </rPr>
      <t>02</t>
    </r>
    <r>
      <rPr>
        <sz val="12"/>
        <rFont val="ＭＳ Ｐゴシック"/>
        <family val="3"/>
        <charset val="128"/>
      </rPr>
      <t>MFP-GF(PR1725)</t>
    </r>
    <phoneticPr fontId="12"/>
  </si>
  <si>
    <r>
      <t>DCGT11T3</t>
    </r>
    <r>
      <rPr>
        <b/>
        <sz val="12"/>
        <color rgb="FFFF0000"/>
        <rFont val="ＭＳ Ｐゴシック"/>
        <family val="3"/>
        <charset val="128"/>
      </rPr>
      <t>04</t>
    </r>
    <r>
      <rPr>
        <sz val="12"/>
        <rFont val="ＭＳ Ｐゴシック"/>
        <family val="3"/>
        <charset val="128"/>
      </rPr>
      <t>MFP-GF(PR1725)</t>
    </r>
    <phoneticPr fontId="12"/>
  </si>
  <si>
    <r>
      <t>④⑤</t>
    </r>
    <r>
      <rPr>
        <sz val="9"/>
        <color theme="1"/>
        <rFont val="ＭＳ Ｐゴシック"/>
        <family val="3"/>
        <charset val="128"/>
      </rPr>
      <t>ノギス</t>
    </r>
    <r>
      <rPr>
        <sz val="12"/>
        <color theme="1"/>
        <rFont val="ＭＳ Ｐゴシック"/>
        <family val="3"/>
        <charset val="128"/>
      </rPr>
      <t>、⑭</t>
    </r>
    <r>
      <rPr>
        <sz val="9"/>
        <color theme="1"/>
        <rFont val="ＭＳ Ｐゴシック"/>
        <family val="3"/>
        <charset val="128"/>
      </rPr>
      <t>ブレードマイクロ</t>
    </r>
    <phoneticPr fontId="11"/>
  </si>
  <si>
    <r>
      <t xml:space="preserve">⑰φ4.575狙い
</t>
    </r>
    <r>
      <rPr>
        <b/>
        <sz val="12"/>
        <color rgb="FFFF0000"/>
        <rFont val="ＭＳ Ｐゴシック"/>
        <family val="3"/>
        <charset val="128"/>
      </rPr>
      <t>刃先Ｒ注意　Ｒ0.2</t>
    </r>
    <rPh sb="7" eb="8">
      <t>ネラ</t>
    </rPh>
    <rPh sb="10" eb="12">
      <t>ハサキ</t>
    </rPh>
    <rPh sb="13" eb="15">
      <t>チュウイ</t>
    </rPh>
    <phoneticPr fontId="11"/>
  </si>
  <si>
    <r>
      <t>⑱</t>
    </r>
    <r>
      <rPr>
        <sz val="9"/>
        <color theme="1"/>
        <rFont val="ＭＳ Ｐゴシック"/>
        <family val="3"/>
        <charset val="128"/>
      </rPr>
      <t>ピン</t>
    </r>
    <phoneticPr fontId="11"/>
  </si>
  <si>
    <r>
      <t>①③</t>
    </r>
    <r>
      <rPr>
        <sz val="9"/>
        <color theme="1"/>
        <rFont val="ＭＳ Ｐゴシック"/>
        <family val="3"/>
        <charset val="128"/>
      </rPr>
      <t>ノギス</t>
    </r>
    <r>
      <rPr>
        <sz val="12"/>
        <color theme="1"/>
        <rFont val="ＭＳ Ｐゴシック"/>
        <family val="3"/>
        <charset val="128"/>
      </rPr>
      <t>、⑬</t>
    </r>
    <r>
      <rPr>
        <sz val="9"/>
        <color theme="1"/>
        <rFont val="ＭＳ Ｐゴシック"/>
        <family val="3"/>
        <charset val="128"/>
      </rPr>
      <t>マイクロ</t>
    </r>
    <r>
      <rPr>
        <sz val="12"/>
        <color theme="1"/>
        <rFont val="ＭＳ Ｐゴシック"/>
        <family val="3"/>
        <charset val="128"/>
      </rPr>
      <t>、㊶</t>
    </r>
    <r>
      <rPr>
        <sz val="9"/>
        <color theme="1"/>
        <rFont val="ＭＳ Ｐゴシック"/>
        <family val="3"/>
        <charset val="128"/>
      </rPr>
      <t>目視（ビビり無き事。　　　粗さ問題なき事。記録不要）</t>
    </r>
    <phoneticPr fontId="11"/>
  </si>
  <si>
    <r>
      <t>①③⑦</t>
    </r>
    <r>
      <rPr>
        <sz val="9"/>
        <color theme="1"/>
        <rFont val="ＭＳ Ｐゴシック"/>
        <family val="3"/>
        <charset val="128"/>
      </rPr>
      <t>ノギス、</t>
    </r>
    <r>
      <rPr>
        <sz val="12"/>
        <color theme="1"/>
        <rFont val="ＭＳ Ｐゴシック"/>
        <family val="3"/>
        <charset val="128"/>
      </rPr>
      <t>⑰</t>
    </r>
    <r>
      <rPr>
        <sz val="9"/>
        <color theme="1"/>
        <rFont val="ＭＳ Ｐゴシック"/>
        <family val="3"/>
        <charset val="128"/>
      </rPr>
      <t>マイクロ、</t>
    </r>
    <r>
      <rPr>
        <sz val="12"/>
        <color theme="1"/>
        <rFont val="ＭＳ Ｐゴシック"/>
        <family val="3"/>
        <charset val="128"/>
      </rPr>
      <t>㉔</t>
    </r>
    <r>
      <rPr>
        <sz val="9"/>
        <color theme="1"/>
        <rFont val="ＭＳ Ｐゴシック"/>
        <family val="3"/>
        <charset val="128"/>
      </rPr>
      <t>ブレードマイクロ　　　　</t>
    </r>
    <r>
      <rPr>
        <sz val="12"/>
        <color theme="1"/>
        <rFont val="ＭＳ Ｐゴシック"/>
        <family val="3"/>
        <charset val="128"/>
      </rPr>
      <t>㊷</t>
    </r>
    <r>
      <rPr>
        <sz val="9"/>
        <color theme="1"/>
        <rFont val="ＭＳ Ｐゴシック"/>
        <family val="3"/>
        <charset val="128"/>
      </rPr>
      <t>目視（ビビり無き事。粗さ問題なき事。記録不要）</t>
    </r>
    <phoneticPr fontId="11"/>
  </si>
  <si>
    <r>
      <t>④</t>
    </r>
    <r>
      <rPr>
        <sz val="9"/>
        <rFont val="ＭＳ Ｐゴシック"/>
        <family val="3"/>
        <charset val="128"/>
      </rPr>
      <t>マイクロ</t>
    </r>
    <r>
      <rPr>
        <sz val="12"/>
        <rFont val="ＭＳ Ｐゴシック"/>
        <family val="3"/>
        <charset val="128"/>
      </rPr>
      <t>、⑧</t>
    </r>
    <r>
      <rPr>
        <sz val="9"/>
        <rFont val="ＭＳ Ｐゴシック"/>
        <family val="3"/>
        <charset val="128"/>
      </rPr>
      <t>エアーマイクロ　　</t>
    </r>
    <r>
      <rPr>
        <sz val="12"/>
        <rFont val="ＭＳ Ｐゴシック"/>
        <family val="3"/>
        <charset val="128"/>
      </rPr>
      <t>㊶㊸㊹㊺</t>
    </r>
    <r>
      <rPr>
        <sz val="9"/>
        <rFont val="ＭＳ Ｐゴシック"/>
        <family val="3"/>
        <charset val="128"/>
      </rPr>
      <t>備考参照→</t>
    </r>
    <rPh sb="20" eb="22">
      <t>ビコウ</t>
    </rPh>
    <rPh sb="22" eb="24">
      <t>サンショウ</t>
    </rPh>
    <phoneticPr fontId="11"/>
  </si>
  <si>
    <r>
      <t>※</t>
    </r>
    <r>
      <rPr>
        <sz val="9"/>
        <rFont val="ＭＳ Ｐゴシック"/>
        <family val="3"/>
        <charset val="128"/>
      </rPr>
      <t>粗の目が出てい無いか。　　　　　</t>
    </r>
    <r>
      <rPr>
        <b/>
        <sz val="9"/>
        <rFont val="ＭＳ Ｐゴシック"/>
        <family val="3"/>
        <charset val="128"/>
      </rPr>
      <t>入口R部に食い込み無いか確認</t>
    </r>
    <rPh sb="1" eb="2">
      <t>アラ</t>
    </rPh>
    <rPh sb="3" eb="4">
      <t>メ</t>
    </rPh>
    <rPh sb="5" eb="6">
      <t>デ</t>
    </rPh>
    <rPh sb="8" eb="9">
      <t>ナ</t>
    </rPh>
    <rPh sb="17" eb="19">
      <t>イリクチ</t>
    </rPh>
    <rPh sb="20" eb="21">
      <t>ブ</t>
    </rPh>
    <rPh sb="22" eb="23">
      <t>ク</t>
    </rPh>
    <rPh sb="24" eb="25">
      <t>コ</t>
    </rPh>
    <rPh sb="26" eb="27">
      <t>ナ</t>
    </rPh>
    <rPh sb="29" eb="31">
      <t>カクニン</t>
    </rPh>
    <phoneticPr fontId="11"/>
  </si>
  <si>
    <t>←完成品の全長24.6を0セットする</t>
    <rPh sb="1" eb="4">
      <t>カンセイヒン</t>
    </rPh>
    <rPh sb="5" eb="7">
      <t>ゼンチョウ</t>
    </rPh>
    <phoneticPr fontId="11"/>
  </si>
  <si>
    <t>⑮問題ない場合OKと記録</t>
    <rPh sb="1" eb="3">
      <t>モンダイ</t>
    </rPh>
    <rPh sb="5" eb="7">
      <t>バアイ</t>
    </rPh>
    <rPh sb="10" eb="12">
      <t>キロク</t>
    </rPh>
    <phoneticPr fontId="11"/>
  </si>
  <si>
    <t>㉕問題ない場合OKと記録</t>
    <rPh sb="1" eb="3">
      <t>モンダイ</t>
    </rPh>
    <rPh sb="5" eb="7">
      <t>バアイ</t>
    </rPh>
    <rPh sb="10" eb="12">
      <t>キロク</t>
    </rPh>
    <phoneticPr fontId="11"/>
  </si>
  <si>
    <t>※R12.05削り残り跡注意</t>
    <phoneticPr fontId="11"/>
  </si>
  <si>
    <t>　　　    　・（※）印事項は記録不要。問題が有り、対処が分からない場合はリーダーに報告する。</t>
    <rPh sb="12" eb="13">
      <t>シルシ</t>
    </rPh>
    <rPh sb="13" eb="15">
      <t>ジコウ</t>
    </rPh>
    <rPh sb="16" eb="18">
      <t>キロク</t>
    </rPh>
    <rPh sb="18" eb="20">
      <t>フヨウ</t>
    </rPh>
    <rPh sb="21" eb="23">
      <t>モンダイ</t>
    </rPh>
    <rPh sb="24" eb="25">
      <t>ア</t>
    </rPh>
    <rPh sb="27" eb="29">
      <t>タイショ</t>
    </rPh>
    <rPh sb="30" eb="31">
      <t>ワ</t>
    </rPh>
    <rPh sb="35" eb="37">
      <t>バアイ</t>
    </rPh>
    <rPh sb="43" eb="45">
      <t>ホウコク</t>
    </rPh>
    <phoneticPr fontId="11"/>
  </si>
  <si>
    <t>㉛問題ない場合OKと記録</t>
    <rPh sb="1" eb="3">
      <t>モンダイ</t>
    </rPh>
    <rPh sb="5" eb="7">
      <t>バアイ</t>
    </rPh>
    <rPh sb="10" eb="12">
      <t>キロク</t>
    </rPh>
    <phoneticPr fontId="11"/>
  </si>
  <si>
    <t>㉚問題ない場合OKと記録</t>
    <rPh sb="1" eb="3">
      <t>モンダイ</t>
    </rPh>
    <rPh sb="5" eb="7">
      <t>バアイ</t>
    </rPh>
    <rPh sb="10" eb="12">
      <t>キロク</t>
    </rPh>
    <phoneticPr fontId="11"/>
  </si>
  <si>
    <t>NC64、NC65（NN-20J2） 工具交換時 工程管理図番号チェック表</t>
    <rPh sb="19" eb="24">
      <t>コウグコウカンジ</t>
    </rPh>
    <rPh sb="25" eb="30">
      <t>コウテイカンリズ</t>
    </rPh>
    <rPh sb="30" eb="32">
      <t>バンゴウ</t>
    </rPh>
    <rPh sb="36" eb="37">
      <t>ヒョウ</t>
    </rPh>
    <phoneticPr fontId="11"/>
  </si>
  <si>
    <r>
      <t>⑤</t>
    </r>
    <r>
      <rPr>
        <sz val="9"/>
        <color theme="1"/>
        <rFont val="ＭＳ Ｐゴシック"/>
        <family val="3"/>
        <charset val="128"/>
      </rPr>
      <t>ノギス</t>
    </r>
    <phoneticPr fontId="21"/>
  </si>
  <si>
    <r>
      <t>⑱⑲⑳</t>
    </r>
    <r>
      <rPr>
        <sz val="9"/>
        <color theme="1"/>
        <rFont val="ＭＳ Ｐゴシック"/>
        <family val="3"/>
        <charset val="128"/>
      </rPr>
      <t>画像測定</t>
    </r>
    <rPh sb="3" eb="5">
      <t>ガゾウ</t>
    </rPh>
    <rPh sb="5" eb="7">
      <t>ソクテイ</t>
    </rPh>
    <phoneticPr fontId="21"/>
  </si>
  <si>
    <r>
      <t>⑦</t>
    </r>
    <r>
      <rPr>
        <sz val="9"/>
        <color theme="1"/>
        <rFont val="ＭＳ Ｐゴシック"/>
        <family val="3"/>
        <charset val="128"/>
      </rPr>
      <t>ノギス</t>
    </r>
    <r>
      <rPr>
        <sz val="12"/>
        <color theme="1"/>
        <rFont val="ＭＳ Ｐゴシック"/>
        <family val="3"/>
        <charset val="128"/>
      </rPr>
      <t>、⑧</t>
    </r>
    <r>
      <rPr>
        <sz val="9"/>
        <color theme="1"/>
        <rFont val="ＭＳ Ｐゴシック"/>
        <family val="3"/>
        <charset val="128"/>
      </rPr>
      <t>マイクロ</t>
    </r>
    <phoneticPr fontId="21"/>
  </si>
  <si>
    <r>
      <t>⑬</t>
    </r>
    <r>
      <rPr>
        <sz val="9"/>
        <color theme="1"/>
        <rFont val="ＭＳ Ｐゴシック"/>
        <family val="3"/>
        <charset val="128"/>
      </rPr>
      <t>ノギス（下穴深さ3.40～3.45狙い）</t>
    </r>
    <phoneticPr fontId="21"/>
  </si>
  <si>
    <t>※目視で粗の目が残ってない事</t>
    <phoneticPr fontId="11"/>
  </si>
  <si>
    <t>※目視で奥の壁にドリルのキズ無き事</t>
    <rPh sb="1" eb="3">
      <t>モクシ</t>
    </rPh>
    <rPh sb="4" eb="5">
      <t>オク</t>
    </rPh>
    <rPh sb="6" eb="7">
      <t>カベ</t>
    </rPh>
    <rPh sb="14" eb="15">
      <t>ナ</t>
    </rPh>
    <phoneticPr fontId="11"/>
  </si>
  <si>
    <r>
      <t>GDG</t>
    </r>
    <r>
      <rPr>
        <sz val="12"/>
        <color rgb="FFFF0000"/>
        <rFont val="ＭＳ Ｐゴシック"/>
        <family val="3"/>
        <charset val="128"/>
      </rPr>
      <t>30</t>
    </r>
    <r>
      <rPr>
        <sz val="12"/>
        <rFont val="ＭＳ Ｐゴシック"/>
        <family val="3"/>
        <charset val="128"/>
      </rPr>
      <t>20N-020GS(PR1225)</t>
    </r>
    <phoneticPr fontId="12"/>
  </si>
  <si>
    <r>
      <t>GDM</t>
    </r>
    <r>
      <rPr>
        <sz val="12"/>
        <color rgb="FFFF0000"/>
        <rFont val="ＭＳ Ｐゴシック"/>
        <family val="3"/>
        <charset val="128"/>
      </rPr>
      <t>20</t>
    </r>
    <r>
      <rPr>
        <sz val="12"/>
        <rFont val="ＭＳ Ｐゴシック"/>
        <family val="3"/>
        <charset val="128"/>
      </rPr>
      <t>20N-020PM(PR1225)</t>
    </r>
    <phoneticPr fontId="12"/>
  </si>
  <si>
    <t>φ3.95入口Ｃ面の大きさ注意</t>
    <rPh sb="5" eb="7">
      <t>イリグチ</t>
    </rPh>
    <rPh sb="8" eb="9">
      <t>メン</t>
    </rPh>
    <rPh sb="10" eb="11">
      <t>オオ</t>
    </rPh>
    <rPh sb="13" eb="15">
      <t>チュウイ</t>
    </rPh>
    <phoneticPr fontId="21"/>
  </si>
  <si>
    <r>
      <t>⑩</t>
    </r>
    <r>
      <rPr>
        <sz val="9"/>
        <color theme="1"/>
        <rFont val="ＭＳ Ｐゴシック"/>
        <family val="3"/>
        <charset val="128"/>
      </rPr>
      <t>ピン（φ3.85-φ4.15）</t>
    </r>
    <r>
      <rPr>
        <sz val="12"/>
        <color theme="1"/>
        <rFont val="ＭＳ Ｐゴシック"/>
        <family val="3"/>
        <charset val="128"/>
      </rPr>
      <t>、⑭</t>
    </r>
    <r>
      <rPr>
        <sz val="9"/>
        <color theme="1"/>
        <rFont val="ＭＳ Ｐゴシック"/>
        <family val="3"/>
        <charset val="128"/>
      </rPr>
      <t>ノギス</t>
    </r>
    <phoneticPr fontId="21"/>
  </si>
  <si>
    <r>
      <t>⑨</t>
    </r>
    <r>
      <rPr>
        <sz val="9"/>
        <color theme="1"/>
        <rFont val="ＭＳ Ｐゴシック"/>
        <family val="3"/>
        <charset val="128"/>
      </rPr>
      <t>ピン（注意、φ3.92-φ3.96を使用する）　</t>
    </r>
    <rPh sb="4" eb="6">
      <t>チュウイ</t>
    </rPh>
    <rPh sb="19" eb="21">
      <t>シヨウ</t>
    </rPh>
    <phoneticPr fontId="21"/>
  </si>
  <si>
    <r>
      <t>㉔㉕</t>
    </r>
    <r>
      <rPr>
        <sz val="9"/>
        <color theme="1"/>
        <rFont val="ＭＳ Ｐゴシック"/>
        <family val="3"/>
        <charset val="128"/>
      </rPr>
      <t>目視（ザグリ穴入口面、φ4穴面が適切である事。又、バリ無き事）記録はOK表示</t>
    </r>
    <rPh sb="2" eb="4">
      <t>モクシ</t>
    </rPh>
    <rPh sb="8" eb="9">
      <t>アナ</t>
    </rPh>
    <rPh sb="9" eb="11">
      <t>イリクチ</t>
    </rPh>
    <rPh sb="11" eb="12">
      <t>メン</t>
    </rPh>
    <rPh sb="15" eb="17">
      <t>アナメン</t>
    </rPh>
    <rPh sb="18" eb="20">
      <t>テキセツ</t>
    </rPh>
    <rPh sb="23" eb="24">
      <t>コト</t>
    </rPh>
    <rPh sb="25" eb="26">
      <t>マタ</t>
    </rPh>
    <rPh sb="29" eb="30">
      <t>ナ</t>
    </rPh>
    <rPh sb="31" eb="32">
      <t>コト</t>
    </rPh>
    <rPh sb="33" eb="35">
      <t>キロク</t>
    </rPh>
    <rPh sb="38" eb="40">
      <t>ヒョウジ</t>
    </rPh>
    <phoneticPr fontId="21"/>
  </si>
  <si>
    <r>
      <t>⑪</t>
    </r>
    <r>
      <rPr>
        <sz val="9"/>
        <color theme="1"/>
        <rFont val="ＭＳ Ｐゴシック"/>
        <family val="3"/>
        <charset val="128"/>
      </rPr>
      <t>ピン（φ6.8）</t>
    </r>
    <r>
      <rPr>
        <sz val="12"/>
        <color theme="1"/>
        <rFont val="ＭＳ Ｐゴシック"/>
        <family val="3"/>
        <charset val="128"/>
      </rPr>
      <t>、⑫</t>
    </r>
    <r>
      <rPr>
        <sz val="9"/>
        <color theme="1"/>
        <rFont val="ＭＳ Ｐゴシック"/>
        <family val="3"/>
        <charset val="128"/>
      </rPr>
      <t>専用ピン（テーパーピン2種類）　　</t>
    </r>
    <r>
      <rPr>
        <sz val="12"/>
        <color theme="1"/>
        <rFont val="ＭＳ Ｐゴシック"/>
        <family val="3"/>
        <charset val="128"/>
      </rPr>
      <t>⑬</t>
    </r>
    <r>
      <rPr>
        <sz val="9"/>
        <color theme="1"/>
        <rFont val="ＭＳ Ｐゴシック"/>
        <family val="3"/>
        <charset val="128"/>
      </rPr>
      <t>ノギス</t>
    </r>
    <rPh sb="11" eb="13">
      <t>センヨウ</t>
    </rPh>
    <rPh sb="23" eb="25">
      <t>シュルイ</t>
    </rPh>
    <phoneticPr fontId="21"/>
  </si>
  <si>
    <r>
      <t>⑨</t>
    </r>
    <r>
      <rPr>
        <sz val="9"/>
        <color theme="1"/>
        <rFont val="ＭＳ Ｐゴシック"/>
        <family val="3"/>
        <charset val="128"/>
      </rPr>
      <t>ピン（注意、φ3.92-φ3.96を使用する）　　　　　　　　　　　　　　</t>
    </r>
    <r>
      <rPr>
        <sz val="12"/>
        <color theme="1"/>
        <rFont val="ＭＳ Ｐゴシック"/>
        <family val="3"/>
        <charset val="128"/>
      </rPr>
      <t>㉓</t>
    </r>
    <r>
      <rPr>
        <sz val="9"/>
        <color theme="1"/>
        <rFont val="ＭＳ Ｐゴシック"/>
        <family val="3"/>
        <charset val="128"/>
      </rPr>
      <t>目視（バリ無き事）　　　　　　　　　　　　　　　　　　　　　　（交差穴の面が適切な大きさである事）記録はOK表示</t>
    </r>
    <rPh sb="39" eb="41">
      <t>モクシ</t>
    </rPh>
    <phoneticPr fontId="21"/>
  </si>
  <si>
    <r>
      <t>㉓</t>
    </r>
    <r>
      <rPr>
        <sz val="9"/>
        <color theme="1"/>
        <rFont val="ＭＳ Ｐゴシック"/>
        <family val="3"/>
        <charset val="128"/>
      </rPr>
      <t>目視（バリ無き事）　　　　　　　　　　　　　　　　　　　　　　（交差穴の面が適切な大きさである事）記録はOK表示</t>
    </r>
    <rPh sb="1" eb="3">
      <t>モクシ</t>
    </rPh>
    <rPh sb="6" eb="7">
      <t>ナ</t>
    </rPh>
    <rPh sb="8" eb="9">
      <t>コト</t>
    </rPh>
    <rPh sb="33" eb="36">
      <t>コウサアナ</t>
    </rPh>
    <rPh sb="37" eb="38">
      <t>メン</t>
    </rPh>
    <rPh sb="39" eb="41">
      <t>テキセツ</t>
    </rPh>
    <rPh sb="42" eb="43">
      <t>オオ</t>
    </rPh>
    <rPh sb="48" eb="49">
      <t>コト</t>
    </rPh>
    <phoneticPr fontId="21"/>
  </si>
  <si>
    <r>
      <t>⑧</t>
    </r>
    <r>
      <rPr>
        <sz val="9"/>
        <color theme="1"/>
        <rFont val="ＭＳ Ｐゴシック"/>
        <family val="3"/>
        <charset val="128"/>
      </rPr>
      <t>ノギス</t>
    </r>
    <r>
      <rPr>
        <sz val="12"/>
        <color theme="1"/>
        <rFont val="ＭＳ Ｐゴシック"/>
        <family val="3"/>
        <charset val="128"/>
      </rPr>
      <t>、㉑</t>
    </r>
    <r>
      <rPr>
        <sz val="9"/>
        <color theme="1"/>
        <rFont val="ＭＳ Ｐゴシック"/>
        <family val="3"/>
        <charset val="128"/>
      </rPr>
      <t xml:space="preserve">ブレードマイクロ </t>
    </r>
    <r>
      <rPr>
        <sz val="12"/>
        <color theme="1"/>
        <rFont val="ＭＳ Ｐゴシック"/>
        <family val="3"/>
        <charset val="128"/>
      </rPr>
      <t>、⑲</t>
    </r>
    <r>
      <rPr>
        <sz val="9"/>
        <color theme="1"/>
        <rFont val="ＭＳ Ｐゴシック"/>
        <family val="3"/>
        <charset val="128"/>
      </rPr>
      <t>溝ゲージ</t>
    </r>
    <r>
      <rPr>
        <sz val="12"/>
        <color theme="1"/>
        <rFont val="ＭＳ Ｐゴシック"/>
        <family val="3"/>
        <charset val="128"/>
      </rPr>
      <t>、　　　　　　　　　　　　　　　㊷</t>
    </r>
    <r>
      <rPr>
        <sz val="9"/>
        <color theme="1"/>
        <rFont val="ＭＳ Ｐゴシック"/>
        <family val="3"/>
        <charset val="128"/>
      </rPr>
      <t>目視（ビビり無き事。粗さ問題なき事。記録不要）</t>
    </r>
    <rPh sb="17" eb="18">
      <t>ミゾ</t>
    </rPh>
    <rPh sb="38" eb="40">
      <t>モクシ</t>
    </rPh>
    <rPh sb="56" eb="58">
      <t>キロク</t>
    </rPh>
    <rPh sb="58" eb="60">
      <t>フヨウ</t>
    </rPh>
    <phoneticPr fontId="11"/>
  </si>
  <si>
    <t>TAC-CTDA4.0×10.0</t>
    <phoneticPr fontId="11"/>
  </si>
  <si>
    <t>センター穴</t>
    <rPh sb="4" eb="5">
      <t>アナ</t>
    </rPh>
    <phoneticPr fontId="11"/>
  </si>
  <si>
    <t>※全長24.60±0.02</t>
    <rPh sb="1" eb="3">
      <t>ゼンチョウ</t>
    </rPh>
    <phoneticPr fontId="11"/>
  </si>
  <si>
    <t>NC42 （SS327）   工具交換時 工程管理図番号チェック表</t>
    <rPh sb="15" eb="20">
      <t>コウグコウカンジ</t>
    </rPh>
    <rPh sb="21" eb="26">
      <t>コウテイカンリズ</t>
    </rPh>
    <rPh sb="26" eb="28">
      <t>バンゴウ</t>
    </rPh>
    <rPh sb="32" eb="33">
      <t>ヒョウ</t>
    </rPh>
    <phoneticPr fontId="11"/>
  </si>
  <si>
    <r>
      <t>㊻</t>
    </r>
    <r>
      <rPr>
        <sz val="9"/>
        <color rgb="FFFF0000"/>
        <rFont val="ＭＳ Ｐゴシック"/>
        <family val="3"/>
        <charset val="128"/>
      </rPr>
      <t>マイクロスコープ</t>
    </r>
    <r>
      <rPr>
        <sz val="12"/>
        <color rgb="FFFF0000"/>
        <rFont val="ＭＳ Ｐゴシック"/>
        <family val="3"/>
        <charset val="128"/>
      </rPr>
      <t>　</t>
    </r>
    <r>
      <rPr>
        <sz val="9"/>
        <color rgb="FFFF0000"/>
        <rFont val="ＭＳ Ｐゴシック"/>
        <family val="3"/>
        <charset val="128"/>
      </rPr>
      <t>参照→</t>
    </r>
    <rPh sb="10" eb="12">
      <t>サンショウ</t>
    </rPh>
    <phoneticPr fontId="11"/>
  </si>
  <si>
    <r>
      <rPr>
        <sz val="12"/>
        <color rgb="FFFF0000"/>
        <rFont val="ＭＳ Ｐゴシック"/>
        <family val="3"/>
        <charset val="128"/>
      </rPr>
      <t>②</t>
    </r>
    <r>
      <rPr>
        <sz val="10"/>
        <color rgb="FFFF0000"/>
        <rFont val="ＭＳ Ｐゴシック"/>
        <family val="3"/>
        <charset val="128"/>
      </rPr>
      <t>17.950狙い</t>
    </r>
    <rPh sb="7" eb="8">
      <t>ネラ</t>
    </rPh>
    <phoneticPr fontId="11"/>
  </si>
  <si>
    <t>カットして確認。問題ない場合、㊻にOKと　　　記録する。カットサンプルは黄箱に保管。</t>
    <rPh sb="5" eb="7">
      <t>カクニン</t>
    </rPh>
    <rPh sb="8" eb="10">
      <t>モンダイ</t>
    </rPh>
    <rPh sb="12" eb="14">
      <t>バアイ</t>
    </rPh>
    <rPh sb="23" eb="25">
      <t>キロク</t>
    </rPh>
    <rPh sb="36" eb="37">
      <t>キ</t>
    </rPh>
    <rPh sb="37" eb="38">
      <t>バコ</t>
    </rPh>
    <rPh sb="39" eb="41">
      <t>ホカン</t>
    </rPh>
    <phoneticPr fontId="11"/>
  </si>
  <si>
    <t>RVMSUS4080G-2.5D</t>
    <phoneticPr fontId="12"/>
  </si>
  <si>
    <t>T84</t>
    <phoneticPr fontId="11"/>
  </si>
  <si>
    <t>ｾﾝﾀｰ穴</t>
    <rPh sb="4" eb="5">
      <t>アナ</t>
    </rPh>
    <phoneticPr fontId="12"/>
  </si>
  <si>
    <t>キー溝正面側面取り</t>
    <rPh sb="2" eb="3">
      <t>ミゾ</t>
    </rPh>
    <rPh sb="3" eb="5">
      <t>ショウメン</t>
    </rPh>
    <rPh sb="5" eb="6">
      <t>ガワ</t>
    </rPh>
    <rPh sb="6" eb="8">
      <t>メント</t>
    </rPh>
    <phoneticPr fontId="12"/>
  </si>
  <si>
    <t>4面幅ﾉｷﾞｽで測定し㊶に記録</t>
    <rPh sb="1" eb="2">
      <t>メン</t>
    </rPh>
    <rPh sb="2" eb="3">
      <t>ハバ</t>
    </rPh>
    <rPh sb="8" eb="10">
      <t>ソクテイ</t>
    </rPh>
    <rPh sb="13" eb="15">
      <t>キロク</t>
    </rPh>
    <phoneticPr fontId="11"/>
  </si>
  <si>
    <t>②-1，②-2、③-1、③-2　　　　　　　　　   参照→</t>
    <rPh sb="27" eb="29">
      <t>サンショウ</t>
    </rPh>
    <phoneticPr fontId="11"/>
  </si>
  <si>
    <t>㉓測定値-0.5を記録</t>
    <rPh sb="1" eb="4">
      <t>ソクテイチ</t>
    </rPh>
    <rPh sb="9" eb="11">
      <t>キロク</t>
    </rPh>
    <phoneticPr fontId="11"/>
  </si>
  <si>
    <t>②17.950狙い</t>
    <rPh sb="7" eb="8">
      <t>ネラ</t>
    </rPh>
    <phoneticPr fontId="11"/>
  </si>
  <si>
    <t>②16.95狙い</t>
    <rPh sb="6" eb="7">
      <t>ネラ</t>
    </rPh>
    <phoneticPr fontId="11"/>
  </si>
  <si>
    <t>T50加工のみでツバ厚8.75狙い</t>
    <rPh sb="3" eb="5">
      <t>カコウ</t>
    </rPh>
    <rPh sb="10" eb="11">
      <t>アツ</t>
    </rPh>
    <rPh sb="15" eb="16">
      <t>ネラ</t>
    </rPh>
    <phoneticPr fontId="11"/>
  </si>
  <si>
    <r>
      <rPr>
        <sz val="12"/>
        <rFont val="ＭＳ Ｐゴシック"/>
        <family val="3"/>
        <charset val="128"/>
      </rPr>
      <t>②</t>
    </r>
    <r>
      <rPr>
        <sz val="9"/>
        <rFont val="ＭＳ Ｐゴシック"/>
        <family val="3"/>
        <charset val="128"/>
      </rPr>
      <t>ブレード</t>
    </r>
    <r>
      <rPr>
        <sz val="9"/>
        <color rgb="FFFF0000"/>
        <rFont val="ＭＳ Ｐゴシック"/>
        <family val="3"/>
        <charset val="128"/>
      </rPr>
      <t>（根元の軸径）</t>
    </r>
    <r>
      <rPr>
        <sz val="9"/>
        <rFont val="ＭＳ Ｐゴシック"/>
        <family val="3"/>
        <charset val="128"/>
      </rPr>
      <t>、　　　　　㉜形状</t>
    </r>
    <rPh sb="6" eb="8">
      <t>ネモト</t>
    </rPh>
    <rPh sb="9" eb="10">
      <t>ジク</t>
    </rPh>
    <rPh sb="10" eb="11">
      <t>ケイ</t>
    </rPh>
    <rPh sb="19" eb="21">
      <t>ケイジョウ</t>
    </rPh>
    <phoneticPr fontId="11"/>
  </si>
  <si>
    <t>⑧ｴｱｰﾏｲｸﾛ⑬ﾉｷﾞｽ</t>
    <phoneticPr fontId="11"/>
  </si>
  <si>
    <t>⑩ﾋﾟﾝ、⑪ﾋﾟﾝ+ﾉｷﾞｽ</t>
    <phoneticPr fontId="11"/>
  </si>
  <si>
    <t>⑨ﾋﾟﾝ、⑫ﾉｷﾞｽ</t>
    <phoneticPr fontId="11"/>
  </si>
  <si>
    <t>④ﾏｲｸﾛ、⑧ｴｱｰﾏｲｸﾛ　　　　　㊴㊶㊹備考参照</t>
    <rPh sb="22" eb="24">
      <t>ビコウ</t>
    </rPh>
    <rPh sb="24" eb="26">
      <t>サンショウ</t>
    </rPh>
    <phoneticPr fontId="11"/>
  </si>
  <si>
    <t>①②④ﾏｲｸﾛ、③ﾉｷﾞｽ、㉛三次元</t>
    <rPh sb="15" eb="18">
      <t>サンジゲン</t>
    </rPh>
    <phoneticPr fontId="11"/>
  </si>
  <si>
    <t>⑮ﾋﾟﾝ、⑯ﾘﾆｱ</t>
    <phoneticPr fontId="11"/>
  </si>
  <si>
    <t>㉚㉛三次元</t>
    <rPh sb="2" eb="5">
      <t>サンジゲン</t>
    </rPh>
    <phoneticPr fontId="11"/>
  </si>
  <si>
    <r>
      <t>※</t>
    </r>
    <r>
      <rPr>
        <sz val="9"/>
        <rFont val="ＭＳ Ｐゴシック"/>
        <family val="3"/>
        <charset val="128"/>
      </rPr>
      <t>φ2.3入口の面、ザグリ淵の面は適切か確認</t>
    </r>
    <rPh sb="5" eb="7">
      <t>イリクチ</t>
    </rPh>
    <rPh sb="8" eb="9">
      <t>メン</t>
    </rPh>
    <rPh sb="13" eb="14">
      <t>フチ</t>
    </rPh>
    <rPh sb="15" eb="16">
      <t>メン</t>
    </rPh>
    <rPh sb="17" eb="19">
      <t>テキセツ</t>
    </rPh>
    <rPh sb="20" eb="22">
      <t>カクニン</t>
    </rPh>
    <phoneticPr fontId="11"/>
  </si>
  <si>
    <t>※下穴15.00狙い（全長37.00の場合）　　   ※目視←完成品の粗加工の目残り無き事</t>
    <rPh sb="1" eb="3">
      <t>シタアナ</t>
    </rPh>
    <rPh sb="8" eb="9">
      <t>ネラシタアナネラナイケイネラ</t>
    </rPh>
    <rPh sb="31" eb="34">
      <t>カンセイヒン</t>
    </rPh>
    <rPh sb="35" eb="36">
      <t>アラ</t>
    </rPh>
    <rPh sb="36" eb="38">
      <t>カコウ</t>
    </rPh>
    <rPh sb="39" eb="41">
      <t>メノコ</t>
    </rPh>
    <rPh sb="42" eb="43">
      <t>ナ</t>
    </rPh>
    <rPh sb="44" eb="45">
      <t>コト</t>
    </rPh>
    <phoneticPr fontId="11"/>
  </si>
  <si>
    <t>貫通先の壁にドリル痕、無き事。　　　　　　　　　問題ない場合OKと記録する</t>
    <rPh sb="0" eb="3">
      <t>カンツウサキ</t>
    </rPh>
    <rPh sb="4" eb="5">
      <t>カベ</t>
    </rPh>
    <rPh sb="9" eb="10">
      <t>コン</t>
    </rPh>
    <rPh sb="11" eb="12">
      <t>ナ</t>
    </rPh>
    <rPh sb="13" eb="14">
      <t>コト</t>
    </rPh>
    <rPh sb="24" eb="26">
      <t>モンダイ</t>
    </rPh>
    <rPh sb="28" eb="30">
      <t>バアイ</t>
    </rPh>
    <rPh sb="33" eb="35">
      <t>キロク</t>
    </rPh>
    <phoneticPr fontId="11"/>
  </si>
  <si>
    <t>NN-32YB2XB 工具交換時 工程管理図番号チェック表</t>
    <rPh sb="11" eb="16">
      <t>コウグコウカンジ</t>
    </rPh>
    <rPh sb="17" eb="22">
      <t>コウテイカンリズ</t>
    </rPh>
    <rPh sb="22" eb="24">
      <t>バンゴウ</t>
    </rPh>
    <rPh sb="28" eb="29">
      <t>ヒョウ</t>
    </rPh>
    <phoneticPr fontId="11"/>
  </si>
  <si>
    <r>
      <t>⑭</t>
    </r>
    <r>
      <rPr>
        <sz val="9"/>
        <rFont val="ＭＳ Ｐゴシック"/>
        <family val="3"/>
        <charset val="128"/>
      </rPr>
      <t>ピン</t>
    </r>
    <r>
      <rPr>
        <sz val="12"/>
        <rFont val="ＭＳ Ｐゴシック"/>
        <family val="3"/>
        <charset val="128"/>
      </rPr>
      <t>、㊽</t>
    </r>
    <r>
      <rPr>
        <sz val="9"/>
        <rFont val="ＭＳ Ｐゴシック"/>
        <family val="3"/>
        <charset val="128"/>
      </rPr>
      <t>→備考参照。</t>
    </r>
    <rPh sb="6" eb="8">
      <t>ビコウ</t>
    </rPh>
    <rPh sb="8" eb="10">
      <t>サンショウ</t>
    </rPh>
    <phoneticPr fontId="11"/>
  </si>
  <si>
    <t>※㉝上下に寸法記録を行う</t>
    <rPh sb="2" eb="4">
      <t>ジョウゲ</t>
    </rPh>
    <rPh sb="5" eb="7">
      <t>スンポウ</t>
    </rPh>
    <rPh sb="7" eb="9">
      <t>キロク</t>
    </rPh>
    <rPh sb="10" eb="11">
      <t>オコナ</t>
    </rPh>
    <phoneticPr fontId="11"/>
  </si>
  <si>
    <t>※目視←完成品φ11.5穴粗さ異常無き事</t>
    <rPh sb="4" eb="7">
      <t>カンセイヒン</t>
    </rPh>
    <rPh sb="12" eb="13">
      <t>アナ</t>
    </rPh>
    <rPh sb="13" eb="14">
      <t>アラ</t>
    </rPh>
    <rPh sb="15" eb="17">
      <t>イジョウ</t>
    </rPh>
    <rPh sb="17" eb="18">
      <t>ナ</t>
    </rPh>
    <rPh sb="19" eb="20">
      <t>コト</t>
    </rPh>
    <phoneticPr fontId="11"/>
  </si>
  <si>
    <r>
      <t>㊻</t>
    </r>
    <r>
      <rPr>
        <b/>
        <sz val="9"/>
        <color rgb="FFFF0000"/>
        <rFont val="ＭＳ Ｐゴシック"/>
        <family val="3"/>
        <charset val="128"/>
      </rPr>
      <t>マイクロスコープ</t>
    </r>
    <r>
      <rPr>
        <b/>
        <sz val="12"/>
        <color rgb="FFFF0000"/>
        <rFont val="ＭＳ Ｐゴシック"/>
        <family val="3"/>
        <charset val="128"/>
      </rPr>
      <t>　</t>
    </r>
    <r>
      <rPr>
        <b/>
        <sz val="9"/>
        <color rgb="FFFF0000"/>
        <rFont val="ＭＳ Ｐゴシック"/>
        <family val="3"/>
        <charset val="128"/>
      </rPr>
      <t>参照→</t>
    </r>
    <rPh sb="10" eb="12">
      <t>サンショウ</t>
    </rPh>
    <phoneticPr fontId="11"/>
  </si>
  <si>
    <t>TAC-CTDA3×8</t>
    <phoneticPr fontId="11"/>
  </si>
  <si>
    <r>
      <t>㊾</t>
    </r>
    <r>
      <rPr>
        <sz val="9"/>
        <rFont val="ＭＳ Ｐゴシック"/>
        <family val="3"/>
        <charset val="128"/>
      </rPr>
      <t>マイクロ　</t>
    </r>
    <r>
      <rPr>
        <b/>
        <sz val="9"/>
        <color rgb="FFFF0000"/>
        <rFont val="ＭＳ Ｐゴシック"/>
        <family val="3"/>
        <charset val="128"/>
      </rPr>
      <t>この刃工具加工で　　止めた製品</t>
    </r>
    <r>
      <rPr>
        <sz val="9"/>
        <rFont val="ＭＳ Ｐゴシック"/>
        <family val="3"/>
        <charset val="128"/>
      </rPr>
      <t>のツバ厚寸法　　　　　　確認を行う。　（8.75±0.01）</t>
    </r>
    <phoneticPr fontId="11"/>
  </si>
  <si>
    <t>予告</t>
    <rPh sb="0" eb="2">
      <t>ヨコク</t>
    </rPh>
    <phoneticPr fontId="11"/>
  </si>
  <si>
    <t>工程回数</t>
    <rPh sb="0" eb="4">
      <t>コウテイカイスウ</t>
    </rPh>
    <phoneticPr fontId="11"/>
  </si>
  <si>
    <t>寿命設定</t>
    <rPh sb="0" eb="2">
      <t>ジュミョウ</t>
    </rPh>
    <rPh sb="2" eb="4">
      <t>セッテイ</t>
    </rPh>
    <phoneticPr fontId="12"/>
  </si>
  <si>
    <t>住友電工</t>
    <rPh sb="0" eb="2">
      <t>スミトモ</t>
    </rPh>
    <rPh sb="2" eb="4">
      <t>デンコウ</t>
    </rPh>
    <phoneticPr fontId="12"/>
  </si>
  <si>
    <t>GCMN3002-GF (AC530U)</t>
    <phoneticPr fontId="12"/>
  </si>
  <si>
    <t>GNDMR1616JX-312J</t>
    <phoneticPr fontId="12"/>
  </si>
  <si>
    <t>NC41、50（SS327） 工具交換時 工程管理図番号チェック表</t>
    <rPh sb="15" eb="20">
      <t>コウグコウカンジ</t>
    </rPh>
    <rPh sb="21" eb="26">
      <t>コウテイカンリズ</t>
    </rPh>
    <rPh sb="26" eb="28">
      <t>バンゴウ</t>
    </rPh>
    <rPh sb="32" eb="33">
      <t>ヒョウ</t>
    </rPh>
    <phoneticPr fontId="11"/>
  </si>
  <si>
    <t>10200/10200</t>
    <phoneticPr fontId="11"/>
  </si>
  <si>
    <t>800/800</t>
    <phoneticPr fontId="11"/>
  </si>
  <si>
    <t>※R12.05削り残り跡注意</t>
  </si>
  <si>
    <t>GCMN3002-GF(AC530U)</t>
    <phoneticPr fontId="12"/>
  </si>
  <si>
    <t>20000/2000</t>
    <phoneticPr fontId="11"/>
  </si>
  <si>
    <t>NC42、53、54（SS327） 工具交換時 工程管理図番号チェック表</t>
    <rPh sb="18" eb="23">
      <t>コウグコウカンジ</t>
    </rPh>
    <rPh sb="24" eb="29">
      <t>コウテイカンリズ</t>
    </rPh>
    <rPh sb="29" eb="31">
      <t>バンゴウ</t>
    </rPh>
    <rPh sb="35" eb="36">
      <t>ヒョウ</t>
    </rPh>
    <phoneticPr fontId="11"/>
  </si>
  <si>
    <r>
      <rPr>
        <b/>
        <sz val="9"/>
        <color rgb="FFFF0000"/>
        <rFont val="ＭＳ Ｐゴシック"/>
        <family val="3"/>
        <charset val="128"/>
      </rPr>
      <t>※ノギス</t>
    </r>
    <r>
      <rPr>
        <b/>
        <sz val="12"/>
        <color rgb="FFFF0000"/>
        <rFont val="ＭＳ Ｐゴシック"/>
        <family val="3"/>
        <charset val="128"/>
      </rPr>
      <t>⒳16.80～16.85狙い　</t>
    </r>
    <r>
      <rPr>
        <b/>
        <sz val="10"/>
        <color rgb="FFFF0000"/>
        <rFont val="ＭＳ Ｐゴシック"/>
        <family val="3"/>
        <charset val="128"/>
      </rPr>
      <t>　　　</t>
    </r>
    <rPh sb="16" eb="17">
      <t>ネラ</t>
    </rPh>
    <phoneticPr fontId="12"/>
  </si>
  <si>
    <r>
      <rPr>
        <b/>
        <sz val="9"/>
        <color rgb="FFFF0000"/>
        <rFont val="ＭＳ Ｐゴシック"/>
        <family val="3"/>
        <charset val="128"/>
      </rPr>
      <t>※ノギス</t>
    </r>
    <r>
      <rPr>
        <b/>
        <sz val="12"/>
        <color rgb="FFFF0000"/>
        <rFont val="ＭＳ Ｐゴシック"/>
        <family val="3"/>
        <charset val="128"/>
      </rPr>
      <t>⒳16.85～16.90狙い　</t>
    </r>
    <r>
      <rPr>
        <b/>
        <sz val="10"/>
        <color rgb="FFFF0000"/>
        <rFont val="ＭＳ Ｐゴシック"/>
        <family val="3"/>
        <charset val="128"/>
      </rPr>
      <t>　　　</t>
    </r>
    <rPh sb="16" eb="17">
      <t>ネラ</t>
    </rPh>
    <phoneticPr fontId="12"/>
  </si>
  <si>
    <r>
      <t>㉓</t>
    </r>
    <r>
      <rPr>
        <sz val="9"/>
        <color theme="1"/>
        <rFont val="ＭＳ Ｐゴシック"/>
        <family val="3"/>
        <charset val="128"/>
      </rPr>
      <t>ノギス</t>
    </r>
    <r>
      <rPr>
        <sz val="12"/>
        <color theme="1"/>
        <rFont val="ＭＳ Ｐゴシック"/>
        <family val="3"/>
        <charset val="128"/>
      </rPr>
      <t>　　　　　　　　　　　　　　　　　　　　</t>
    </r>
    <r>
      <rPr>
        <b/>
        <sz val="12"/>
        <color theme="1"/>
        <rFont val="ＭＳ Ｐゴシック"/>
        <family val="3"/>
        <charset val="128"/>
      </rPr>
      <t>※</t>
    </r>
    <r>
      <rPr>
        <b/>
        <sz val="9"/>
        <color theme="1"/>
        <rFont val="ＭＳ Ｐゴシック"/>
        <family val="3"/>
        <charset val="128"/>
      </rPr>
      <t>ノギス13.5部段差0.02±0.01</t>
    </r>
    <phoneticPr fontId="11"/>
  </si>
  <si>
    <t>※⒳16.80～16.85狙い</t>
    <rPh sb="13" eb="14">
      <t>ネラ</t>
    </rPh>
    <phoneticPr fontId="12"/>
  </si>
  <si>
    <t>※⒳16.85～16.90狙い</t>
    <rPh sb="13" eb="14">
      <t>ネラ</t>
    </rPh>
    <phoneticPr fontId="12"/>
  </si>
  <si>
    <r>
      <rPr>
        <b/>
        <sz val="12"/>
        <rFont val="ＭＳ Ｐゴシック"/>
        <family val="3"/>
        <charset val="128"/>
      </rPr>
      <t>○</t>
    </r>
    <r>
      <rPr>
        <b/>
        <sz val="9"/>
        <rFont val="ＭＳ Ｐゴシック"/>
        <family val="3"/>
        <charset val="128"/>
      </rPr>
      <t>ノギス深さ13.40狙い。</t>
    </r>
    <r>
      <rPr>
        <b/>
        <sz val="9"/>
        <color rgb="FFFF0000"/>
        <rFont val="ＭＳ Ｐゴシック"/>
        <family val="3"/>
        <charset val="128"/>
      </rPr>
      <t>空白蘭に数値を記録。</t>
    </r>
    <r>
      <rPr>
        <b/>
        <sz val="9"/>
        <rFont val="ＭＳ Ｐゴシック"/>
        <family val="3"/>
        <charset val="128"/>
      </rPr>
      <t>　　　　　　　　　　　　　　　（完成品全長の19.0の場合）</t>
    </r>
    <rPh sb="4" eb="5">
      <t>フカ</t>
    </rPh>
    <rPh sb="14" eb="16">
      <t>クウハク</t>
    </rPh>
    <rPh sb="16" eb="17">
      <t>ラン</t>
    </rPh>
    <rPh sb="18" eb="20">
      <t>スウチ</t>
    </rPh>
    <rPh sb="21" eb="23">
      <t>キロク</t>
    </rPh>
    <rPh sb="40" eb="43">
      <t>カンセイヒン</t>
    </rPh>
    <rPh sb="51" eb="53">
      <t>バアイ</t>
    </rPh>
    <phoneticPr fontId="11"/>
  </si>
  <si>
    <t>フラットドリル</t>
    <phoneticPr fontId="12"/>
  </si>
  <si>
    <t>日進工具</t>
    <rPh sb="0" eb="4">
      <t>ニッシンコウグ</t>
    </rPh>
    <phoneticPr fontId="12"/>
  </si>
  <si>
    <t>MFDφ4.1×8.2</t>
    <phoneticPr fontId="12"/>
  </si>
  <si>
    <t>TAC-CTDA4</t>
    <phoneticPr fontId="12"/>
  </si>
  <si>
    <t>NC83（SS327-Ⅲ/背面刃物台無） 　工具交換時 工程管理図番号チェック表</t>
    <rPh sb="13" eb="15">
      <t>ハイメン</t>
    </rPh>
    <rPh sb="15" eb="18">
      <t>ハモノダイ</t>
    </rPh>
    <rPh sb="18" eb="19">
      <t>ナシ</t>
    </rPh>
    <rPh sb="22" eb="27">
      <t>コウグコウカンジ</t>
    </rPh>
    <rPh sb="28" eb="33">
      <t>コウテイカンリズ</t>
    </rPh>
    <rPh sb="33" eb="35">
      <t>バンゴウ</t>
    </rPh>
    <rPh sb="39" eb="40">
      <t>ヒョウ</t>
    </rPh>
    <phoneticPr fontId="11"/>
  </si>
  <si>
    <t>X3MM10S6-END-ABT</t>
    <phoneticPr fontId="12"/>
  </si>
  <si>
    <t>INJECTOR CUP/AP2T(U2-018IC449-06)消耗工具品名　</t>
    <rPh sb="33" eb="39">
      <t>ショウモウコウグヒンメイ</t>
    </rPh>
    <phoneticPr fontId="12"/>
  </si>
  <si>
    <t>工具交換時 工程管理図番号チェック表（NN-32YB2XB）</t>
    <rPh sb="0" eb="5">
      <t>コウグコウカンジ</t>
    </rPh>
    <rPh sb="6" eb="11">
      <t>コウテイカンリズ</t>
    </rPh>
    <rPh sb="11" eb="13">
      <t>バンゴウ</t>
    </rPh>
    <rPh sb="17" eb="18">
      <t>ヒョウ</t>
    </rPh>
    <phoneticPr fontId="11"/>
  </si>
  <si>
    <t>INJECTOR CUP(U2-018IC449-06)消耗工具品名　</t>
    <rPh sb="28" eb="34">
      <t>ショウモウコウグヒンメイ</t>
    </rPh>
    <phoneticPr fontId="12"/>
  </si>
  <si>
    <t>T46</t>
  </si>
  <si>
    <t>T47</t>
  </si>
  <si>
    <t>マイクロスコープで面バリのチェック</t>
    <rPh sb="9" eb="10">
      <t>メン</t>
    </rPh>
    <phoneticPr fontId="11"/>
  </si>
  <si>
    <t>仕上げ未加工時
ツバ厚8.75狙い</t>
    <rPh sb="0" eb="2">
      <t>シア</t>
    </rPh>
    <rPh sb="3" eb="6">
      <t>ミカコウ</t>
    </rPh>
    <rPh sb="6" eb="7">
      <t>ジ</t>
    </rPh>
    <rPh sb="10" eb="11">
      <t>アツ</t>
    </rPh>
    <rPh sb="15" eb="16">
      <t>ネラ</t>
    </rPh>
    <phoneticPr fontId="11"/>
  </si>
  <si>
    <t>φ16.97、φ22.92外径仕上げ</t>
    <rPh sb="13" eb="17">
      <t>ガイケイシア</t>
    </rPh>
    <phoneticPr fontId="12"/>
  </si>
  <si>
    <t>ツバ裏17°テーパー、深さ0.35</t>
    <rPh sb="2" eb="3">
      <t>ウラ</t>
    </rPh>
    <rPh sb="11" eb="12">
      <t>フカ</t>
    </rPh>
    <phoneticPr fontId="12"/>
  </si>
  <si>
    <t>溝入れ、</t>
    <rPh sb="0" eb="1">
      <t>ミゾ</t>
    </rPh>
    <rPh sb="1" eb="2">
      <t>イ</t>
    </rPh>
    <phoneticPr fontId="12"/>
  </si>
  <si>
    <t>ツバ厚8.85</t>
    <rPh sb="2" eb="3">
      <t>アツ</t>
    </rPh>
    <phoneticPr fontId="12"/>
  </si>
  <si>
    <t>φ6.2穴、深さ21.0</t>
    <rPh sb="4" eb="5">
      <t>アナ</t>
    </rPh>
    <rPh sb="6" eb="7">
      <t>フカ</t>
    </rPh>
    <phoneticPr fontId="12"/>
  </si>
  <si>
    <t>端面荒取り、ツバ厚8.75、C0.25</t>
    <rPh sb="0" eb="2">
      <t>タンメン</t>
    </rPh>
    <rPh sb="2" eb="4">
      <t>アラド</t>
    </rPh>
    <rPh sb="8" eb="9">
      <t>アツ</t>
    </rPh>
    <phoneticPr fontId="12"/>
  </si>
  <si>
    <t>φ3.1穴面</t>
    <rPh sb="4" eb="5">
      <t>アナ</t>
    </rPh>
    <phoneticPr fontId="12"/>
  </si>
  <si>
    <t>ｾﾝﾀｰ穴、φ3.1穴面、キー溝正面側面取り</t>
    <rPh sb="4" eb="5">
      <t>アナ</t>
    </rPh>
    <rPh sb="10" eb="11">
      <t>アナ</t>
    </rPh>
    <rPh sb="11" eb="12">
      <t>メン</t>
    </rPh>
    <rPh sb="15" eb="16">
      <t>ミゾ</t>
    </rPh>
    <rPh sb="16" eb="18">
      <t>ショウメン</t>
    </rPh>
    <rPh sb="18" eb="19">
      <t>ガワ</t>
    </rPh>
    <rPh sb="19" eb="21">
      <t>メント</t>
    </rPh>
    <phoneticPr fontId="12"/>
  </si>
  <si>
    <t>MFDφ4.2×8.2</t>
    <phoneticPr fontId="12"/>
  </si>
  <si>
    <t>②16.950狙い</t>
    <rPh sb="7" eb="8">
      <t>ネラ</t>
    </rPh>
    <phoneticPr fontId="11"/>
  </si>
  <si>
    <r>
      <t>②ﾌﾞﾚｰﾄﾞ</t>
    </r>
    <r>
      <rPr>
        <sz val="9"/>
        <color rgb="FFFF0000"/>
        <rFont val="ＭＳ Ｐゴシック"/>
        <family val="3"/>
        <charset val="128"/>
      </rPr>
      <t>（根本の軸径）　</t>
    </r>
    <r>
      <rPr>
        <sz val="9"/>
        <rFont val="ＭＳ Ｐゴシック"/>
        <family val="3"/>
        <charset val="128"/>
      </rPr>
      <t>　　　　　　㉜㉝㉞</t>
    </r>
    <rPh sb="8" eb="10">
      <t>ネモト</t>
    </rPh>
    <rPh sb="11" eb="13">
      <t>ジクケイ</t>
    </rPh>
    <phoneticPr fontId="11"/>
  </si>
  <si>
    <r>
      <t>㊾</t>
    </r>
    <r>
      <rPr>
        <b/>
        <sz val="9"/>
        <color rgb="FFFF0000"/>
        <rFont val="ＭＳ Ｐゴシック"/>
        <family val="3"/>
        <charset val="128"/>
      </rPr>
      <t>ノギス　下穴15.00狙い　　　　　　　（全長37.0の場合）</t>
    </r>
    <phoneticPr fontId="11"/>
  </si>
  <si>
    <t>⑩ﾋﾟﾝ、⑪ﾋﾟﾝとﾉｷﾞｽ</t>
    <phoneticPr fontId="11"/>
  </si>
  <si>
    <t>㊾ﾏｲｸﾛ</t>
    <phoneticPr fontId="11"/>
  </si>
  <si>
    <r>
      <rPr>
        <sz val="18"/>
        <rFont val="ＭＳ Ｐゴシック"/>
        <family val="3"/>
        <charset val="128"/>
      </rPr>
      <t xml:space="preserve">NN-32YB2XB    </t>
    </r>
    <r>
      <rPr>
        <sz val="18"/>
        <color theme="1"/>
        <rFont val="ＭＳ Ｐゴシック"/>
        <family val="3"/>
        <charset val="128"/>
      </rPr>
      <t>　工具交換時 工程管理図番号チェック表</t>
    </r>
    <rPh sb="15" eb="20">
      <t>コウグコウカンジ</t>
    </rPh>
    <rPh sb="21" eb="26">
      <t>コウテイカンリズ</t>
    </rPh>
    <rPh sb="26" eb="28">
      <t>バンゴウ</t>
    </rPh>
    <rPh sb="32" eb="33">
      <t>ヒョウ</t>
    </rPh>
    <phoneticPr fontId="11"/>
  </si>
  <si>
    <t>溝入れ、ツバ厚8.85</t>
    <rPh sb="0" eb="1">
      <t>ミゾ</t>
    </rPh>
    <rPh sb="1" eb="2">
      <t>イ</t>
    </rPh>
    <rPh sb="6" eb="7">
      <t>アツ</t>
    </rPh>
    <phoneticPr fontId="12"/>
  </si>
  <si>
    <t>突切り L37.25</t>
    <rPh sb="0" eb="1">
      <t>ツ</t>
    </rPh>
    <rPh sb="1" eb="2">
      <t>キ</t>
    </rPh>
    <phoneticPr fontId="12"/>
  </si>
  <si>
    <t>外径荒取りφ18.18、φ23.12</t>
    <rPh sb="0" eb="2">
      <t>ガイケイ</t>
    </rPh>
    <rPh sb="2" eb="3">
      <t>アラ</t>
    </rPh>
    <rPh sb="3" eb="4">
      <t>ド</t>
    </rPh>
    <phoneticPr fontId="12"/>
  </si>
  <si>
    <t>φ3.1穴、深さ30.0</t>
    <rPh sb="4" eb="5">
      <t>アナ</t>
    </rPh>
    <rPh sb="6" eb="7">
      <t>フカ</t>
    </rPh>
    <phoneticPr fontId="12"/>
  </si>
  <si>
    <t>φ11.523下穴、深さ15.0</t>
    <rPh sb="7" eb="8">
      <t>シタ</t>
    </rPh>
    <rPh sb="8" eb="9">
      <t>アナ</t>
    </rPh>
    <rPh sb="10" eb="11">
      <t>フカ</t>
    </rPh>
    <phoneticPr fontId="12"/>
  </si>
  <si>
    <t>φ4.2ザグリ穴、深さ0.95</t>
    <rPh sb="7" eb="8">
      <t>アナ</t>
    </rPh>
    <rPh sb="9" eb="10">
      <t>フカ</t>
    </rPh>
    <phoneticPr fontId="12"/>
  </si>
  <si>
    <t>INJECTOR CUP/20MPa(U2-018IC449-06)消耗工具品名　</t>
    <rPh sb="34" eb="40">
      <t>ショウモウコウグヒンメイ</t>
    </rPh>
    <phoneticPr fontId="12"/>
  </si>
  <si>
    <t>VQ4WBR0065N08E280</t>
    <phoneticPr fontId="12"/>
  </si>
  <si>
    <t>DWAE0620×04S070(DP102A)</t>
    <phoneticPr fontId="12"/>
  </si>
  <si>
    <t>日進工具</t>
    <rPh sb="0" eb="2">
      <t>ニッシン</t>
    </rPh>
    <rPh sb="2" eb="4">
      <t>コウグ</t>
    </rPh>
    <phoneticPr fontId="12"/>
  </si>
  <si>
    <t>MFDφ4.2×8.4</t>
    <phoneticPr fontId="12"/>
  </si>
  <si>
    <t>90LSPC1.5×4×101CBALD</t>
  </si>
  <si>
    <t>T82</t>
  </si>
  <si>
    <t>T83</t>
  </si>
  <si>
    <t>工具交換時 工程管理図番号チェック表（SS327-Ⅲ）</t>
    <rPh sb="0" eb="5">
      <t>コウグコウカンジ</t>
    </rPh>
    <rPh sb="6" eb="11">
      <t>コウテイカンリズ</t>
    </rPh>
    <rPh sb="11" eb="13">
      <t>バンゴウ</t>
    </rPh>
    <rPh sb="17" eb="18">
      <t>ヒョウ</t>
    </rPh>
    <phoneticPr fontId="11"/>
  </si>
  <si>
    <r>
      <t>メーカー再研磨=</t>
    </r>
    <r>
      <rPr>
        <sz val="8"/>
        <color rgb="FF99CCFF"/>
        <rFont val="ＭＳ Ｐゴシック"/>
        <family val="3"/>
        <charset val="128"/>
      </rPr>
      <t>●</t>
    </r>
    <rPh sb="4" eb="7">
      <t>サイケンマ</t>
    </rPh>
    <phoneticPr fontId="11"/>
  </si>
  <si>
    <r>
      <t>新規/</t>
    </r>
    <r>
      <rPr>
        <sz val="12"/>
        <color rgb="FF99CCFF"/>
        <rFont val="ＭＳ Ｐゴシック"/>
        <family val="3"/>
        <charset val="128"/>
      </rPr>
      <t>●</t>
    </r>
    <rPh sb="0" eb="2">
      <t>シンキ</t>
    </rPh>
    <phoneticPr fontId="11"/>
  </si>
  <si>
    <t>L37.25突切り</t>
    <rPh sb="6" eb="7">
      <t>ツ</t>
    </rPh>
    <rPh sb="7" eb="8">
      <t>キ</t>
    </rPh>
    <phoneticPr fontId="12"/>
  </si>
  <si>
    <t>φ18.13円弧仕上げ、円弧先端部ﾊﾞﾘ取り</t>
    <rPh sb="6" eb="8">
      <t>エンコ</t>
    </rPh>
    <rPh sb="8" eb="10">
      <t>シア</t>
    </rPh>
    <rPh sb="12" eb="14">
      <t>エンコ</t>
    </rPh>
    <rPh sb="14" eb="16">
      <t>センタン</t>
    </rPh>
    <rPh sb="16" eb="17">
      <t>ブ</t>
    </rPh>
    <rPh sb="20" eb="21">
      <t>ト</t>
    </rPh>
    <phoneticPr fontId="12"/>
  </si>
  <si>
    <t>φ17.53荒取り</t>
    <rPh sb="6" eb="7">
      <t>アラ</t>
    </rPh>
    <rPh sb="7" eb="8">
      <t>ド</t>
    </rPh>
    <phoneticPr fontId="12"/>
  </si>
  <si>
    <t xml:space="preserve">                               備考欄の（※）印事項は記録不要。問題が有り、対処が分からない場合はリーダーに報告する。</t>
    <phoneticPr fontId="11"/>
  </si>
  <si>
    <t>φ11.4下穴(φ11.523下穴)</t>
    <rPh sb="5" eb="6">
      <t>シタ</t>
    </rPh>
    <rPh sb="6" eb="7">
      <t>アナ</t>
    </rPh>
    <rPh sb="15" eb="16">
      <t>シタ</t>
    </rPh>
    <rPh sb="16" eb="17">
      <t>アナ</t>
    </rPh>
    <phoneticPr fontId="12"/>
  </si>
  <si>
    <t>ツバ厚8.75、φ11.523テーパー部荒取り</t>
    <rPh sb="2" eb="3">
      <t>アツ</t>
    </rPh>
    <rPh sb="19" eb="20">
      <t>ブ</t>
    </rPh>
    <rPh sb="20" eb="21">
      <t>アラ</t>
    </rPh>
    <rPh sb="21" eb="22">
      <t>ド</t>
    </rPh>
    <phoneticPr fontId="12"/>
  </si>
  <si>
    <t>EZH06025.0CT-135</t>
    <phoneticPr fontId="12"/>
  </si>
  <si>
    <r>
      <t>①②④</t>
    </r>
    <r>
      <rPr>
        <sz val="9"/>
        <rFont val="ＭＳ Ｐゴシック"/>
        <family val="3"/>
        <charset val="128"/>
      </rPr>
      <t>マイクロ</t>
    </r>
    <r>
      <rPr>
        <sz val="12"/>
        <rFont val="ＭＳ Ｐゴシック"/>
        <family val="3"/>
        <charset val="128"/>
      </rPr>
      <t>、③</t>
    </r>
    <r>
      <rPr>
        <sz val="9"/>
        <rFont val="ＭＳ Ｐゴシック"/>
        <family val="3"/>
        <charset val="128"/>
      </rPr>
      <t>ノギス　　</t>
    </r>
    <r>
      <rPr>
        <sz val="12"/>
        <rFont val="ＭＳ Ｐゴシック"/>
        <family val="3"/>
        <charset val="128"/>
      </rPr>
      <t>㉛</t>
    </r>
    <r>
      <rPr>
        <sz val="9"/>
        <rFont val="ＭＳ Ｐゴシック"/>
        <family val="3"/>
        <charset val="128"/>
      </rPr>
      <t>三次元</t>
    </r>
    <rPh sb="15" eb="18">
      <t>サンジゲン</t>
    </rPh>
    <phoneticPr fontId="11"/>
  </si>
  <si>
    <t>T81</t>
  </si>
  <si>
    <r>
      <t>メーカー再研磨=</t>
    </r>
    <r>
      <rPr>
        <sz val="8"/>
        <color rgb="FF00B0F0"/>
        <rFont val="ＭＳ Ｐゴシック"/>
        <family val="3"/>
        <charset val="128"/>
      </rPr>
      <t>●</t>
    </r>
    <rPh sb="4" eb="5">
      <t>サイ</t>
    </rPh>
    <rPh sb="5" eb="7">
      <t>ケンマ</t>
    </rPh>
    <phoneticPr fontId="11"/>
  </si>
  <si>
    <r>
      <t>新規/</t>
    </r>
    <r>
      <rPr>
        <sz val="12"/>
        <color rgb="FF00B0F0"/>
        <rFont val="ＭＳ Ｐゴシック"/>
        <family val="3"/>
        <charset val="128"/>
      </rPr>
      <t>●</t>
    </r>
    <rPh sb="0" eb="2">
      <t>シンキ</t>
    </rPh>
    <phoneticPr fontId="11"/>
  </si>
  <si>
    <t>外注再研磨=●</t>
    <rPh sb="0" eb="2">
      <t>ガイチュウ</t>
    </rPh>
    <rPh sb="2" eb="3">
      <t>サイ</t>
    </rPh>
    <rPh sb="3" eb="5">
      <t>ケンマ</t>
    </rPh>
    <phoneticPr fontId="11"/>
  </si>
  <si>
    <t>VFSFPRD1200</t>
    <phoneticPr fontId="12"/>
  </si>
  <si>
    <t>工具交換時 工程管理図番号チェック表（SS327）</t>
    <rPh sb="0" eb="5">
      <t>コウグコウカンジ</t>
    </rPh>
    <rPh sb="6" eb="11">
      <t>コウテイカンリズ</t>
    </rPh>
    <rPh sb="11" eb="13">
      <t>バンゴウ</t>
    </rPh>
    <rPh sb="17" eb="18">
      <t>ヒョウ</t>
    </rPh>
    <phoneticPr fontId="11"/>
  </si>
  <si>
    <t>※全長37.00の場合</t>
    <rPh sb="1" eb="3">
      <t>ゼンチョウ</t>
    </rPh>
    <rPh sb="9" eb="11">
      <t>バアイ</t>
    </rPh>
    <phoneticPr fontId="11"/>
  </si>
  <si>
    <t>φ4.7×2L  3NT(φ6シャンクC面刃付)</t>
    <rPh sb="20" eb="21">
      <t>メン</t>
    </rPh>
    <rPh sb="21" eb="22">
      <t>ハ</t>
    </rPh>
    <rPh sb="22" eb="23">
      <t>ツキ</t>
    </rPh>
    <phoneticPr fontId="11"/>
  </si>
  <si>
    <t>カットして確認。問題ない場合、㊼にOKと　　　記録する。カットサンプルは黄箱に保管。</t>
    <rPh sb="5" eb="7">
      <t>カクニン</t>
    </rPh>
    <rPh sb="8" eb="10">
      <t>モンダイ</t>
    </rPh>
    <rPh sb="12" eb="14">
      <t>バアイ</t>
    </rPh>
    <rPh sb="23" eb="25">
      <t>キロク</t>
    </rPh>
    <rPh sb="36" eb="37">
      <t>キ</t>
    </rPh>
    <rPh sb="37" eb="38">
      <t>バコ</t>
    </rPh>
    <rPh sb="39" eb="41">
      <t>ホカン</t>
    </rPh>
    <phoneticPr fontId="11"/>
  </si>
  <si>
    <r>
      <t>㊼</t>
    </r>
    <r>
      <rPr>
        <sz val="9"/>
        <color rgb="FFFF0000"/>
        <rFont val="ＭＳ Ｐゴシック"/>
        <family val="3"/>
        <charset val="128"/>
      </rPr>
      <t>マイクロスコープ</t>
    </r>
    <r>
      <rPr>
        <sz val="12"/>
        <color rgb="FFFF0000"/>
        <rFont val="ＭＳ Ｐゴシック"/>
        <family val="3"/>
        <charset val="128"/>
      </rPr>
      <t>　</t>
    </r>
    <r>
      <rPr>
        <sz val="9"/>
        <color rgb="FFFF0000"/>
        <rFont val="ＭＳ Ｐゴシック"/>
        <family val="3"/>
        <charset val="128"/>
      </rPr>
      <t>参照→</t>
    </r>
    <rPh sb="10" eb="12">
      <t>サンショウ</t>
    </rPh>
    <phoneticPr fontId="11"/>
  </si>
  <si>
    <r>
      <t>㊼</t>
    </r>
    <r>
      <rPr>
        <b/>
        <sz val="9"/>
        <color rgb="FFFF0000"/>
        <rFont val="ＭＳ Ｐゴシック"/>
        <family val="3"/>
        <charset val="128"/>
      </rPr>
      <t>マイクロスコープ</t>
    </r>
    <r>
      <rPr>
        <b/>
        <sz val="12"/>
        <color rgb="FFFF0000"/>
        <rFont val="ＭＳ Ｐゴシック"/>
        <family val="3"/>
        <charset val="128"/>
      </rPr>
      <t>　</t>
    </r>
    <r>
      <rPr>
        <b/>
        <sz val="9"/>
        <color rgb="FFFF0000"/>
        <rFont val="ＭＳ Ｐゴシック"/>
        <family val="3"/>
        <charset val="128"/>
      </rPr>
      <t>参照→</t>
    </r>
    <rPh sb="10" eb="12">
      <t>サンショウ</t>
    </rPh>
    <phoneticPr fontId="11"/>
  </si>
  <si>
    <r>
      <t>メーカー再研磨=</t>
    </r>
    <r>
      <rPr>
        <sz val="8"/>
        <color rgb="FF99CCFF"/>
        <rFont val="ＭＳ Ｐゴシック"/>
        <family val="3"/>
        <charset val="128"/>
      </rPr>
      <t>●</t>
    </r>
    <rPh sb="4" eb="5">
      <t>サイ</t>
    </rPh>
    <rPh sb="5" eb="7">
      <t>ケンマ</t>
    </rPh>
    <phoneticPr fontId="11"/>
  </si>
  <si>
    <t>20200/2000</t>
    <phoneticPr fontId="11"/>
  </si>
  <si>
    <t>〇</t>
    <phoneticPr fontId="11"/>
  </si>
  <si>
    <t>φ4.7×2L   3NT(φ6シャンクC面刃付)</t>
    <rPh sb="21" eb="22">
      <t>メン</t>
    </rPh>
    <rPh sb="22" eb="23">
      <t>ハ</t>
    </rPh>
    <rPh sb="23" eb="24">
      <t>ツキ</t>
    </rPh>
    <phoneticPr fontId="11"/>
  </si>
  <si>
    <t>㉝問題ない場合OKと記録</t>
    <rPh sb="1" eb="3">
      <t>モンダイ</t>
    </rPh>
    <rPh sb="5" eb="7">
      <t>バアイ</t>
    </rPh>
    <rPh sb="10" eb="12">
      <t>キロク</t>
    </rPh>
    <phoneticPr fontId="11"/>
  </si>
  <si>
    <t>ツガミ（SS327-Ⅲ）　工具交換時 工程管理図番号チェック表</t>
    <rPh sb="13" eb="18">
      <t>コウグコウカンジ</t>
    </rPh>
    <rPh sb="19" eb="24">
      <t>コウテイカンリズ</t>
    </rPh>
    <rPh sb="24" eb="26">
      <t>バンゴウ</t>
    </rPh>
    <rPh sb="30" eb="31">
      <t>ヒョウ</t>
    </rPh>
    <phoneticPr fontId="11"/>
  </si>
  <si>
    <t>EZVBR055050-010(PR1225)</t>
    <phoneticPr fontId="12"/>
  </si>
  <si>
    <t>TM4MBL040FR-08</t>
    <phoneticPr fontId="11"/>
  </si>
  <si>
    <t>GNDML1616JX-212J</t>
    <phoneticPr fontId="11"/>
  </si>
  <si>
    <t>ツバ裏C0.7</t>
    <rPh sb="2" eb="3">
      <t>ウラ</t>
    </rPh>
    <phoneticPr fontId="12"/>
  </si>
  <si>
    <t>φ4.7×2+6×60×6　TXW15883</t>
    <phoneticPr fontId="11"/>
  </si>
  <si>
    <t>NC76 （BO326-Ⅲ）工具交換時 工程管理図番号チェック表</t>
    <rPh sb="14" eb="19">
      <t>コウグコウカンジ</t>
    </rPh>
    <rPh sb="20" eb="25">
      <t>コウテイカンリズ</t>
    </rPh>
    <rPh sb="25" eb="27">
      <t>バンゴウ</t>
    </rPh>
    <rPh sb="31" eb="32">
      <t>ヒョウ</t>
    </rPh>
    <phoneticPr fontId="11"/>
  </si>
  <si>
    <t>GZM2020N-020PM (PR2035)</t>
    <phoneticPr fontId="12"/>
  </si>
  <si>
    <t>KGZR1212JX-2JCTM</t>
    <phoneticPr fontId="12"/>
  </si>
  <si>
    <t>φ4.7×2+6×60×6　　TXW15883</t>
    <phoneticPr fontId="11"/>
  </si>
  <si>
    <t>※刻印（-3と0）の表示でOKとする</t>
    <rPh sb="1" eb="3">
      <t>コクイン</t>
    </rPh>
    <rPh sb="10" eb="12">
      <t>ヒョウジ</t>
    </rPh>
    <phoneticPr fontId="11"/>
  </si>
  <si>
    <t>VQ4WBR0090N06E280</t>
    <phoneticPr fontId="12"/>
  </si>
  <si>
    <t>NC50（SS327）  工具交換時 工程管理図番号チェック表</t>
    <rPh sb="13" eb="18">
      <t>コウグコウカンジ</t>
    </rPh>
    <rPh sb="19" eb="24">
      <t>コウテイカンリズ</t>
    </rPh>
    <rPh sb="24" eb="26">
      <t>バンゴウ</t>
    </rPh>
    <rPh sb="30" eb="31">
      <t>ヒョウ</t>
    </rPh>
    <phoneticPr fontId="11"/>
  </si>
  <si>
    <t xml:space="preserve">NC79 (NN-16SB7)工具交換時 工程管理図番号チェック表 </t>
    <rPh sb="15" eb="19">
      <t>コウグコウカン</t>
    </rPh>
    <rPh sb="19" eb="20">
      <t>ジ</t>
    </rPh>
    <rPh sb="21" eb="26">
      <t>コウテイカンリズ</t>
    </rPh>
    <rPh sb="26" eb="28">
      <t>バンゴウ</t>
    </rPh>
    <rPh sb="32" eb="33">
      <t>ヒョウ</t>
    </rPh>
    <phoneticPr fontId="11"/>
  </si>
  <si>
    <t>スパロール</t>
    <phoneticPr fontId="11"/>
  </si>
  <si>
    <t>F.P.TOOL</t>
    <phoneticPr fontId="12"/>
  </si>
  <si>
    <t>イハラ</t>
    <phoneticPr fontId="12"/>
  </si>
  <si>
    <t>GDM2020N-020PM  (PR1535)</t>
    <phoneticPr fontId="11"/>
  </si>
  <si>
    <t>KGDL1212JX-2</t>
    <phoneticPr fontId="11"/>
  </si>
  <si>
    <t>ADJCR1212JX-11FF</t>
    <phoneticPr fontId="11"/>
  </si>
  <si>
    <t>TCL27-250-020 (AH725)</t>
    <phoneticPr fontId="11"/>
  </si>
  <si>
    <t>STCR1212-27-CHP</t>
    <phoneticPr fontId="11"/>
  </si>
  <si>
    <t>SVJBL1212JX-11FF</t>
    <phoneticPr fontId="11"/>
  </si>
  <si>
    <t>KDA0430X05S060N</t>
    <phoneticPr fontId="11"/>
  </si>
  <si>
    <t>FD8-R0.8A(VTF4用）</t>
    <rPh sb="14" eb="15">
      <t>ヨウ</t>
    </rPh>
    <phoneticPr fontId="11"/>
  </si>
  <si>
    <t>VPGT110302MP-CF (PR1535)</t>
    <phoneticPr fontId="11"/>
  </si>
  <si>
    <t>DS-SVVPN22-11</t>
    <phoneticPr fontId="11"/>
  </si>
  <si>
    <t>CG4.370</t>
    <phoneticPr fontId="11"/>
  </si>
  <si>
    <t>SP-MC2080CST</t>
    <phoneticPr fontId="11"/>
  </si>
  <si>
    <t>①②③④⑤⑦</t>
    <phoneticPr fontId="11"/>
  </si>
  <si>
    <t>※粗の目が出てない事を確認</t>
    <rPh sb="1" eb="2">
      <t>アラ</t>
    </rPh>
    <rPh sb="3" eb="4">
      <t>メ</t>
    </rPh>
    <rPh sb="5" eb="6">
      <t>デ</t>
    </rPh>
    <rPh sb="9" eb="10">
      <t>コト</t>
    </rPh>
    <rPh sb="11" eb="13">
      <t>カクニン</t>
    </rPh>
    <phoneticPr fontId="11"/>
  </si>
  <si>
    <t>⑥⑨</t>
    <phoneticPr fontId="11"/>
  </si>
  <si>
    <t>⑪⑬⑯㉘</t>
    <phoneticPr fontId="11"/>
  </si>
  <si>
    <t>刃先R注意、　R0.2</t>
    <rPh sb="0" eb="2">
      <t>ハサキ</t>
    </rPh>
    <rPh sb="3" eb="5">
      <t>チュウイ</t>
    </rPh>
    <phoneticPr fontId="11"/>
  </si>
  <si>
    <t>刃幅2..0㎜</t>
    <rPh sb="0" eb="1">
      <t>ハ</t>
    </rPh>
    <rPh sb="1" eb="2">
      <t>ハバ</t>
    </rPh>
    <phoneticPr fontId="11"/>
  </si>
  <si>
    <t>センター穴、穴面C0.1以下</t>
    <rPh sb="4" eb="5">
      <t>アナ</t>
    </rPh>
    <rPh sb="6" eb="8">
      <t>アナメン</t>
    </rPh>
    <rPh sb="12" eb="14">
      <t>イカ</t>
    </rPh>
    <phoneticPr fontId="11"/>
  </si>
  <si>
    <t>φ4.37下穴</t>
    <rPh sb="5" eb="7">
      <t>シタアナ</t>
    </rPh>
    <phoneticPr fontId="11"/>
  </si>
  <si>
    <t>ビート部　R0.8鏡面仕上げ</t>
    <rPh sb="3" eb="4">
      <t>ブ</t>
    </rPh>
    <rPh sb="9" eb="11">
      <t>キョウメン</t>
    </rPh>
    <rPh sb="11" eb="13">
      <t>シア</t>
    </rPh>
    <phoneticPr fontId="11"/>
  </si>
  <si>
    <t>全長15.2、ビート部形状仕上げ</t>
    <rPh sb="0" eb="2">
      <t>ゼンチョウ</t>
    </rPh>
    <rPh sb="10" eb="11">
      <t>ブ</t>
    </rPh>
    <rPh sb="11" eb="15">
      <t>ケイジョウシア</t>
    </rPh>
    <phoneticPr fontId="11"/>
  </si>
  <si>
    <t>φ4.3穴仕上げ</t>
    <rPh sb="4" eb="5">
      <t>アナ</t>
    </rPh>
    <rPh sb="5" eb="7">
      <t>シア</t>
    </rPh>
    <phoneticPr fontId="11"/>
  </si>
  <si>
    <t>KGDR1625JX-3JCTM</t>
    <phoneticPr fontId="12"/>
  </si>
  <si>
    <t>※マイクロ　備考参照→</t>
    <rPh sb="6" eb="8">
      <t>ビコウ</t>
    </rPh>
    <rPh sb="8" eb="10">
      <t>サンショウ</t>
    </rPh>
    <phoneticPr fontId="11"/>
  </si>
  <si>
    <t>※目視（キー溝正面側面の大きさ）</t>
    <rPh sb="1" eb="3">
      <t>モクシ</t>
    </rPh>
    <rPh sb="12" eb="13">
      <t>オオ</t>
    </rPh>
    <phoneticPr fontId="11"/>
  </si>
  <si>
    <t>④マイクロ ⑨エアーマイクロ
㉟㊱㊲㊳備考参照→</t>
    <phoneticPr fontId="11"/>
  </si>
  <si>
    <t>㉜㊸三次元 ㊴備考参照→</t>
    <rPh sb="2" eb="5">
      <t>サンジゲン</t>
    </rPh>
    <rPh sb="7" eb="9">
      <t>ビコウ</t>
    </rPh>
    <rPh sb="9" eb="11">
      <t>サンショウ</t>
    </rPh>
    <phoneticPr fontId="11"/>
  </si>
  <si>
    <t>※粗の目が出ていないか確認</t>
    <rPh sb="1" eb="2">
      <t>アラ</t>
    </rPh>
    <rPh sb="3" eb="4">
      <t>メ</t>
    </rPh>
    <rPh sb="5" eb="6">
      <t>デ</t>
    </rPh>
    <rPh sb="11" eb="13">
      <t>カクニン</t>
    </rPh>
    <phoneticPr fontId="11"/>
  </si>
  <si>
    <t>①②④マイクロ ③ノギス
㉜三次元</t>
    <rPh sb="14" eb="17">
      <t>サンジゲン</t>
    </rPh>
    <phoneticPr fontId="11"/>
  </si>
  <si>
    <t>※φ2入口の面、ザグリ淵の面は適切か確認</t>
    <rPh sb="3" eb="5">
      <t>イリクチ</t>
    </rPh>
    <rPh sb="6" eb="7">
      <t>メン</t>
    </rPh>
    <rPh sb="11" eb="12">
      <t>フチ</t>
    </rPh>
    <rPh sb="13" eb="14">
      <t>メン</t>
    </rPh>
    <rPh sb="15" eb="17">
      <t>テキセツ</t>
    </rPh>
    <rPh sb="18" eb="20">
      <t>カクニン</t>
    </rPh>
    <phoneticPr fontId="11"/>
  </si>
  <si>
    <t>⑫ピン ⑬専用台とリニア</t>
    <rPh sb="5" eb="7">
      <t>センヨウ</t>
    </rPh>
    <rPh sb="7" eb="8">
      <t>ダイ</t>
    </rPh>
    <phoneticPr fontId="11"/>
  </si>
  <si>
    <t>⑪ピン</t>
    <phoneticPr fontId="11"/>
  </si>
  <si>
    <t>⑤ピン ⑥リニア ㊹三次元</t>
    <rPh sb="10" eb="13">
      <t>サンジゲン</t>
    </rPh>
    <phoneticPr fontId="11"/>
  </si>
  <si>
    <t>㊼目視（刻印の確認。記録はOKとする）</t>
    <rPh sb="1" eb="3">
      <t>モクシ</t>
    </rPh>
    <rPh sb="4" eb="6">
      <t>コクイン</t>
    </rPh>
    <rPh sb="7" eb="9">
      <t>カクニン</t>
    </rPh>
    <rPh sb="10" eb="12">
      <t>キロク</t>
    </rPh>
    <phoneticPr fontId="11"/>
  </si>
  <si>
    <t>㊼リニア 下穴17.90狙い
（全長39.7の場合）</t>
    <phoneticPr fontId="11"/>
  </si>
  <si>
    <t>㊽リニア 下穴19.40狙い
（全長39.70の場合）</t>
    <rPh sb="5" eb="7">
      <t>シタアナ</t>
    </rPh>
    <rPh sb="12" eb="13">
      <t>ネラシタアナネラナイケイネラ</t>
    </rPh>
    <phoneticPr fontId="11"/>
  </si>
  <si>
    <r>
      <t>②ブレード</t>
    </r>
    <r>
      <rPr>
        <sz val="11"/>
        <color rgb="FFFF0000"/>
        <rFont val="ＭＳ Ｐゴシック"/>
        <family val="3"/>
        <charset val="128"/>
      </rPr>
      <t>（根元の軸径）</t>
    </r>
    <r>
      <rPr>
        <sz val="11"/>
        <rFont val="ＭＳ Ｐゴシック"/>
        <family val="3"/>
        <charset val="128"/>
      </rPr>
      <t>㊵形状</t>
    </r>
    <rPh sb="6" eb="8">
      <t>ネモト</t>
    </rPh>
    <rPh sb="9" eb="10">
      <t>ジク</t>
    </rPh>
    <rPh sb="10" eb="11">
      <t>ケイ</t>
    </rPh>
    <rPh sb="13" eb="15">
      <t>ケイジョウ</t>
    </rPh>
    <phoneticPr fontId="11"/>
  </si>
  <si>
    <r>
      <t>⑦ノギス ⑩ピン(</t>
    </r>
    <r>
      <rPr>
        <b/>
        <sz val="11"/>
        <color rgb="FFFF0000"/>
        <rFont val="ＭＳ Ｐゴシック"/>
        <family val="3"/>
        <charset val="128"/>
      </rPr>
      <t>6.2±0.02を使用)</t>
    </r>
    <rPh sb="18" eb="20">
      <t>シヨウ</t>
    </rPh>
    <phoneticPr fontId="11"/>
  </si>
  <si>
    <t>㊾マイクロ　この刃工具加工で止めた製品のツバ厚寸法確認を行う。
（8.75±0.01）</t>
    <rPh sb="17" eb="19">
      <t>セイヒン</t>
    </rPh>
    <phoneticPr fontId="11"/>
  </si>
  <si>
    <t>㊾マイクロ  この刃工具加工で止めた製品のツバ厚寸法確認を行う。
（8.75±0.01）</t>
    <rPh sb="18" eb="20">
      <t>セイヒン</t>
    </rPh>
    <phoneticPr fontId="11"/>
  </si>
  <si>
    <t>⑪⑫⑬⑭⑮
㉗㉚（ビビり無き事、粗さ問題無き事）</t>
    <rPh sb="12" eb="13">
      <t>ナ</t>
    </rPh>
    <rPh sb="14" eb="15">
      <t>コト</t>
    </rPh>
    <rPh sb="16" eb="17">
      <t>アラ</t>
    </rPh>
    <rPh sb="18" eb="21">
      <t>モンダイナ</t>
    </rPh>
    <rPh sb="22" eb="23">
      <t>コト</t>
    </rPh>
    <phoneticPr fontId="11"/>
  </si>
  <si>
    <r>
      <t xml:space="preserve">⑩
</t>
    </r>
    <r>
      <rPr>
        <sz val="10"/>
        <color theme="1"/>
        <rFont val="ＭＳ Ｐゴシック"/>
        <family val="3"/>
        <charset val="128"/>
      </rPr>
      <t>（注意、ピンゲージφ4.35-φ4.4を使用する事）</t>
    </r>
    <rPh sb="3" eb="5">
      <t>チュウイ</t>
    </rPh>
    <rPh sb="22" eb="24">
      <t>シヨウ</t>
    </rPh>
    <rPh sb="26" eb="27">
      <t>コト</t>
    </rPh>
    <phoneticPr fontId="11"/>
  </si>
  <si>
    <t>外径仕上げ
（φ6.375、φ8.8、φ12.675）</t>
    <rPh sb="0" eb="4">
      <t>ガイケイシア</t>
    </rPh>
    <phoneticPr fontId="11"/>
  </si>
  <si>
    <t>外径荒
（φ6.475、φ8.9、φ11.45）</t>
    <rPh sb="0" eb="2">
      <t>ガイケイ</t>
    </rPh>
    <rPh sb="2" eb="3">
      <t>アラ</t>
    </rPh>
    <phoneticPr fontId="11"/>
  </si>
  <si>
    <t>外径仕上げ
（φ11.35）</t>
    <rPh sb="0" eb="4">
      <t>ガイケイシア</t>
    </rPh>
    <phoneticPr fontId="11"/>
  </si>
  <si>
    <t>㊶ノギス　下穴11.90狙い（完成品全長19.60の場合）</t>
    <rPh sb="15" eb="18">
      <t>カンセイヒン</t>
    </rPh>
    <phoneticPr fontId="11"/>
  </si>
  <si>
    <r>
      <t>⑥ピン(</t>
    </r>
    <r>
      <rPr>
        <sz val="12"/>
        <color rgb="FFFF0000"/>
        <rFont val="ＭＳ Ｐゴシック"/>
        <family val="3"/>
        <charset val="128"/>
      </rPr>
      <t>注意、狙い値用を使用</t>
    </r>
    <r>
      <rPr>
        <sz val="12"/>
        <color theme="1"/>
        <rFont val="ＭＳ Ｐゴシック"/>
        <family val="3"/>
        <charset val="128"/>
      </rPr>
      <t>）　　　　　　　　　　　　　　   　    　 ※全長ノギス（</t>
    </r>
    <r>
      <rPr>
        <sz val="12"/>
        <color rgb="FFFF0000"/>
        <rFont val="ＭＳ Ｐゴシック"/>
        <family val="3"/>
        <charset val="128"/>
      </rPr>
      <t>19.60±0.02</t>
    </r>
    <r>
      <rPr>
        <sz val="12"/>
        <color theme="1"/>
        <rFont val="ＭＳ Ｐゴシック"/>
        <family val="3"/>
        <charset val="128"/>
      </rPr>
      <t>）</t>
    </r>
    <rPh sb="4" eb="6">
      <t>チュウイ</t>
    </rPh>
    <rPh sb="7" eb="8">
      <t>ネラ</t>
    </rPh>
    <rPh sb="9" eb="11">
      <t>チヨウ</t>
    </rPh>
    <rPh sb="12" eb="14">
      <t>シヨウ</t>
    </rPh>
    <rPh sb="40" eb="42">
      <t>ゼンチョウ</t>
    </rPh>
    <phoneticPr fontId="11"/>
  </si>
  <si>
    <r>
      <t>④マイクロ
※ツバ厚ノギス（</t>
    </r>
    <r>
      <rPr>
        <sz val="12"/>
        <color rgb="FFFF0000"/>
        <rFont val="ＭＳ Ｐゴシック"/>
        <family val="3"/>
        <charset val="128"/>
      </rPr>
      <t>6.0±0.02</t>
    </r>
    <r>
      <rPr>
        <sz val="12"/>
        <color theme="1"/>
        <rFont val="ＭＳ Ｐゴシック"/>
        <family val="3"/>
        <charset val="128"/>
      </rPr>
      <t>）</t>
    </r>
    <rPh sb="9" eb="10">
      <t>アツ</t>
    </rPh>
    <phoneticPr fontId="11"/>
  </si>
  <si>
    <t>⑧ブレード、⑩オフセットノギス</t>
    <phoneticPr fontId="11"/>
  </si>
  <si>
    <t>※目視（前の加工品と見比べ、同等程度である事）</t>
    <rPh sb="4" eb="5">
      <t>マエ</t>
    </rPh>
    <rPh sb="6" eb="9">
      <t>カコウヒン</t>
    </rPh>
    <rPh sb="10" eb="12">
      <t>ミクラ</t>
    </rPh>
    <rPh sb="14" eb="16">
      <t>ドウトウ</t>
    </rPh>
    <rPh sb="16" eb="18">
      <t>テイド</t>
    </rPh>
    <rPh sb="21" eb="22">
      <t>コト</t>
    </rPh>
    <phoneticPr fontId="11"/>
  </si>
  <si>
    <t>※目視（完成品テーパー部にドリルの切削目無き事）</t>
    <rPh sb="4" eb="7">
      <t>カンセイヒン</t>
    </rPh>
    <rPh sb="11" eb="12">
      <t>ブ</t>
    </rPh>
    <rPh sb="17" eb="20">
      <t>セッサクメ</t>
    </rPh>
    <rPh sb="20" eb="21">
      <t>ナ</t>
    </rPh>
    <rPh sb="22" eb="23">
      <t>コト</t>
    </rPh>
    <phoneticPr fontId="11"/>
  </si>
  <si>
    <t>⑥ピン</t>
    <phoneticPr fontId="11"/>
  </si>
  <si>
    <r>
      <t xml:space="preserve">⑭ノギス、⑮マイクロ
 </t>
    </r>
    <r>
      <rPr>
        <sz val="12"/>
        <rFont val="ＭＳ Ｐゴシック"/>
        <family val="3"/>
        <charset val="128"/>
      </rPr>
      <t>※全長ノギス</t>
    </r>
    <r>
      <rPr>
        <sz val="12"/>
        <color rgb="FFFF0000"/>
        <rFont val="ＭＳ Ｐゴシック"/>
        <family val="3"/>
        <charset val="128"/>
      </rPr>
      <t>（19.60±0.02）</t>
    </r>
    <rPh sb="13" eb="15">
      <t>ゼンチョウ</t>
    </rPh>
    <phoneticPr fontId="11"/>
  </si>
  <si>
    <r>
      <t>⑰ピン（注意、</t>
    </r>
    <r>
      <rPr>
        <sz val="12"/>
        <color rgb="FFFF0000"/>
        <rFont val="ＭＳ Ｐゴシック"/>
        <family val="3"/>
        <charset val="128"/>
      </rPr>
      <t>狙い値用を使用する事</t>
    </r>
    <r>
      <rPr>
        <sz val="12"/>
        <color theme="1"/>
        <rFont val="ＭＳ Ｐゴシック"/>
        <family val="3"/>
        <charset val="128"/>
      </rPr>
      <t>）
⑱</t>
    </r>
    <r>
      <rPr>
        <sz val="12"/>
        <rFont val="ＭＳ Ｐゴシック"/>
        <family val="3"/>
        <charset val="128"/>
      </rPr>
      <t>形状測定</t>
    </r>
    <rPh sb="4" eb="6">
      <t>チュウイ</t>
    </rPh>
    <rPh sb="7" eb="8">
      <t>ネラ</t>
    </rPh>
    <rPh sb="9" eb="10">
      <t>チ</t>
    </rPh>
    <rPh sb="10" eb="11">
      <t>ヨウ</t>
    </rPh>
    <rPh sb="12" eb="14">
      <t>シヨウ</t>
    </rPh>
    <rPh sb="16" eb="17">
      <t>コト</t>
    </rPh>
    <rPh sb="20" eb="22">
      <t>ケイジョウ</t>
    </rPh>
    <rPh sb="22" eb="24">
      <t>ソクテイ</t>
    </rPh>
    <phoneticPr fontId="11"/>
  </si>
  <si>
    <r>
      <t>㉒ネジゲージ（注意、通りは</t>
    </r>
    <r>
      <rPr>
        <sz val="9"/>
        <color rgb="FFFF0000"/>
        <rFont val="ＭＳ Ｐゴシック"/>
        <family val="3"/>
        <charset val="128"/>
      </rPr>
      <t>+0.05オーバーサイズを使用</t>
    </r>
    <r>
      <rPr>
        <sz val="9"/>
        <color theme="1"/>
        <rFont val="ＭＳ Ｐゴシック"/>
        <family val="3"/>
        <charset val="128"/>
      </rPr>
      <t xml:space="preserve">）
㉓ネジゲージ(M12×1.0-6H(GP/NP))+ノギス </t>
    </r>
    <rPh sb="7" eb="9">
      <t>チュウイ</t>
    </rPh>
    <rPh sb="10" eb="11">
      <t>トオ</t>
    </rPh>
    <rPh sb="26" eb="28">
      <t>シヨウ</t>
    </rPh>
    <phoneticPr fontId="11"/>
  </si>
  <si>
    <r>
      <t>⑳形状測定（割らずに測定可。仮想交点で12±0.02）
㊳㊴目視（ビビり無き事。粗さ問題なき事）
※ピン（注意、ネジ内径、</t>
    </r>
    <r>
      <rPr>
        <sz val="10"/>
        <color rgb="FFFF0000"/>
        <rFont val="ＭＳ Ｐゴシック"/>
        <family val="3"/>
        <charset val="128"/>
      </rPr>
      <t>狙い値用を使用する事</t>
    </r>
    <r>
      <rPr>
        <sz val="10"/>
        <rFont val="ＭＳ Ｐゴシック"/>
        <family val="3"/>
        <charset val="128"/>
      </rPr>
      <t>）</t>
    </r>
    <rPh sb="1" eb="5">
      <t>ケイジョウソクテイ</t>
    </rPh>
    <rPh sb="6" eb="7">
      <t>ワ</t>
    </rPh>
    <rPh sb="10" eb="12">
      <t>ソクテイ</t>
    </rPh>
    <rPh sb="12" eb="13">
      <t>カ</t>
    </rPh>
    <rPh sb="30" eb="32">
      <t>モクシ</t>
    </rPh>
    <rPh sb="58" eb="60">
      <t>ナイケイ</t>
    </rPh>
    <rPh sb="61" eb="62">
      <t>ネラ</t>
    </rPh>
    <phoneticPr fontId="11"/>
  </si>
  <si>
    <r>
      <t>㉒ネジゲージ(注意、通りは</t>
    </r>
    <r>
      <rPr>
        <sz val="9"/>
        <color rgb="FFFF0000"/>
        <rFont val="ＭＳ Ｐゴシック"/>
        <family val="3"/>
        <charset val="128"/>
      </rPr>
      <t>+0.05オーバーサイズを使用</t>
    </r>
    <r>
      <rPr>
        <sz val="9"/>
        <color theme="1"/>
        <rFont val="ＭＳ Ｐゴシック"/>
        <family val="3"/>
        <charset val="128"/>
      </rPr>
      <t xml:space="preserve">）
㉓ネジゲージ(M12×1.0-6H(GP/NP))+ノギス </t>
    </r>
    <rPh sb="7" eb="9">
      <t>チュウイ</t>
    </rPh>
    <rPh sb="10" eb="11">
      <t>トオ</t>
    </rPh>
    <rPh sb="26" eb="28">
      <t>シヨウ</t>
    </rPh>
    <phoneticPr fontId="11"/>
  </si>
  <si>
    <t>※GNDLL1616JX-216J
→GNDML1616JX-212Jに変更</t>
    <rPh sb="36" eb="38">
      <t>ヘンコウ</t>
    </rPh>
    <phoneticPr fontId="11"/>
  </si>
  <si>
    <t>㊶目視　別紙参照。確認し、問題ない場合、OKと記録する。</t>
    <rPh sb="1" eb="3">
      <t>モクシ</t>
    </rPh>
    <rPh sb="4" eb="8">
      <t>ベッシサンショウ</t>
    </rPh>
    <rPh sb="9" eb="11">
      <t>カクニン</t>
    </rPh>
    <rPh sb="13" eb="15">
      <t>モンダイ</t>
    </rPh>
    <rPh sb="17" eb="19">
      <t>バアイ</t>
    </rPh>
    <rPh sb="23" eb="25">
      <t>キロク</t>
    </rPh>
    <phoneticPr fontId="11"/>
  </si>
  <si>
    <t>㊶ﾘﾆｱ　下穴11.90狙い（完成品全長19.60の場合）</t>
    <rPh sb="15" eb="18">
      <t>カンセイヒン</t>
    </rPh>
    <phoneticPr fontId="11"/>
  </si>
  <si>
    <r>
      <t>⑳形状測定（割らずに測定可。仮想交点で12±0.02）
㊳㊴目視（ビビり無き事。粗さ問題なき事）
※ピン（注意、ネジ内径、</t>
    </r>
    <r>
      <rPr>
        <sz val="11"/>
        <color rgb="FFFF0000"/>
        <rFont val="ＭＳ Ｐゴシック"/>
        <family val="3"/>
        <charset val="128"/>
      </rPr>
      <t>狙い値用を使用する事</t>
    </r>
    <r>
      <rPr>
        <sz val="11"/>
        <rFont val="ＭＳ Ｐゴシック"/>
        <family val="3"/>
        <charset val="128"/>
      </rPr>
      <t>）</t>
    </r>
    <rPh sb="1" eb="5">
      <t>ケイジョウソクテイ</t>
    </rPh>
    <rPh sb="6" eb="7">
      <t>ワ</t>
    </rPh>
    <rPh sb="10" eb="12">
      <t>ソクテイ</t>
    </rPh>
    <rPh sb="12" eb="13">
      <t>カ</t>
    </rPh>
    <rPh sb="30" eb="32">
      <t>モクシ</t>
    </rPh>
    <rPh sb="58" eb="60">
      <t>ナイケイ</t>
    </rPh>
    <rPh sb="61" eb="62">
      <t>ネラ</t>
    </rPh>
    <phoneticPr fontId="11"/>
  </si>
  <si>
    <r>
      <t>⑥ピン(</t>
    </r>
    <r>
      <rPr>
        <sz val="12"/>
        <color rgb="FFFF0000"/>
        <rFont val="ＭＳ Ｐゴシック"/>
        <family val="3"/>
        <charset val="128"/>
      </rPr>
      <t>注意、狙い値用を使用</t>
    </r>
    <r>
      <rPr>
        <sz val="12"/>
        <color theme="1"/>
        <rFont val="ＭＳ Ｐゴシック"/>
        <family val="3"/>
        <charset val="128"/>
      </rPr>
      <t>）
※全長ノギス（</t>
    </r>
    <r>
      <rPr>
        <sz val="12"/>
        <color rgb="FFFF0000"/>
        <rFont val="ＭＳ Ｐゴシック"/>
        <family val="3"/>
        <charset val="128"/>
      </rPr>
      <t>19.60±0.02</t>
    </r>
    <r>
      <rPr>
        <sz val="12"/>
        <color theme="1"/>
        <rFont val="ＭＳ Ｐゴシック"/>
        <family val="3"/>
        <charset val="128"/>
      </rPr>
      <t>）</t>
    </r>
    <rPh sb="4" eb="6">
      <t>チュウイ</t>
    </rPh>
    <rPh sb="7" eb="8">
      <t>ネラ</t>
    </rPh>
    <rPh sb="9" eb="11">
      <t>チヨウ</t>
    </rPh>
    <rPh sb="12" eb="14">
      <t>シヨウ</t>
    </rPh>
    <rPh sb="17" eb="19">
      <t>ゼンチョウ</t>
    </rPh>
    <phoneticPr fontId="11"/>
  </si>
  <si>
    <r>
      <t xml:space="preserve">⑭ノギス、⑮マイクロ
</t>
    </r>
    <r>
      <rPr>
        <sz val="12"/>
        <rFont val="ＭＳ Ｐゴシック"/>
        <family val="3"/>
        <charset val="128"/>
      </rPr>
      <t>※全長ノギス</t>
    </r>
    <r>
      <rPr>
        <sz val="12"/>
        <color rgb="FFFF0000"/>
        <rFont val="ＭＳ Ｐゴシック"/>
        <family val="3"/>
        <charset val="128"/>
      </rPr>
      <t>（19.60±0.02）</t>
    </r>
    <rPh sb="12" eb="14">
      <t>ゼンチョウ</t>
    </rPh>
    <phoneticPr fontId="11"/>
  </si>
  <si>
    <r>
      <t>⑥ピン(</t>
    </r>
    <r>
      <rPr>
        <sz val="12"/>
        <color rgb="FFFF0000"/>
        <rFont val="ＭＳ Ｐゴシック"/>
        <family val="3"/>
        <charset val="128"/>
      </rPr>
      <t>注意、狙い値用を使用</t>
    </r>
    <r>
      <rPr>
        <sz val="12"/>
        <color theme="1"/>
        <rFont val="ＭＳ Ｐゴシック"/>
        <family val="3"/>
        <charset val="128"/>
      </rPr>
      <t>）　　　　　　　　　　　　　　   　    　    ※全長ノギス（</t>
    </r>
    <r>
      <rPr>
        <sz val="12"/>
        <color rgb="FFFF0000"/>
        <rFont val="ＭＳ Ｐゴシック"/>
        <family val="3"/>
        <charset val="128"/>
      </rPr>
      <t>19.60±0.02</t>
    </r>
    <r>
      <rPr>
        <sz val="12"/>
        <color theme="1"/>
        <rFont val="ＭＳ Ｐゴシック"/>
        <family val="3"/>
        <charset val="128"/>
      </rPr>
      <t>）</t>
    </r>
    <rPh sb="4" eb="6">
      <t>チュウイ</t>
    </rPh>
    <rPh sb="7" eb="8">
      <t>ネラ</t>
    </rPh>
    <rPh sb="9" eb="11">
      <t>チヨウ</t>
    </rPh>
    <rPh sb="12" eb="14">
      <t>シヨウ</t>
    </rPh>
    <rPh sb="43" eb="45">
      <t>ゼンチョウ</t>
    </rPh>
    <phoneticPr fontId="11"/>
  </si>
  <si>
    <r>
      <t>④マイクロ　　　　　　　　　　　　　　　　　　       　　　　　　　　　　　　※ツバ厚ノギス（</t>
    </r>
    <r>
      <rPr>
        <sz val="12"/>
        <color rgb="FFFF0000"/>
        <rFont val="ＭＳ Ｐゴシック"/>
        <family val="3"/>
        <charset val="128"/>
      </rPr>
      <t>6.0±0.02</t>
    </r>
    <r>
      <rPr>
        <sz val="12"/>
        <color theme="1"/>
        <rFont val="ＭＳ Ｐゴシック"/>
        <family val="3"/>
        <charset val="128"/>
      </rPr>
      <t>）</t>
    </r>
    <rPh sb="45" eb="46">
      <t>アツ</t>
    </rPh>
    <phoneticPr fontId="11"/>
  </si>
  <si>
    <t>NC40 工具交換時 工程管理図番号チェック表（B0325-Ⅱ）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</si>
  <si>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t>記録表㊷は小さく、
上下に記録する</t>
    <rPh sb="0" eb="3">
      <t>キロクヒョウ</t>
    </rPh>
    <rPh sb="5" eb="6">
      <t>チイ</t>
    </rPh>
    <rPh sb="10" eb="12">
      <t>ジョウゲ</t>
    </rPh>
    <rPh sb="13" eb="15">
      <t>キロク</t>
    </rPh>
    <phoneticPr fontId="11"/>
  </si>
  <si>
    <t>φ11.5、φ13.88
φ19.7外径仕上げ</t>
    <rPh sb="18" eb="20">
      <t>ガイケイ</t>
    </rPh>
    <rPh sb="20" eb="22">
      <t>シア</t>
    </rPh>
    <phoneticPr fontId="12"/>
  </si>
  <si>
    <t>㉛画像測定</t>
    <rPh sb="1" eb="3">
      <t>ガゾウ</t>
    </rPh>
    <rPh sb="3" eb="5">
      <t>ソクテイ</t>
    </rPh>
    <phoneticPr fontId="11"/>
  </si>
  <si>
    <t>⑦オフセットノギス（1.0±0.02)
㊴ブレード</t>
    <phoneticPr fontId="11"/>
  </si>
  <si>
    <t>②マイクロ
⑦オフセットノギス（1.0±0.02）</t>
    <phoneticPr fontId="11"/>
  </si>
  <si>
    <t>③ピン、⑨ノギス
※目視（入口の面の大きさ）</t>
    <rPh sb="10" eb="12">
      <t>モクシ</t>
    </rPh>
    <rPh sb="13" eb="15">
      <t>イリクチ</t>
    </rPh>
    <rPh sb="16" eb="17">
      <t>メン</t>
    </rPh>
    <rPh sb="18" eb="19">
      <t>オオ</t>
    </rPh>
    <phoneticPr fontId="11"/>
  </si>
  <si>
    <t>φ9.2穴±0.01にて加工
ピンゲージは（狙い用）で確認</t>
    <rPh sb="4" eb="5">
      <t>アナ</t>
    </rPh>
    <rPh sb="12" eb="14">
      <t>カコウ</t>
    </rPh>
    <rPh sb="22" eb="23">
      <t>ネラ</t>
    </rPh>
    <rPh sb="24" eb="25">
      <t>ヨウ</t>
    </rPh>
    <rPh sb="27" eb="29">
      <t>カクニン</t>
    </rPh>
    <phoneticPr fontId="12"/>
  </si>
  <si>
    <t>③ピン、㊷形状測定（深さ3.15～3.20）
※目視（入口の面の大きさ）</t>
    <rPh sb="5" eb="7">
      <t>ケイジョウ</t>
    </rPh>
    <rPh sb="7" eb="9">
      <t>ソクテイ</t>
    </rPh>
    <rPh sb="24" eb="26">
      <t>モクシ</t>
    </rPh>
    <rPh sb="27" eb="29">
      <t>イリクチ</t>
    </rPh>
    <rPh sb="30" eb="31">
      <t>メン</t>
    </rPh>
    <rPh sb="32" eb="33">
      <t>オオ</t>
    </rPh>
    <phoneticPr fontId="11"/>
  </si>
  <si>
    <t>㊷メイン加工完了品にて
ツバ厚4.15±0.02、軸径14.05±0.02</t>
    <rPh sb="4" eb="6">
      <t>カコウ</t>
    </rPh>
    <rPh sb="6" eb="9">
      <t>カンリョウヒン</t>
    </rPh>
    <rPh sb="15" eb="16">
      <t>アツ</t>
    </rPh>
    <rPh sb="26" eb="27">
      <t>ジク</t>
    </rPh>
    <rPh sb="27" eb="28">
      <t>ケイ</t>
    </rPh>
    <phoneticPr fontId="11"/>
  </si>
  <si>
    <t>④ピン、※備考参照→</t>
    <phoneticPr fontId="11"/>
  </si>
  <si>
    <t>⑥ネジゲージ
（オーバーサイズ使用する）</t>
    <rPh sb="15" eb="17">
      <t>シヨウ</t>
    </rPh>
    <phoneticPr fontId="11"/>
  </si>
  <si>
    <t>㊷マイクロ（ネジ外径）、
ノギス（T35加工後の全長）</t>
    <rPh sb="8" eb="10">
      <t>ガイケイ</t>
    </rPh>
    <rPh sb="20" eb="23">
      <t>カコウゴ</t>
    </rPh>
    <rPh sb="24" eb="26">
      <t>ゼンチョウ</t>
    </rPh>
    <phoneticPr fontId="11"/>
  </si>
  <si>
    <t>④ピン、※目視　備考参照→</t>
    <rPh sb="5" eb="7">
      <t>モクシ</t>
    </rPh>
    <phoneticPr fontId="11"/>
  </si>
  <si>
    <t>⑤ブレード、
㊷ノギス（ツバ厚4±0.02）</t>
    <rPh sb="14" eb="15">
      <t>アツ</t>
    </rPh>
    <phoneticPr fontId="11"/>
  </si>
  <si>
    <r>
      <t>※ノギス（</t>
    </r>
    <r>
      <rPr>
        <sz val="12"/>
        <color rgb="FFFF0000"/>
        <rFont val="ＭＳ Ｐゴシック"/>
        <family val="3"/>
        <charset val="128"/>
      </rPr>
      <t>深さ22.92狙い</t>
    </r>
    <r>
      <rPr>
        <sz val="12"/>
        <rFont val="ＭＳ Ｐゴシック"/>
        <family val="3"/>
        <charset val="128"/>
      </rPr>
      <t>）</t>
    </r>
    <rPh sb="5" eb="6">
      <t>フカ</t>
    </rPh>
    <rPh sb="12" eb="13">
      <t>ネラ</t>
    </rPh>
    <phoneticPr fontId="11"/>
  </si>
  <si>
    <r>
      <t xml:space="preserve">※140°肩に段差無き事。
</t>
    </r>
    <r>
      <rPr>
        <sz val="12"/>
        <color rgb="FFFF0000"/>
        <rFont val="ＭＳ Ｐゴシック"/>
        <family val="3"/>
        <charset val="128"/>
      </rPr>
      <t>※ピンゲージは（狙い用）で確認</t>
    </r>
    <rPh sb="5" eb="6">
      <t>カタ</t>
    </rPh>
    <rPh sb="7" eb="9">
      <t>ダンサ</t>
    </rPh>
    <rPh sb="9" eb="10">
      <t>ナ</t>
    </rPh>
    <rPh sb="11" eb="12">
      <t>コト</t>
    </rPh>
    <phoneticPr fontId="11"/>
  </si>
  <si>
    <r>
      <t>※</t>
    </r>
    <r>
      <rPr>
        <sz val="12"/>
        <rFont val="ＭＳ Ｐゴシック"/>
        <family val="3"/>
        <charset val="128"/>
      </rPr>
      <t>粗の目が出ていないか確認</t>
    </r>
    <rPh sb="1" eb="2">
      <t>アラ</t>
    </rPh>
    <rPh sb="3" eb="4">
      <t>メ</t>
    </rPh>
    <rPh sb="5" eb="6">
      <t>デ</t>
    </rPh>
    <rPh sb="11" eb="13">
      <t>カクニン</t>
    </rPh>
    <phoneticPr fontId="11"/>
  </si>
  <si>
    <r>
      <t>※目視←粗さ問題無き事。
又、</t>
    </r>
    <r>
      <rPr>
        <sz val="12"/>
        <color rgb="FFFF0000"/>
        <rFont val="ＭＳ Ｐゴシック"/>
        <family val="3"/>
        <charset val="128"/>
      </rPr>
      <t>竹串でも確認する。</t>
    </r>
    <rPh sb="1" eb="3">
      <t>モクシ</t>
    </rPh>
    <rPh sb="4" eb="5">
      <t>アラ</t>
    </rPh>
    <rPh sb="6" eb="8">
      <t>モンダイ</t>
    </rPh>
    <rPh sb="8" eb="9">
      <t>ナ</t>
    </rPh>
    <rPh sb="10" eb="11">
      <t>コト</t>
    </rPh>
    <rPh sb="13" eb="14">
      <t>マタ</t>
    </rPh>
    <rPh sb="15" eb="17">
      <t>タケグシ</t>
    </rPh>
    <rPh sb="19" eb="21">
      <t>カクニン</t>
    </rPh>
    <phoneticPr fontId="11"/>
  </si>
  <si>
    <r>
      <t>㊷ノギス（全長24.60±0.02）
ノギス（玉測定</t>
    </r>
    <r>
      <rPr>
        <sz val="12"/>
        <color rgb="FFFF0000"/>
        <rFont val="ＭＳ Ｐゴシック"/>
        <family val="3"/>
        <charset val="128"/>
      </rPr>
      <t>5.645±0.03</t>
    </r>
    <r>
      <rPr>
        <sz val="12"/>
        <rFont val="ＭＳ Ｐゴシック"/>
        <family val="3"/>
        <charset val="128"/>
      </rPr>
      <t>）
㉑㉒㉓目視確認　←記録不要</t>
    </r>
    <rPh sb="5" eb="7">
      <t>ゼンチョウ</t>
    </rPh>
    <rPh sb="23" eb="24">
      <t>タマ</t>
    </rPh>
    <rPh sb="24" eb="26">
      <t>ソクテイ</t>
    </rPh>
    <rPh sb="41" eb="43">
      <t>モクシ</t>
    </rPh>
    <rPh sb="43" eb="45">
      <t>カクニン</t>
    </rPh>
    <rPh sb="47" eb="49">
      <t>キロク</t>
    </rPh>
    <rPh sb="49" eb="51">
      <t>フヨウ</t>
    </rPh>
    <phoneticPr fontId="11"/>
  </si>
  <si>
    <r>
      <t>※目視←粗さ問題無き事。　　　　　　又、</t>
    </r>
    <r>
      <rPr>
        <sz val="12"/>
        <color rgb="FFFF0000"/>
        <rFont val="ＭＳ Ｐゴシック"/>
        <family val="3"/>
        <charset val="128"/>
      </rPr>
      <t>竹串でも確認する。</t>
    </r>
    <phoneticPr fontId="11"/>
  </si>
  <si>
    <t>●ネジ外径13.85±0.01
●T35の加工で止めた製品の
全長を24.7±0.02にする。
記録表㊷は小さく、上下に記録する</t>
    <rPh sb="3" eb="5">
      <t>ガイケイ</t>
    </rPh>
    <rPh sb="21" eb="23">
      <t>カコウ</t>
    </rPh>
    <rPh sb="24" eb="25">
      <t>ト</t>
    </rPh>
    <rPh sb="27" eb="29">
      <t>セイヒン</t>
    </rPh>
    <rPh sb="31" eb="33">
      <t>ゼンチョウ</t>
    </rPh>
    <rPh sb="53" eb="54">
      <t>チイ</t>
    </rPh>
    <phoneticPr fontId="11"/>
  </si>
  <si>
    <r>
      <t>㊷ノギス （センタードリル加工で止めて、
玉測定お行う</t>
    </r>
    <r>
      <rPr>
        <sz val="10"/>
        <color rgb="FFFF0000"/>
        <rFont val="ＭＳ Ｐゴシック"/>
        <family val="3"/>
        <charset val="128"/>
      </rPr>
      <t>5.74±0.01</t>
    </r>
    <r>
      <rPr>
        <sz val="10"/>
        <rFont val="ＭＳ Ｐゴシック"/>
        <family val="3"/>
        <charset val="128"/>
      </rPr>
      <t>）　</t>
    </r>
    <rPh sb="13" eb="15">
      <t>カコウ</t>
    </rPh>
    <rPh sb="16" eb="17">
      <t>ト</t>
    </rPh>
    <rPh sb="25" eb="26">
      <t>オコナ</t>
    </rPh>
    <phoneticPr fontId="11"/>
  </si>
  <si>
    <t>カットして確認。問題ない場合、OKと記録する。
カットサンプルは黄箱に保管。</t>
    <rPh sb="5" eb="7">
      <t>カクニン</t>
    </rPh>
    <rPh sb="8" eb="10">
      <t>モンダイ</t>
    </rPh>
    <rPh sb="12" eb="14">
      <t>バアイ</t>
    </rPh>
    <rPh sb="18" eb="20">
      <t>キロク</t>
    </rPh>
    <rPh sb="32" eb="33">
      <t>キ</t>
    </rPh>
    <rPh sb="33" eb="34">
      <t>バコ</t>
    </rPh>
    <rPh sb="35" eb="37">
      <t>ホカン</t>
    </rPh>
    <phoneticPr fontId="11"/>
  </si>
  <si>
    <t>貫通先の壁にドリル痕、無き事。
問題ない場合OKと記録する</t>
    <rPh sb="0" eb="3">
      <t>カンツウサキ</t>
    </rPh>
    <rPh sb="4" eb="5">
      <t>カベ</t>
    </rPh>
    <rPh sb="9" eb="10">
      <t>コン</t>
    </rPh>
    <rPh sb="11" eb="12">
      <t>ナ</t>
    </rPh>
    <rPh sb="13" eb="14">
      <t>コト</t>
    </rPh>
    <rPh sb="16" eb="18">
      <t>モンダイ</t>
    </rPh>
    <rPh sb="20" eb="22">
      <t>バアイ</t>
    </rPh>
    <rPh sb="25" eb="27">
      <t>キロク</t>
    </rPh>
    <phoneticPr fontId="11"/>
  </si>
  <si>
    <t>㉛㉜三次元、㊾備考参照→</t>
    <rPh sb="2" eb="5">
      <t>サンジゲン</t>
    </rPh>
    <rPh sb="7" eb="9">
      <t>ビコウ</t>
    </rPh>
    <rPh sb="9" eb="11">
      <t>サンショウ</t>
    </rPh>
    <phoneticPr fontId="11"/>
  </si>
  <si>
    <t>①②④マイクロ、③ノギス
㉜三次元</t>
    <rPh sb="14" eb="17">
      <t>サンジゲン</t>
    </rPh>
    <phoneticPr fontId="11"/>
  </si>
  <si>
    <t>⑮ピン、⑯リニア</t>
    <phoneticPr fontId="11"/>
  </si>
  <si>
    <t>⑭ピン、53→備考参照。</t>
    <rPh sb="7" eb="9">
      <t>ビコウ</t>
    </rPh>
    <rPh sb="9" eb="11">
      <t>サンショウ</t>
    </rPh>
    <phoneticPr fontId="11"/>
  </si>
  <si>
    <t>④マイクロ、⑧エアーマイクロ
㊶㊷㊸㊹㊺㊻備考参照→</t>
    <rPh sb="21" eb="23">
      <t>ビコウ</t>
    </rPh>
    <rPh sb="23" eb="25">
      <t>サンショウ</t>
    </rPh>
    <phoneticPr fontId="11"/>
  </si>
  <si>
    <t>⑤ピン、⑥リニア、⑦三次元</t>
    <rPh sb="10" eb="13">
      <t>サンジゲン</t>
    </rPh>
    <phoneticPr fontId="11"/>
  </si>
  <si>
    <t>51マイクロスコープ　参照→</t>
    <rPh sb="11" eb="13">
      <t>サンショウ</t>
    </rPh>
    <phoneticPr fontId="11"/>
  </si>
  <si>
    <t>※目視（面の大きさは適切か）</t>
    <rPh sb="1" eb="3">
      <t>モクシ</t>
    </rPh>
    <phoneticPr fontId="11"/>
  </si>
  <si>
    <r>
      <t xml:space="preserve">53マイクロ
</t>
    </r>
    <r>
      <rPr>
        <sz val="11"/>
        <color rgb="FFFF0000"/>
        <rFont val="ＭＳ Ｐゴシック"/>
        <family val="3"/>
        <charset val="128"/>
      </rPr>
      <t>この刃工具加工で止めた製品</t>
    </r>
    <r>
      <rPr>
        <sz val="11"/>
        <rFont val="ＭＳ Ｐゴシック"/>
        <family val="3"/>
        <charset val="128"/>
      </rPr>
      <t>の
ツバ厚寸法確認を行う。（8.75±0.01）</t>
    </r>
    <phoneticPr fontId="11"/>
  </si>
  <si>
    <t>カットして確認。問題ない場合OKと記録する。
カットサンプルは黄箱に保管。</t>
    <rPh sb="5" eb="7">
      <t>カクニン</t>
    </rPh>
    <rPh sb="8" eb="10">
      <t>モンダイ</t>
    </rPh>
    <rPh sb="12" eb="14">
      <t>バアイ</t>
    </rPh>
    <rPh sb="17" eb="19">
      <t>キロク</t>
    </rPh>
    <rPh sb="31" eb="32">
      <t>キ</t>
    </rPh>
    <rPh sb="32" eb="33">
      <t>バコ</t>
    </rPh>
    <rPh sb="34" eb="36">
      <t>ホカン</t>
    </rPh>
    <phoneticPr fontId="11"/>
  </si>
  <si>
    <r>
      <t>②ブレード</t>
    </r>
    <r>
      <rPr>
        <sz val="12"/>
        <color rgb="FFFF0000"/>
        <rFont val="ＭＳ Ｐゴシック"/>
        <family val="3"/>
        <charset val="128"/>
      </rPr>
      <t xml:space="preserve">（根元の軸径）
</t>
    </r>
    <r>
      <rPr>
        <sz val="12"/>
        <rFont val="ＭＳ Ｐゴシック"/>
        <family val="3"/>
        <charset val="128"/>
      </rPr>
      <t>㉝形状</t>
    </r>
    <rPh sb="6" eb="8">
      <t>ネモト</t>
    </rPh>
    <rPh sb="9" eb="10">
      <t>ジク</t>
    </rPh>
    <rPh sb="10" eb="11">
      <t>ケイ</t>
    </rPh>
    <rPh sb="14" eb="16">
      <t>ケイジョウ</t>
    </rPh>
    <phoneticPr fontId="11"/>
  </si>
  <si>
    <t>カットして確認。問題ない場合、㊾にOKと記録する。
カットサンプルは黄箱に保管。</t>
    <rPh sb="5" eb="7">
      <t>カクニン</t>
    </rPh>
    <rPh sb="8" eb="10">
      <t>モンダイ</t>
    </rPh>
    <rPh sb="12" eb="14">
      <t>バアイ</t>
    </rPh>
    <rPh sb="20" eb="22">
      <t>キロク</t>
    </rPh>
    <rPh sb="34" eb="35">
      <t>キ</t>
    </rPh>
    <rPh sb="35" eb="36">
      <t>バコ</t>
    </rPh>
    <rPh sb="37" eb="39">
      <t>ホカン</t>
    </rPh>
    <phoneticPr fontId="11"/>
  </si>
  <si>
    <t>㉜㉝三次元、㊷備考参照→</t>
    <rPh sb="2" eb="5">
      <t>サンジゲン</t>
    </rPh>
    <rPh sb="7" eb="9">
      <t>ビコウ</t>
    </rPh>
    <rPh sb="9" eb="11">
      <t>サンショウ</t>
    </rPh>
    <phoneticPr fontId="11"/>
  </si>
  <si>
    <t>①②④マイクロ、③ノギス
㉝三次元</t>
    <rPh sb="14" eb="17">
      <t>サンジゲン</t>
    </rPh>
    <phoneticPr fontId="11"/>
  </si>
  <si>
    <t>⑮ピン、⑰リニア</t>
    <phoneticPr fontId="11"/>
  </si>
  <si>
    <t>⑭ピン、㊾→備考参照。</t>
    <rPh sb="6" eb="8">
      <t>ビコウ</t>
    </rPh>
    <rPh sb="8" eb="10">
      <t>サンショウ</t>
    </rPh>
    <phoneticPr fontId="11"/>
  </si>
  <si>
    <t>④マイクロ、⑧エアーマイクロ
㊶㊸㊹㊺備考参照→</t>
    <rPh sb="19" eb="21">
      <t>ビコウ</t>
    </rPh>
    <rPh sb="21" eb="23">
      <t>サンショウ</t>
    </rPh>
    <phoneticPr fontId="11"/>
  </si>
  <si>
    <t>㊾マイクロスコープ　参照→</t>
    <rPh sb="10" eb="12">
      <t>サンショウ</t>
    </rPh>
    <phoneticPr fontId="11"/>
  </si>
  <si>
    <t>⑩ピン、⑪ピンとノギス、㊽-1</t>
    <phoneticPr fontId="11"/>
  </si>
  <si>
    <t>⑨ピン、⑫ノギス、㊽-2</t>
    <phoneticPr fontId="11"/>
  </si>
  <si>
    <r>
      <t xml:space="preserve">㊾マイクロ
</t>
    </r>
    <r>
      <rPr>
        <sz val="11"/>
        <color rgb="FFFF0000"/>
        <rFont val="ＭＳ Ｐゴシック"/>
        <family val="3"/>
        <charset val="128"/>
      </rPr>
      <t>この刃工具加工で止めた製品</t>
    </r>
    <r>
      <rPr>
        <sz val="11"/>
        <rFont val="ＭＳ Ｐゴシック"/>
        <family val="3"/>
        <charset val="128"/>
      </rPr>
      <t>の
ツバ厚寸法確認を行う。（8.75±0.01）</t>
    </r>
    <phoneticPr fontId="11"/>
  </si>
  <si>
    <r>
      <t>②ブレード</t>
    </r>
    <r>
      <rPr>
        <sz val="12"/>
        <color rgb="FFFF0000"/>
        <rFont val="ＭＳ Ｐゴシック"/>
        <family val="3"/>
        <charset val="128"/>
      </rPr>
      <t xml:space="preserve">（根元の軸径）
</t>
    </r>
    <r>
      <rPr>
        <sz val="12"/>
        <rFont val="ＭＳ Ｐゴシック"/>
        <family val="3"/>
        <charset val="128"/>
      </rPr>
      <t>㉞形状</t>
    </r>
    <rPh sb="6" eb="8">
      <t>ネモト</t>
    </rPh>
    <rPh sb="9" eb="10">
      <t>ジク</t>
    </rPh>
    <rPh sb="10" eb="11">
      <t>ケイ</t>
    </rPh>
    <rPh sb="14" eb="16">
      <t>ケイジョウ</t>
    </rPh>
    <phoneticPr fontId="11"/>
  </si>
  <si>
    <t>カットして確認。問題ない場合㊾にOKと記録する。
カットサンプルは黄箱に保管。</t>
    <rPh sb="5" eb="7">
      <t>カクニン</t>
    </rPh>
    <rPh sb="8" eb="10">
      <t>モンダイ</t>
    </rPh>
    <rPh sb="12" eb="14">
      <t>バアイ</t>
    </rPh>
    <rPh sb="19" eb="21">
      <t>キロク</t>
    </rPh>
    <rPh sb="33" eb="34">
      <t>キ</t>
    </rPh>
    <rPh sb="34" eb="35">
      <t>バコ</t>
    </rPh>
    <rPh sb="36" eb="38">
      <t>ホカン</t>
    </rPh>
    <phoneticPr fontId="11"/>
  </si>
  <si>
    <t>※粗の目が出てい無いか。
入口R部に食い込み無いか確認</t>
    <rPh sb="1" eb="2">
      <t>アラ</t>
    </rPh>
    <rPh sb="3" eb="4">
      <t>メ</t>
    </rPh>
    <rPh sb="5" eb="6">
      <t>デ</t>
    </rPh>
    <rPh sb="8" eb="9">
      <t>ナ</t>
    </rPh>
    <rPh sb="13" eb="15">
      <t>イリクチ</t>
    </rPh>
    <rPh sb="16" eb="17">
      <t>ブ</t>
    </rPh>
    <rPh sb="18" eb="19">
      <t>ク</t>
    </rPh>
    <rPh sb="20" eb="21">
      <t>コ</t>
    </rPh>
    <rPh sb="22" eb="23">
      <t>ナ</t>
    </rPh>
    <rPh sb="25" eb="27">
      <t>カクニン</t>
    </rPh>
    <phoneticPr fontId="11"/>
  </si>
  <si>
    <t>㊾マイクロ</t>
    <phoneticPr fontId="11"/>
  </si>
  <si>
    <t>金属カラー(内外径交差選択、寸法フリー指定)</t>
    <rPh sb="0" eb="2">
      <t>キンゾク</t>
    </rPh>
    <rPh sb="6" eb="8">
      <t>ナイガイ</t>
    </rPh>
    <rPh sb="8" eb="9">
      <t>ケイ</t>
    </rPh>
    <rPh sb="9" eb="11">
      <t>コウサ</t>
    </rPh>
    <rPh sb="11" eb="13">
      <t>センタク</t>
    </rPh>
    <rPh sb="14" eb="16">
      <t>スンポウ</t>
    </rPh>
    <rPh sb="19" eb="21">
      <t>シテイ</t>
    </rPh>
    <phoneticPr fontId="11"/>
  </si>
  <si>
    <t>㉝目視（φ26外径C面の大きさ、0.2±0.1程度である事）</t>
    <rPh sb="1" eb="3">
      <t>モクシ</t>
    </rPh>
    <rPh sb="23" eb="25">
      <t>テイド</t>
    </rPh>
    <rPh sb="28" eb="29">
      <t>コト</t>
    </rPh>
    <phoneticPr fontId="11"/>
  </si>
  <si>
    <t>⑮目視（前の加工品と同等に面が有ることを確認する）</t>
    <rPh sb="1" eb="3">
      <t>モクシ</t>
    </rPh>
    <rPh sb="4" eb="5">
      <t>マエ</t>
    </rPh>
    <rPh sb="6" eb="9">
      <t>カコウヒン</t>
    </rPh>
    <rPh sb="10" eb="12">
      <t>ドウトウ</t>
    </rPh>
    <rPh sb="13" eb="14">
      <t>メン</t>
    </rPh>
    <rPh sb="15" eb="16">
      <t>ア</t>
    </rPh>
    <rPh sb="20" eb="22">
      <t>カクニン</t>
    </rPh>
    <phoneticPr fontId="11"/>
  </si>
  <si>
    <t>⑥ノギス</t>
    <phoneticPr fontId="11"/>
  </si>
  <si>
    <t>②投影機、⑬形状測定、㉕目視（粗さ異常、ビビり無き事）</t>
    <rPh sb="1" eb="4">
      <t>トウエイキ</t>
    </rPh>
    <rPh sb="6" eb="8">
      <t>ケイジョウ</t>
    </rPh>
    <rPh sb="8" eb="10">
      <t>ソクテイ</t>
    </rPh>
    <rPh sb="12" eb="14">
      <t>モクシ</t>
    </rPh>
    <rPh sb="15" eb="16">
      <t>アラ</t>
    </rPh>
    <rPh sb="17" eb="19">
      <t>イジョウ</t>
    </rPh>
    <rPh sb="23" eb="24">
      <t>ナ</t>
    </rPh>
    <rPh sb="25" eb="26">
      <t>コト</t>
    </rPh>
    <phoneticPr fontId="11"/>
  </si>
  <si>
    <t>①ノギス、⑦マイクロ</t>
    <phoneticPr fontId="11"/>
  </si>
  <si>
    <t>㉝リニア　数値を記録</t>
    <rPh sb="5" eb="7">
      <t>スウチ</t>
    </rPh>
    <rPh sb="8" eb="10">
      <t>キロク</t>
    </rPh>
    <phoneticPr fontId="11"/>
  </si>
  <si>
    <t>⑪ネジゲージ、⑫ネジゲージ+ノギス</t>
    <phoneticPr fontId="11"/>
  </si>
  <si>
    <t>④⑤形状測定、⑩ピン、㉚目視（粗さ異常、ビビり無き事）　</t>
    <rPh sb="2" eb="6">
      <t>ケイジョウソクテイ</t>
    </rPh>
    <rPh sb="12" eb="14">
      <t>モクシ</t>
    </rPh>
    <phoneticPr fontId="11"/>
  </si>
  <si>
    <t>①③ノギス、⑧マイクロ</t>
    <phoneticPr fontId="11"/>
  </si>
  <si>
    <t>※目視（完成品の穴底テーパーに
荒加工の目残り無き事）</t>
    <phoneticPr fontId="11"/>
  </si>
  <si>
    <t>T7外径加工で止めてこの製品を突っ切る。別紙に有る6.47を測定。</t>
    <rPh sb="12" eb="14">
      <t>セイヒン</t>
    </rPh>
    <rPh sb="15" eb="16">
      <t>ツ</t>
    </rPh>
    <rPh sb="17" eb="18">
      <t>キ</t>
    </rPh>
    <rPh sb="20" eb="22">
      <t>ベッシ</t>
    </rPh>
    <rPh sb="23" eb="24">
      <t>ア</t>
    </rPh>
    <rPh sb="30" eb="32">
      <t>ソクテイ</t>
    </rPh>
    <phoneticPr fontId="11"/>
  </si>
  <si>
    <t>④⑤形状測定、㉛目視（粗さ異常、ビビり無き事）
※φ9.1ピンゲージで内径のチェックも行う事</t>
    <rPh sb="2" eb="6">
      <t>ケイジョウソクテイ</t>
    </rPh>
    <rPh sb="8" eb="10">
      <t>モクシ</t>
    </rPh>
    <phoneticPr fontId="11"/>
  </si>
  <si>
    <r>
      <t xml:space="preserve">⑨画像
</t>
    </r>
    <r>
      <rPr>
        <sz val="12"/>
        <color rgb="FFFF0000"/>
        <rFont val="ＭＳ Ｐゴシック"/>
        <family val="3"/>
        <charset val="128"/>
      </rPr>
      <t>㉝コントレーサー　下穴深さ　9.87±0.02
ピンゲージ通りφ9.05、　止まりφ9.075</t>
    </r>
    <rPh sb="1" eb="3">
      <t>ガゾウ</t>
    </rPh>
    <rPh sb="13" eb="15">
      <t>シタアナ</t>
    </rPh>
    <rPh sb="15" eb="16">
      <t>フカ</t>
    </rPh>
    <rPh sb="33" eb="34">
      <t>トオ</t>
    </rPh>
    <rPh sb="42" eb="43">
      <t>ト</t>
    </rPh>
    <phoneticPr fontId="11"/>
  </si>
  <si>
    <r>
      <rPr>
        <sz val="12"/>
        <color rgb="FFFF0000"/>
        <rFont val="ＭＳ Ｐゴシック"/>
        <family val="3"/>
        <charset val="128"/>
      </rPr>
      <t>㉝ノギス　下穴深さ9.80～9.85
（完成品全長24.35の場合）　　</t>
    </r>
    <r>
      <rPr>
        <sz val="12"/>
        <color theme="1"/>
        <rFont val="ＭＳ Ｐゴシック"/>
        <family val="3"/>
        <charset val="128"/>
      </rPr>
      <t>　　　　　　</t>
    </r>
    <rPh sb="25" eb="27">
      <t>バアイ</t>
    </rPh>
    <rPh sb="37" eb="39">
      <t>モクシカンセイヒン</t>
    </rPh>
    <phoneticPr fontId="11"/>
  </si>
  <si>
    <t>T7外径加工で止めて、この製品を突っ切る。
別紙に有る6.47を測定。</t>
    <rPh sb="13" eb="15">
      <t>セイヒン</t>
    </rPh>
    <rPh sb="16" eb="17">
      <t>ツ</t>
    </rPh>
    <rPh sb="18" eb="19">
      <t>キ</t>
    </rPh>
    <rPh sb="22" eb="24">
      <t>ベッシ</t>
    </rPh>
    <rPh sb="25" eb="26">
      <t>ア</t>
    </rPh>
    <rPh sb="32" eb="34">
      <t>ソクテイ</t>
    </rPh>
    <phoneticPr fontId="11"/>
  </si>
  <si>
    <t>③マイクロ
※目視　（根元に削り残りの段差無き事。
また、根元が食い込みすぎない事）</t>
    <rPh sb="7" eb="9">
      <t>モクシ</t>
    </rPh>
    <rPh sb="11" eb="13">
      <t>ネモト</t>
    </rPh>
    <rPh sb="14" eb="15">
      <t>ケズ</t>
    </rPh>
    <rPh sb="16" eb="17">
      <t>ノコ</t>
    </rPh>
    <rPh sb="19" eb="21">
      <t>ダンサ</t>
    </rPh>
    <rPh sb="21" eb="22">
      <t>ナ</t>
    </rPh>
    <rPh sb="23" eb="24">
      <t>コト</t>
    </rPh>
    <rPh sb="29" eb="31">
      <t>ネモト</t>
    </rPh>
    <rPh sb="32" eb="33">
      <t>ク</t>
    </rPh>
    <rPh sb="34" eb="35">
      <t>コ</t>
    </rPh>
    <rPh sb="40" eb="41">
      <t>コト</t>
    </rPh>
    <phoneticPr fontId="11"/>
  </si>
  <si>
    <t>③マイクロ
※目視（根元に削り残りの段差無き事。
また、根元が食い込みすぎない事）</t>
    <rPh sb="7" eb="9">
      <t>モクシ</t>
    </rPh>
    <rPh sb="10" eb="12">
      <t>ネモト</t>
    </rPh>
    <rPh sb="13" eb="14">
      <t>ケズ</t>
    </rPh>
    <rPh sb="15" eb="16">
      <t>ノコ</t>
    </rPh>
    <rPh sb="18" eb="20">
      <t>ダンサ</t>
    </rPh>
    <rPh sb="20" eb="21">
      <t>ナ</t>
    </rPh>
    <rPh sb="22" eb="23">
      <t>コト</t>
    </rPh>
    <rPh sb="28" eb="30">
      <t>ネモト</t>
    </rPh>
    <rPh sb="31" eb="32">
      <t>ク</t>
    </rPh>
    <rPh sb="33" eb="34">
      <t>コ</t>
    </rPh>
    <rPh sb="39" eb="40">
      <t>コト</t>
    </rPh>
    <phoneticPr fontId="11"/>
  </si>
  <si>
    <r>
      <t>代替品(</t>
    </r>
    <r>
      <rPr>
        <sz val="12"/>
        <color rgb="FFFF0000"/>
        <rFont val="ＭＳ Ｐゴシック"/>
        <family val="3"/>
        <charset val="128"/>
      </rPr>
      <t>超硬</t>
    </r>
    <r>
      <rPr>
        <sz val="12"/>
        <color theme="1"/>
        <rFont val="ＭＳ Ｐゴシック"/>
        <family val="3"/>
        <charset val="128"/>
      </rPr>
      <t xml:space="preserve">)
</t>
    </r>
    <r>
      <rPr>
        <sz val="12"/>
        <color rgb="FFFF0000"/>
        <rFont val="ＭＳ Ｐゴシック"/>
        <family val="3"/>
        <charset val="128"/>
      </rPr>
      <t>CNMG120404-LP(MC6015)</t>
    </r>
    <rPh sb="0" eb="3">
      <t>ダイガエヒン</t>
    </rPh>
    <rPh sb="4" eb="6">
      <t>チョウコウ</t>
    </rPh>
    <phoneticPr fontId="11"/>
  </si>
  <si>
    <t>①⑩ノギス、㊱輪郭形状</t>
    <phoneticPr fontId="11"/>
  </si>
  <si>
    <t>㉓ノギス※ノギス13.5部段差0.02±0.01</t>
    <phoneticPr fontId="11"/>
  </si>
  <si>
    <t>⑨ノギス、㉓ノギス、㊱輪郭形状</t>
    <rPh sb="11" eb="13">
      <t>リンカク</t>
    </rPh>
    <rPh sb="13" eb="15">
      <t>ケイジョウ</t>
    </rPh>
    <phoneticPr fontId="11"/>
  </si>
  <si>
    <t>②⑧ノギス</t>
    <phoneticPr fontId="11"/>
  </si>
  <si>
    <t>⑩ノギス、※目視（C面が適切な大きさである事）</t>
    <phoneticPr fontId="11"/>
  </si>
  <si>
    <t>※目視（穴入口の面が適切な大きさである事）</t>
    <rPh sb="1" eb="3">
      <t>モクシ</t>
    </rPh>
    <rPh sb="4" eb="5">
      <t>アナ</t>
    </rPh>
    <rPh sb="5" eb="7">
      <t>イリクチ</t>
    </rPh>
    <rPh sb="8" eb="9">
      <t>メン</t>
    </rPh>
    <rPh sb="10" eb="12">
      <t>テキセツ</t>
    </rPh>
    <rPh sb="13" eb="14">
      <t>オオ</t>
    </rPh>
    <rPh sb="19" eb="20">
      <t>コト</t>
    </rPh>
    <phoneticPr fontId="11"/>
  </si>
  <si>
    <t>⑤ピン、㉑ノギス
㉙目視（粗さが目視で問題ない事。記録は不要）</t>
    <rPh sb="10" eb="12">
      <t>モクシ</t>
    </rPh>
    <rPh sb="13" eb="14">
      <t>アラ</t>
    </rPh>
    <rPh sb="16" eb="18">
      <t>モクシ</t>
    </rPh>
    <rPh sb="19" eb="21">
      <t>モンダイ</t>
    </rPh>
    <rPh sb="23" eb="24">
      <t>コト</t>
    </rPh>
    <rPh sb="25" eb="27">
      <t>キロク</t>
    </rPh>
    <rPh sb="28" eb="30">
      <t>フヨウ</t>
    </rPh>
    <phoneticPr fontId="11"/>
  </si>
  <si>
    <t>⑬ネジゲージ通りと、ノギス、⑭ネジゲージ
⑭’ボアゲージ</t>
    <rPh sb="6" eb="7">
      <t>トオ</t>
    </rPh>
    <phoneticPr fontId="11"/>
  </si>
  <si>
    <t>※目視 （穴底、及び穴底肩0.3の段にφ9の切削残りが無い事）</t>
    <rPh sb="1" eb="3">
      <t>モクシ</t>
    </rPh>
    <rPh sb="5" eb="6">
      <t>アナ</t>
    </rPh>
    <rPh sb="6" eb="7">
      <t>ソコ</t>
    </rPh>
    <rPh sb="8" eb="9">
      <t>オヨ</t>
    </rPh>
    <rPh sb="10" eb="12">
      <t>アナゾコ</t>
    </rPh>
    <rPh sb="12" eb="13">
      <t>カタ</t>
    </rPh>
    <rPh sb="17" eb="18">
      <t>ダン</t>
    </rPh>
    <rPh sb="22" eb="24">
      <t>セッサク</t>
    </rPh>
    <rPh sb="24" eb="25">
      <t>ノコ</t>
    </rPh>
    <rPh sb="27" eb="28">
      <t>ナ</t>
    </rPh>
    <rPh sb="29" eb="30">
      <t>コト</t>
    </rPh>
    <phoneticPr fontId="11"/>
  </si>
  <si>
    <r>
      <t>○ノギス深さ13.40狙い。</t>
    </r>
    <r>
      <rPr>
        <sz val="10"/>
        <color rgb="FFFF0000"/>
        <rFont val="ＭＳ Ｐゴシック"/>
        <family val="3"/>
        <charset val="128"/>
      </rPr>
      <t xml:space="preserve">空白蘭に数値を記録。
</t>
    </r>
    <r>
      <rPr>
        <sz val="10"/>
        <rFont val="ＭＳ Ｐゴシック"/>
        <family val="3"/>
        <charset val="128"/>
      </rPr>
      <t>（完成品全長の19.0の場合）</t>
    </r>
    <rPh sb="4" eb="5">
      <t>フカ</t>
    </rPh>
    <rPh sb="14" eb="16">
      <t>クウハク</t>
    </rPh>
    <rPh sb="16" eb="17">
      <t>ラン</t>
    </rPh>
    <rPh sb="18" eb="20">
      <t>スウチ</t>
    </rPh>
    <rPh sb="21" eb="23">
      <t>キロク</t>
    </rPh>
    <rPh sb="26" eb="29">
      <t>カンセイヒン</t>
    </rPh>
    <rPh sb="37" eb="39">
      <t>バアイ</t>
    </rPh>
    <phoneticPr fontId="11"/>
  </si>
  <si>
    <t>〇ノギス⒳16.85～16.90狙い　　　　</t>
    <rPh sb="16" eb="17">
      <t>ネラ</t>
    </rPh>
    <phoneticPr fontId="12"/>
  </si>
  <si>
    <t>㉓ノギス
〇ノギス13.5部段差0.02±0.01</t>
    <phoneticPr fontId="11"/>
  </si>
  <si>
    <t>〇ノギス⒳16.80～16.85狙い　　　　</t>
    <rPh sb="16" eb="17">
      <t>ネラ</t>
    </rPh>
    <phoneticPr fontId="12"/>
  </si>
  <si>
    <t>※目視（穴入口の面、2面幅淵の面が適切な大きさである事）</t>
    <rPh sb="1" eb="3">
      <t>モクシ</t>
    </rPh>
    <rPh sb="4" eb="5">
      <t>アナ</t>
    </rPh>
    <rPh sb="5" eb="7">
      <t>イリクチ</t>
    </rPh>
    <rPh sb="8" eb="9">
      <t>メン</t>
    </rPh>
    <rPh sb="11" eb="13">
      <t>メンハバ</t>
    </rPh>
    <rPh sb="13" eb="14">
      <t>フチ</t>
    </rPh>
    <rPh sb="15" eb="16">
      <t>メン</t>
    </rPh>
    <rPh sb="17" eb="19">
      <t>テキセツ</t>
    </rPh>
    <rPh sb="20" eb="21">
      <t>オオ</t>
    </rPh>
    <rPh sb="26" eb="27">
      <t>コト</t>
    </rPh>
    <phoneticPr fontId="11"/>
  </si>
  <si>
    <t>※目視（穴底、及び穴底肩0.3の段に
φ9の切削残りが無い事）</t>
    <rPh sb="1" eb="3">
      <t>モクシ</t>
    </rPh>
    <rPh sb="4" eb="5">
      <t>アナ</t>
    </rPh>
    <rPh sb="5" eb="6">
      <t>ソコ</t>
    </rPh>
    <rPh sb="7" eb="8">
      <t>オヨ</t>
    </rPh>
    <rPh sb="9" eb="11">
      <t>アナゾコ</t>
    </rPh>
    <rPh sb="11" eb="12">
      <t>カタ</t>
    </rPh>
    <rPh sb="16" eb="17">
      <t>ダン</t>
    </rPh>
    <rPh sb="22" eb="24">
      <t>セッサク</t>
    </rPh>
    <rPh sb="24" eb="25">
      <t>ノコ</t>
    </rPh>
    <rPh sb="27" eb="28">
      <t>ナ</t>
    </rPh>
    <rPh sb="29" eb="30">
      <t>コト</t>
    </rPh>
    <phoneticPr fontId="11"/>
  </si>
  <si>
    <t>※目視（穴底にφ5の切削残りが無い事）</t>
    <rPh sb="1" eb="3">
      <t>モクシ</t>
    </rPh>
    <rPh sb="4" eb="5">
      <t>アナ</t>
    </rPh>
    <rPh sb="5" eb="6">
      <t>ソコ</t>
    </rPh>
    <rPh sb="10" eb="12">
      <t>セッサク</t>
    </rPh>
    <rPh sb="12" eb="13">
      <t>ノコ</t>
    </rPh>
    <rPh sb="15" eb="16">
      <t>ナ</t>
    </rPh>
    <rPh sb="17" eb="18">
      <t>コト</t>
    </rPh>
    <phoneticPr fontId="11"/>
  </si>
  <si>
    <t>ネジ有効径φ11.47狙い
ネジ深さ12.20～12.30狙い</t>
    <rPh sb="2" eb="4">
      <t>ユウコウ</t>
    </rPh>
    <rPh sb="4" eb="5">
      <t>ケイ</t>
    </rPh>
    <rPh sb="11" eb="12">
      <t>ネラ</t>
    </rPh>
    <rPh sb="16" eb="17">
      <t>フカ</t>
    </rPh>
    <rPh sb="29" eb="30">
      <t>ネラ</t>
    </rPh>
    <phoneticPr fontId="12"/>
  </si>
  <si>
    <t>センター穴、φ2.0穴面
φ4.1ザグリ穴面</t>
    <rPh sb="4" eb="5">
      <t>アナ</t>
    </rPh>
    <rPh sb="10" eb="11">
      <t>アナ</t>
    </rPh>
    <rPh sb="11" eb="12">
      <t>メン</t>
    </rPh>
    <rPh sb="20" eb="21">
      <t>アナ</t>
    </rPh>
    <rPh sb="21" eb="22">
      <t>メン</t>
    </rPh>
    <phoneticPr fontId="12"/>
  </si>
  <si>
    <t>53 リニア　下穴17.90狙い
（全長42.5の場合）</t>
    <phoneticPr fontId="11"/>
  </si>
  <si>
    <t>㊾リニア　下穴17.90狙い
（全長38.50の場合）</t>
    <phoneticPr fontId="11"/>
  </si>
  <si>
    <r>
      <t>②ブレード</t>
    </r>
    <r>
      <rPr>
        <sz val="12"/>
        <color rgb="FFFF0000"/>
        <rFont val="ＭＳ Ｐゴシック"/>
        <family val="3"/>
        <charset val="128"/>
      </rPr>
      <t>（根元の軸径）</t>
    </r>
    <r>
      <rPr>
        <sz val="12"/>
        <rFont val="ＭＳ Ｐゴシック"/>
        <family val="3"/>
        <charset val="128"/>
      </rPr>
      <t>㉞形状</t>
    </r>
    <rPh sb="6" eb="8">
      <t>ネモト</t>
    </rPh>
    <rPh sb="9" eb="10">
      <t>ジク</t>
    </rPh>
    <rPh sb="10" eb="11">
      <t>ケイ</t>
    </rPh>
    <rPh sb="13" eb="15">
      <t>ケイジョウ</t>
    </rPh>
    <phoneticPr fontId="11"/>
  </si>
  <si>
    <t>制改訂</t>
    <rPh sb="0" eb="1">
      <t>セイ</t>
    </rPh>
    <rPh sb="1" eb="3">
      <t>カイテイ</t>
    </rPh>
    <phoneticPr fontId="67"/>
  </si>
  <si>
    <t>年月日</t>
    <rPh sb="0" eb="3">
      <t>ネンガッピ</t>
    </rPh>
    <phoneticPr fontId="67"/>
  </si>
  <si>
    <t>改訂内容</t>
    <rPh sb="0" eb="2">
      <t>カイテイ</t>
    </rPh>
    <rPh sb="2" eb="4">
      <t>ナイヨウ</t>
    </rPh>
    <phoneticPr fontId="67"/>
  </si>
  <si>
    <t>承認</t>
    <rPh sb="0" eb="2">
      <t>ショウニン</t>
    </rPh>
    <phoneticPr fontId="67"/>
  </si>
  <si>
    <t>検討</t>
    <rPh sb="0" eb="2">
      <t>ケントウ</t>
    </rPh>
    <phoneticPr fontId="67"/>
  </si>
  <si>
    <t>作成</t>
    <rPh sb="0" eb="2">
      <t>サクセイ</t>
    </rPh>
    <phoneticPr fontId="67"/>
  </si>
  <si>
    <t>2022.7.12</t>
    <phoneticPr fontId="67"/>
  </si>
  <si>
    <t>新規作成</t>
    <rPh sb="0" eb="2">
      <t>シンキ</t>
    </rPh>
    <rPh sb="2" eb="4">
      <t>サクセイ</t>
    </rPh>
    <phoneticPr fontId="67"/>
  </si>
  <si>
    <t>橋本</t>
    <rPh sb="0" eb="2">
      <t>ハシモト</t>
    </rPh>
    <phoneticPr fontId="67"/>
  </si>
  <si>
    <t>橋本</t>
    <rPh sb="0" eb="2">
      <t>ハシモト</t>
    </rPh>
    <phoneticPr fontId="21"/>
  </si>
  <si>
    <t>牧野</t>
    <rPh sb="0" eb="2">
      <t>マキノ</t>
    </rPh>
    <phoneticPr fontId="21"/>
  </si>
  <si>
    <t>備考欄の（※）印事項は記録不要。問題が有り、対処が分からない場合はリーダーに報告する。</t>
    <rPh sb="0" eb="3">
      <t>ビコウラン</t>
    </rPh>
    <rPh sb="7" eb="8">
      <t>シルシ</t>
    </rPh>
    <rPh sb="8" eb="10">
      <t>ジコウ</t>
    </rPh>
    <rPh sb="11" eb="13">
      <t>キロク</t>
    </rPh>
    <rPh sb="13" eb="15">
      <t>フヨウ</t>
    </rPh>
    <rPh sb="16" eb="18">
      <t>モンダイ</t>
    </rPh>
    <rPh sb="19" eb="20">
      <t>ア</t>
    </rPh>
    <rPh sb="22" eb="24">
      <t>タイショ</t>
    </rPh>
    <rPh sb="25" eb="26">
      <t>ワ</t>
    </rPh>
    <rPh sb="30" eb="32">
      <t>バアイ</t>
    </rPh>
    <rPh sb="38" eb="40">
      <t>ホウコク</t>
    </rPh>
    <phoneticPr fontId="11"/>
  </si>
  <si>
    <t>2023.7.16</t>
    <phoneticPr fontId="67"/>
  </si>
  <si>
    <t>NC53/54</t>
    <phoneticPr fontId="11"/>
  </si>
  <si>
    <t>NC81～</t>
    <phoneticPr fontId="11"/>
  </si>
  <si>
    <t>2022.1.25</t>
    <phoneticPr fontId="67"/>
  </si>
  <si>
    <t>NC42</t>
    <phoneticPr fontId="11"/>
  </si>
  <si>
    <t>NC50</t>
    <phoneticPr fontId="11"/>
  </si>
  <si>
    <t>2022.2.25</t>
    <phoneticPr fontId="67"/>
  </si>
  <si>
    <t>2022.5.21</t>
    <phoneticPr fontId="67"/>
  </si>
  <si>
    <t>・備考欄の（※）印事項は記録不要。問題が有り、対処が分からない場合はリーダーに報告する。</t>
    <rPh sb="1" eb="4">
      <t>ビコウラン</t>
    </rPh>
    <rPh sb="8" eb="9">
      <t>シルシ</t>
    </rPh>
    <rPh sb="9" eb="11">
      <t>ジコウ</t>
    </rPh>
    <rPh sb="12" eb="14">
      <t>キロク</t>
    </rPh>
    <rPh sb="14" eb="16">
      <t>フヨウ</t>
    </rPh>
    <rPh sb="17" eb="19">
      <t>モンダイ</t>
    </rPh>
    <rPh sb="20" eb="21">
      <t>ア</t>
    </rPh>
    <rPh sb="23" eb="25">
      <t>タイショ</t>
    </rPh>
    <rPh sb="26" eb="27">
      <t>ワ</t>
    </rPh>
    <rPh sb="31" eb="33">
      <t>バアイ</t>
    </rPh>
    <rPh sb="39" eb="41">
      <t>ホウコク</t>
    </rPh>
    <phoneticPr fontId="11"/>
  </si>
  <si>
    <t>NC67</t>
    <phoneticPr fontId="11"/>
  </si>
  <si>
    <t>2023.10.12</t>
    <phoneticPr fontId="67"/>
  </si>
  <si>
    <t>NC40</t>
    <phoneticPr fontId="11"/>
  </si>
  <si>
    <t>2023.5.22</t>
    <phoneticPr fontId="67"/>
  </si>
  <si>
    <t>2022.7.22</t>
    <phoneticPr fontId="67"/>
  </si>
  <si>
    <t>NC79</t>
    <phoneticPr fontId="11"/>
  </si>
  <si>
    <t>・異種の刃具で㊷記録が重なるときは、次の行へ新たにツール番号を付けて記録する</t>
    <rPh sb="1" eb="3">
      <t>イシュ</t>
    </rPh>
    <rPh sb="4" eb="5">
      <t>ハ</t>
    </rPh>
    <rPh sb="5" eb="6">
      <t>グ</t>
    </rPh>
    <rPh sb="8" eb="10">
      <t>キロク</t>
    </rPh>
    <rPh sb="11" eb="12">
      <t>カサ</t>
    </rPh>
    <rPh sb="22" eb="23">
      <t>アラ</t>
    </rPh>
    <rPh sb="28" eb="30">
      <t>バンゴウ</t>
    </rPh>
    <rPh sb="31" eb="32">
      <t>ツ</t>
    </rPh>
    <rPh sb="34" eb="36">
      <t>キロク</t>
    </rPh>
    <phoneticPr fontId="11"/>
  </si>
  <si>
    <t>2021.12.22</t>
    <phoneticPr fontId="67"/>
  </si>
  <si>
    <t>NC85</t>
    <phoneticPr fontId="11"/>
  </si>
  <si>
    <t>2023.12.22</t>
    <phoneticPr fontId="67"/>
  </si>
  <si>
    <t>NC76</t>
    <phoneticPr fontId="11"/>
  </si>
  <si>
    <t>2022.12.26</t>
    <phoneticPr fontId="67"/>
  </si>
  <si>
    <t>NC77/78</t>
    <phoneticPr fontId="11"/>
  </si>
  <si>
    <t>・（※）印事項は記録不要。問題が有り、対処が分からない場合はリーダーに報告する。</t>
    <rPh sb="4" eb="5">
      <t>シルシ</t>
    </rPh>
    <rPh sb="5" eb="7">
      <t>ジコウ</t>
    </rPh>
    <rPh sb="8" eb="10">
      <t>キロク</t>
    </rPh>
    <rPh sb="10" eb="12">
      <t>フヨウ</t>
    </rPh>
    <rPh sb="13" eb="15">
      <t>モンダイ</t>
    </rPh>
    <rPh sb="16" eb="17">
      <t>ア</t>
    </rPh>
    <rPh sb="19" eb="21">
      <t>タイショ</t>
    </rPh>
    <rPh sb="22" eb="23">
      <t>ワ</t>
    </rPh>
    <rPh sb="27" eb="29">
      <t>バアイ</t>
    </rPh>
    <rPh sb="35" eb="37">
      <t>ホウコク</t>
    </rPh>
    <phoneticPr fontId="11"/>
  </si>
  <si>
    <t>NC49</t>
    <phoneticPr fontId="11"/>
  </si>
  <si>
    <t>NC41/50</t>
    <phoneticPr fontId="11"/>
  </si>
  <si>
    <t>・〇は空白の列に記録する</t>
    <rPh sb="3" eb="5">
      <t>クウハク</t>
    </rPh>
    <rPh sb="6" eb="7">
      <t>レツ</t>
    </rPh>
    <rPh sb="8" eb="10">
      <t>キロク</t>
    </rPh>
    <phoneticPr fontId="11"/>
  </si>
  <si>
    <t>NC41</t>
    <phoneticPr fontId="11"/>
  </si>
  <si>
    <t>2024.8.26</t>
    <phoneticPr fontId="67"/>
  </si>
  <si>
    <t>2023.1.20</t>
    <phoneticPr fontId="67"/>
  </si>
  <si>
    <r>
      <t>①②④</t>
    </r>
    <r>
      <rPr>
        <sz val="9"/>
        <rFont val="ＭＳ Ｐゴシック"/>
        <family val="3"/>
        <charset val="128"/>
      </rPr>
      <t>マイクロ</t>
    </r>
    <r>
      <rPr>
        <sz val="12"/>
        <rFont val="ＭＳ Ｐゴシック"/>
        <family val="3"/>
        <charset val="128"/>
      </rPr>
      <t>、③</t>
    </r>
    <r>
      <rPr>
        <sz val="9"/>
        <rFont val="ＭＳ Ｐゴシック"/>
        <family val="3"/>
        <charset val="128"/>
      </rPr>
      <t xml:space="preserve">ノギス
</t>
    </r>
    <r>
      <rPr>
        <sz val="12"/>
        <rFont val="ＭＳ Ｐゴシック"/>
        <family val="3"/>
        <charset val="128"/>
      </rPr>
      <t>㉛</t>
    </r>
    <r>
      <rPr>
        <sz val="9"/>
        <rFont val="ＭＳ Ｐゴシック"/>
        <family val="3"/>
        <charset val="128"/>
      </rPr>
      <t>三次元</t>
    </r>
    <rPh sb="14" eb="17">
      <t>サンジゲン</t>
    </rPh>
    <phoneticPr fontId="11"/>
  </si>
  <si>
    <r>
      <t>②ﾌﾞﾚｰﾄﾞ</t>
    </r>
    <r>
      <rPr>
        <sz val="9"/>
        <color rgb="FFFF0000"/>
        <rFont val="ＭＳ Ｐゴシック"/>
        <family val="3"/>
        <charset val="128"/>
      </rPr>
      <t xml:space="preserve">（根本の軸径）
</t>
    </r>
    <r>
      <rPr>
        <sz val="9"/>
        <rFont val="ＭＳ Ｐゴシック"/>
        <family val="3"/>
        <charset val="128"/>
      </rPr>
      <t>㉜㉝㉞</t>
    </r>
    <rPh sb="8" eb="10">
      <t>ネモト</t>
    </rPh>
    <rPh sb="11" eb="13">
      <t>ジクケイ</t>
    </rPh>
    <phoneticPr fontId="11"/>
  </si>
  <si>
    <r>
      <rPr>
        <sz val="9"/>
        <rFont val="ＭＳ Ｐゴシック"/>
        <family val="3"/>
        <charset val="128"/>
      </rPr>
      <t xml:space="preserve">④マイクロ、⑧エアーマイクロ
</t>
    </r>
    <r>
      <rPr>
        <sz val="12"/>
        <rFont val="ＭＳ Ｐゴシック"/>
        <family val="3"/>
        <charset val="128"/>
      </rPr>
      <t>㊶㊸㊹㊺</t>
    </r>
    <r>
      <rPr>
        <sz val="9"/>
        <rFont val="ＭＳ Ｐゴシック"/>
        <family val="3"/>
        <charset val="128"/>
      </rPr>
      <t>備考参照→</t>
    </r>
    <rPh sb="19" eb="21">
      <t>ビコウ</t>
    </rPh>
    <rPh sb="21" eb="23">
      <t>サンショウ</t>
    </rPh>
    <phoneticPr fontId="11"/>
  </si>
  <si>
    <r>
      <t>※</t>
    </r>
    <r>
      <rPr>
        <sz val="9"/>
        <rFont val="ＭＳ Ｐゴシック"/>
        <family val="3"/>
        <charset val="128"/>
      </rPr>
      <t xml:space="preserve">粗の目が出てい無いか。
</t>
    </r>
    <r>
      <rPr>
        <b/>
        <sz val="9"/>
        <rFont val="ＭＳ Ｐゴシック"/>
        <family val="3"/>
        <charset val="128"/>
      </rPr>
      <t>入口R部に食い込み無いか確認</t>
    </r>
    <rPh sb="1" eb="2">
      <t>アラ</t>
    </rPh>
    <rPh sb="3" eb="4">
      <t>メ</t>
    </rPh>
    <rPh sb="5" eb="6">
      <t>デ</t>
    </rPh>
    <rPh sb="8" eb="9">
      <t>ナ</t>
    </rPh>
    <rPh sb="13" eb="15">
      <t>イリクチ</t>
    </rPh>
    <rPh sb="16" eb="17">
      <t>ブ</t>
    </rPh>
    <rPh sb="18" eb="19">
      <t>ク</t>
    </rPh>
    <rPh sb="20" eb="21">
      <t>コ</t>
    </rPh>
    <rPh sb="22" eb="23">
      <t>ナ</t>
    </rPh>
    <rPh sb="25" eb="27">
      <t>カクニン</t>
    </rPh>
    <phoneticPr fontId="11"/>
  </si>
  <si>
    <r>
      <t>㊾</t>
    </r>
    <r>
      <rPr>
        <b/>
        <sz val="9"/>
        <color rgb="FFFF0000"/>
        <rFont val="ＭＳ Ｐゴシック"/>
        <family val="3"/>
        <charset val="128"/>
      </rPr>
      <t>ノギス　下穴15.00狙い
（全長37.0の場合）</t>
    </r>
    <phoneticPr fontId="11"/>
  </si>
  <si>
    <t>カットして確認。問題ない場合㊻にOKと
記録する。カットサンプルは黄箱に保管。</t>
    <rPh sb="5" eb="7">
      <t>カクニン</t>
    </rPh>
    <rPh sb="8" eb="10">
      <t>モンダイ</t>
    </rPh>
    <rPh sb="12" eb="14">
      <t>バアイ</t>
    </rPh>
    <rPh sb="20" eb="22">
      <t>キロク</t>
    </rPh>
    <rPh sb="33" eb="34">
      <t>キ</t>
    </rPh>
    <rPh sb="34" eb="35">
      <t>バコ</t>
    </rPh>
    <rPh sb="36" eb="38">
      <t>ホカン</t>
    </rPh>
    <phoneticPr fontId="11"/>
  </si>
  <si>
    <r>
      <t>④</t>
    </r>
    <r>
      <rPr>
        <sz val="9"/>
        <rFont val="ＭＳ Ｐゴシック"/>
        <family val="3"/>
        <charset val="128"/>
      </rPr>
      <t>マイクロ</t>
    </r>
    <r>
      <rPr>
        <sz val="12"/>
        <rFont val="ＭＳ Ｐゴシック"/>
        <family val="3"/>
        <charset val="128"/>
      </rPr>
      <t>、⑧</t>
    </r>
    <r>
      <rPr>
        <sz val="9"/>
        <rFont val="ＭＳ Ｐゴシック"/>
        <family val="3"/>
        <charset val="128"/>
      </rPr>
      <t xml:space="preserve">エアーマイクロ
</t>
    </r>
    <r>
      <rPr>
        <sz val="12"/>
        <rFont val="ＭＳ Ｐゴシック"/>
        <family val="3"/>
        <charset val="128"/>
      </rPr>
      <t>㊶㊸㊹㊺</t>
    </r>
    <r>
      <rPr>
        <sz val="9"/>
        <rFont val="ＭＳ Ｐゴシック"/>
        <family val="3"/>
        <charset val="128"/>
      </rPr>
      <t>備考参照→</t>
    </r>
    <rPh sb="19" eb="21">
      <t>ビコウ</t>
    </rPh>
    <rPh sb="21" eb="23">
      <t>サンショウ</t>
    </rPh>
    <phoneticPr fontId="11"/>
  </si>
  <si>
    <t>カットして確認。問題ない場合㊼にOKと
記録する。カットサンプルは黄箱に保管。</t>
    <rPh sb="5" eb="7">
      <t>カクニン</t>
    </rPh>
    <rPh sb="8" eb="10">
      <t>モンダイ</t>
    </rPh>
    <rPh sb="12" eb="14">
      <t>バアイ</t>
    </rPh>
    <rPh sb="20" eb="22">
      <t>キロク</t>
    </rPh>
    <rPh sb="33" eb="34">
      <t>キ</t>
    </rPh>
    <rPh sb="34" eb="35">
      <t>バコ</t>
    </rPh>
    <rPh sb="36" eb="38">
      <t>ホカン</t>
    </rPh>
    <phoneticPr fontId="11"/>
  </si>
  <si>
    <r>
      <t>㊾</t>
    </r>
    <r>
      <rPr>
        <sz val="9"/>
        <rFont val="ＭＳ Ｐゴシック"/>
        <family val="3"/>
        <charset val="128"/>
      </rPr>
      <t>マイクロ　</t>
    </r>
    <r>
      <rPr>
        <b/>
        <sz val="9"/>
        <color rgb="FFFF0000"/>
        <rFont val="ＭＳ Ｐゴシック"/>
        <family val="3"/>
        <charset val="128"/>
      </rPr>
      <t>この刃工具加工で
止めた製品</t>
    </r>
    <r>
      <rPr>
        <sz val="9"/>
        <rFont val="ＭＳ Ｐゴシック"/>
        <family val="3"/>
        <charset val="128"/>
      </rPr>
      <t>のツバ厚寸法
確認を行う。（8.75±0.01）</t>
    </r>
    <phoneticPr fontId="11"/>
  </si>
  <si>
    <t>・ 備考欄の（※）印事項は記録不要。問題が有り、対処が分からない場合はリーダーに報告する。</t>
    <phoneticPr fontId="11"/>
  </si>
  <si>
    <t>2020.2.24</t>
    <phoneticPr fontId="67"/>
  </si>
  <si>
    <t>EZH06025.0CT-135</t>
    <phoneticPr fontId="11"/>
  </si>
  <si>
    <t>EZH05025.0CT-135</t>
    <phoneticPr fontId="11"/>
  </si>
  <si>
    <t>INJECTOR CUP/35Mpa (U2-023IC2215-03)消耗工具品名　</t>
    <rPh sb="36" eb="42">
      <t>ショウモウコウグヒンメイ</t>
    </rPh>
    <phoneticPr fontId="12"/>
  </si>
  <si>
    <t>53リニア　下穴17.90狙い
（全長42.50の場合）</t>
    <phoneticPr fontId="11"/>
  </si>
  <si>
    <t>カットして確認。問題ない場合51にOKと記録する。
カットサンプルは黄箱に保管。</t>
    <rPh sb="5" eb="7">
      <t>カクニン</t>
    </rPh>
    <rPh sb="8" eb="10">
      <t>モンダイ</t>
    </rPh>
    <rPh sb="12" eb="14">
      <t>バアイ</t>
    </rPh>
    <rPh sb="20" eb="22">
      <t>キロク</t>
    </rPh>
    <rPh sb="34" eb="35">
      <t>キ</t>
    </rPh>
    <rPh sb="35" eb="36">
      <t>バコ</t>
    </rPh>
    <rPh sb="37" eb="39">
      <t>ホカン</t>
    </rPh>
    <phoneticPr fontId="11"/>
  </si>
  <si>
    <t>54マイクロ</t>
    <phoneticPr fontId="11"/>
  </si>
  <si>
    <t>ツバ厚8.75、C0.25（ツバ厚8.70時C0.2）</t>
    <rPh sb="2" eb="3">
      <t>アツ</t>
    </rPh>
    <rPh sb="16" eb="17">
      <t>アツ</t>
    </rPh>
    <rPh sb="21" eb="22">
      <t>ジ</t>
    </rPh>
    <phoneticPr fontId="12"/>
  </si>
  <si>
    <t>φ23.13仕上げ</t>
    <rPh sb="6" eb="8">
      <t>シア</t>
    </rPh>
    <phoneticPr fontId="12"/>
  </si>
  <si>
    <t>KGZR1616JX-2JCTM</t>
    <phoneticPr fontId="12"/>
  </si>
  <si>
    <t>NC54（SS327）  工具交換時 工程管理図番号チェック表</t>
    <rPh sb="13" eb="18">
      <t>コウグコウカンジ</t>
    </rPh>
    <rPh sb="19" eb="24">
      <t>コウテイカンリズ</t>
    </rPh>
    <rPh sb="24" eb="26">
      <t>バンゴウ</t>
    </rPh>
    <rPh sb="30" eb="31">
      <t>ヒョウ</t>
    </rPh>
    <phoneticPr fontId="11"/>
  </si>
  <si>
    <t>RVMSUS4120G-2.5D</t>
    <phoneticPr fontId="12"/>
  </si>
  <si>
    <t>NC53、54（SS327）  工具交換時 工程管理図番号チェック表</t>
    <rPh sb="16" eb="21">
      <t>コウグコウカンジ</t>
    </rPh>
    <rPh sb="22" eb="27">
      <t>コウテイカンリズ</t>
    </rPh>
    <rPh sb="27" eb="29">
      <t>バンゴウ</t>
    </rPh>
    <rPh sb="33" eb="34">
      <t>ヒョウ</t>
    </rPh>
    <phoneticPr fontId="11"/>
  </si>
  <si>
    <t>NC41、50　ツガミ（ SS327）   工具交換時 工程管理図番号チェック表</t>
    <rPh sb="22" eb="27">
      <t>コウグコウカンジ</t>
    </rPh>
    <rPh sb="28" eb="33">
      <t>コウテイカンリズ</t>
    </rPh>
    <rPh sb="33" eb="35">
      <t>バンゴウ</t>
    </rPh>
    <rPh sb="39" eb="40">
      <t>ヒョウ</t>
    </rPh>
    <phoneticPr fontId="11"/>
  </si>
  <si>
    <t>⑩ノギス ※目視（C面が適切な大きさである事）</t>
    <phoneticPr fontId="11"/>
  </si>
  <si>
    <t>〇ノギス ⒵13.40狙い（全長の時、19.00）</t>
    <rPh sb="17" eb="18">
      <t>トキ</t>
    </rPh>
    <phoneticPr fontId="11"/>
  </si>
  <si>
    <t>〇ノギス ⒵14.90狙い（全長の時、19.00）</t>
    <rPh sb="17" eb="18">
      <t>トキ</t>
    </rPh>
    <phoneticPr fontId="11"/>
  </si>
  <si>
    <t>センター穴、φ3穴面
スパナ掛け面取り</t>
    <rPh sb="4" eb="5">
      <t>アナ</t>
    </rPh>
    <rPh sb="8" eb="9">
      <t>アナ</t>
    </rPh>
    <rPh sb="9" eb="10">
      <t>メン</t>
    </rPh>
    <rPh sb="14" eb="15">
      <t>ガ</t>
    </rPh>
    <rPh sb="16" eb="18">
      <t>メント</t>
    </rPh>
    <phoneticPr fontId="11"/>
  </si>
  <si>
    <t>⑬ネジゲージ通りとノギス、⑭ネジゲージ
⑭’ボアゲージ</t>
    <rPh sb="6" eb="7">
      <t>トオ</t>
    </rPh>
    <phoneticPr fontId="11"/>
  </si>
  <si>
    <t>⑨㉓ノギス、㊱輪郭形状</t>
    <rPh sb="7" eb="9">
      <t>リンカク</t>
    </rPh>
    <rPh sb="9" eb="11">
      <t>ケイジョウ</t>
    </rPh>
    <phoneticPr fontId="11"/>
  </si>
  <si>
    <t>2025.3.3</t>
    <phoneticPr fontId="11"/>
  </si>
  <si>
    <t>VTGN4-4-07追加</t>
    <rPh sb="10" eb="12">
      <t>ツイカ</t>
    </rPh>
    <phoneticPr fontId="11"/>
  </si>
  <si>
    <t>森島</t>
    <rPh sb="0" eb="2">
      <t>モリシマ</t>
    </rPh>
    <phoneticPr fontId="11"/>
  </si>
  <si>
    <t>石川</t>
    <rPh sb="0" eb="2">
      <t>イシカワ</t>
    </rPh>
    <phoneticPr fontId="11"/>
  </si>
  <si>
    <t>ショートグランド（VTGN4-4-32/VTGN4-4-07）</t>
    <phoneticPr fontId="12"/>
  </si>
  <si>
    <t>ノギス　深さ2.5㎜　㉜に記録する。</t>
    <rPh sb="4" eb="5">
      <t>フカ</t>
    </rPh>
    <rPh sb="13" eb="15">
      <t>キロク</t>
    </rPh>
    <phoneticPr fontId="11"/>
  </si>
  <si>
    <t>DCGT11T302MFP-SKS (PR1535)</t>
    <phoneticPr fontId="11"/>
  </si>
  <si>
    <t>VCGT110302MFP-SKS (PR120S)</t>
    <phoneticPr fontId="11"/>
  </si>
  <si>
    <t>L15.4突切り</t>
    <rPh sb="5" eb="6">
      <t>ツ</t>
    </rPh>
    <rPh sb="6" eb="7">
      <t>キ</t>
    </rPh>
    <phoneticPr fontId="11"/>
  </si>
  <si>
    <t>XD21396SINR7807-08YS</t>
    <phoneticPr fontId="11"/>
  </si>
  <si>
    <t>ビート部荒取り</t>
    <rPh sb="3" eb="4">
      <t>ブ</t>
    </rPh>
    <rPh sb="4" eb="5">
      <t>アラ</t>
    </rPh>
    <rPh sb="5" eb="6">
      <t>ト</t>
    </rPh>
    <phoneticPr fontId="11"/>
  </si>
  <si>
    <r>
      <t>⑦ノギス ⑩ピン</t>
    </r>
    <r>
      <rPr>
        <sz val="11"/>
        <color rgb="FFFF0000"/>
        <rFont val="ＭＳ Ｐゴシック"/>
        <family val="3"/>
        <charset val="128"/>
      </rPr>
      <t>(6.2±0.02を使用)</t>
    </r>
    <rPh sb="18" eb="20">
      <t>シヨウ</t>
    </rPh>
    <phoneticPr fontId="11"/>
  </si>
  <si>
    <r>
      <t>⑦ノギス ⑩ピン</t>
    </r>
    <r>
      <rPr>
        <sz val="11"/>
        <color rgb="FFFF0000"/>
        <rFont val="ＭＳ Ｐゴシック"/>
        <family val="3"/>
        <charset val="128"/>
      </rPr>
      <t>(</t>
    </r>
    <r>
      <rPr>
        <b/>
        <sz val="11"/>
        <color rgb="FFFF0000"/>
        <rFont val="ＭＳ Ｐゴシック"/>
        <family val="3"/>
        <charset val="128"/>
      </rPr>
      <t>6.2±0.02を使用)</t>
    </r>
    <rPh sb="18" eb="20">
      <t>シヨウ</t>
    </rPh>
    <phoneticPr fontId="11"/>
  </si>
  <si>
    <t>貫通先の壁にドリル痕、無き事。
問題ない場合OKと記録する。</t>
    <rPh sb="0" eb="3">
      <t>カンツウサキ</t>
    </rPh>
    <rPh sb="4" eb="5">
      <t>カベ</t>
    </rPh>
    <rPh sb="9" eb="10">
      <t>コン</t>
    </rPh>
    <rPh sb="11" eb="12">
      <t>ナ</t>
    </rPh>
    <rPh sb="13" eb="14">
      <t>コト</t>
    </rPh>
    <rPh sb="16" eb="18">
      <t>モンダイ</t>
    </rPh>
    <rPh sb="20" eb="22">
      <t>バアイ</t>
    </rPh>
    <rPh sb="25" eb="27">
      <t>キロク</t>
    </rPh>
    <phoneticPr fontId="11"/>
  </si>
  <si>
    <t>※目視←完成品φ11.5穴粗さ異常無き事。</t>
    <rPh sb="4" eb="7">
      <t>カンセイヒン</t>
    </rPh>
    <rPh sb="12" eb="13">
      <t>アナ</t>
    </rPh>
    <rPh sb="13" eb="14">
      <t>アラ</t>
    </rPh>
    <rPh sb="15" eb="17">
      <t>イジョウ</t>
    </rPh>
    <rPh sb="17" eb="18">
      <t>ナ</t>
    </rPh>
    <rPh sb="19" eb="20">
      <t>コト</t>
    </rPh>
    <phoneticPr fontId="11"/>
  </si>
  <si>
    <t>2023.6.26</t>
    <phoneticPr fontId="67"/>
  </si>
  <si>
    <t>先端径φ5.0×12L SP-SMC2060CST</t>
    <rPh sb="0" eb="2">
      <t>センタン</t>
    </rPh>
    <rPh sb="2" eb="3">
      <t>ケイ</t>
    </rPh>
    <phoneticPr fontId="11"/>
  </si>
  <si>
    <t>NC49 (B0326-Ⅱ) 工具交換時 工程管理図番号チェック表</t>
    <rPh sb="15" eb="20">
      <t>コウグコウカンジ</t>
    </rPh>
    <rPh sb="21" eb="26">
      <t>コウテイカンリズ</t>
    </rPh>
    <rPh sb="26" eb="28">
      <t>バンゴウ</t>
    </rPh>
    <rPh sb="32" eb="33">
      <t>ヒョウ</t>
    </rPh>
    <phoneticPr fontId="11"/>
  </si>
  <si>
    <t>NC41・42・50 (SS327) 工具交換時 工程管理図番号チェック表</t>
    <rPh sb="19" eb="24">
      <t>コウグコウカンジ</t>
    </rPh>
    <rPh sb="25" eb="30">
      <t>コウテイカンリズ</t>
    </rPh>
    <rPh sb="30" eb="32">
      <t>バンゴウ</t>
    </rPh>
    <rPh sb="36" eb="37">
      <t>ヒョウ</t>
    </rPh>
    <phoneticPr fontId="11"/>
  </si>
  <si>
    <t>DS-GTTL25MET</t>
    <phoneticPr fontId="11"/>
  </si>
  <si>
    <t>⑦⑧⑨⑩㉔</t>
    <phoneticPr fontId="11"/>
  </si>
  <si>
    <t>㊼ﾉｷﾞｽ　全長31.22狙い（±0.03）記録</t>
    <rPh sb="6" eb="8">
      <t>ゼンチョウ</t>
    </rPh>
    <rPh sb="13" eb="14">
      <t>ネラ</t>
    </rPh>
    <rPh sb="22" eb="24">
      <t>キロク</t>
    </rPh>
    <phoneticPr fontId="11"/>
  </si>
  <si>
    <t>EZH05025.0CT-135</t>
    <phoneticPr fontId="12"/>
  </si>
  <si>
    <t>ドリルインサート</t>
    <phoneticPr fontId="12"/>
  </si>
  <si>
    <t>STAWN1140TH(VP15TF)</t>
    <phoneticPr fontId="11"/>
  </si>
  <si>
    <t>小径WSTARインサートドリルホルダ</t>
    <rPh sb="0" eb="2">
      <t>ショウケイ</t>
    </rPh>
    <phoneticPr fontId="12"/>
  </si>
  <si>
    <t>STAWSN1100S16</t>
    <phoneticPr fontId="11"/>
  </si>
  <si>
    <t>φ11.523下穴、深さ17.5</t>
    <rPh sb="7" eb="9">
      <t>シタアナ</t>
    </rPh>
    <rPh sb="10" eb="11">
      <t>フカ</t>
    </rPh>
    <phoneticPr fontId="12"/>
  </si>
  <si>
    <t>φ11.523 穴底140°テーパー深さ17.6</t>
    <rPh sb="8" eb="10">
      <t>アナゾコ</t>
    </rPh>
    <rPh sb="18" eb="19">
      <t>フカ</t>
    </rPh>
    <phoneticPr fontId="12"/>
  </si>
  <si>
    <t>NC81、82、83、86、87、89、90（SS327-Ⅲ）工具交換時 工程管理図番号チェック表</t>
    <rPh sb="31" eb="36">
      <t>コウグコウカンジ</t>
    </rPh>
    <rPh sb="37" eb="42">
      <t>コウテイカンリズ</t>
    </rPh>
    <rPh sb="42" eb="44">
      <t>バンゴウ</t>
    </rPh>
    <rPh sb="48" eb="49">
      <t>ヒョウ</t>
    </rPh>
    <phoneticPr fontId="11"/>
  </si>
  <si>
    <t>2025.9.5</t>
    <phoneticPr fontId="11"/>
  </si>
  <si>
    <t>④マイクロ、⑧エアーマイクロ
㊷㊹㊺㊻㊼㊽備考参照→</t>
    <rPh sb="21" eb="23">
      <t>ビコウ</t>
    </rPh>
    <rPh sb="23" eb="25">
      <t>サンショウ</t>
    </rPh>
    <phoneticPr fontId="11"/>
  </si>
  <si>
    <t>㉜㉝三次元、㊸備考参照→</t>
    <rPh sb="2" eb="5">
      <t>サンジゲン</t>
    </rPh>
    <rPh sb="7" eb="9">
      <t>ビコウ</t>
    </rPh>
    <rPh sb="9" eb="11">
      <t>サンショウ</t>
    </rPh>
    <phoneticPr fontId="11"/>
  </si>
  <si>
    <t>工程管理図書式変更の為、測定番号の見直し</t>
    <rPh sb="0" eb="5">
      <t>コウテイカンリズ</t>
    </rPh>
    <rPh sb="5" eb="7">
      <t>ショシキ</t>
    </rPh>
    <rPh sb="7" eb="9">
      <t>ヘンコウ</t>
    </rPh>
    <rPh sb="10" eb="11">
      <t>タメ</t>
    </rPh>
    <rPh sb="12" eb="16">
      <t>ソクテイバンゴウ</t>
    </rPh>
    <rPh sb="17" eb="19">
      <t>ミナオ</t>
    </rPh>
    <phoneticPr fontId="11"/>
  </si>
  <si>
    <t>橋本</t>
    <rPh sb="0" eb="2">
      <t>ハシモト</t>
    </rPh>
    <phoneticPr fontId="11"/>
  </si>
  <si>
    <t>牧野</t>
    <rPh sb="0" eb="2">
      <t>マキノ</t>
    </rPh>
    <phoneticPr fontId="11"/>
  </si>
  <si>
    <t>㉜㉝三次元、㊸備考参照→</t>
    <rPh sb="2" eb="5">
      <t>サンジゲン</t>
    </rPh>
    <rPh sb="7" eb="9">
      <t>サンショウ</t>
    </rPh>
    <phoneticPr fontId="11"/>
  </si>
  <si>
    <t>53 リニア　下穴17.90狙い
（全長38.50の場合）</t>
    <phoneticPr fontId="11"/>
  </si>
  <si>
    <t>53 マイクロスコープ　参照→</t>
    <rPh sb="12" eb="14">
      <t>サンショウ</t>
    </rPh>
    <phoneticPr fontId="11"/>
  </si>
  <si>
    <r>
      <t xml:space="preserve">53 マイクロ
</t>
    </r>
    <r>
      <rPr>
        <sz val="11"/>
        <color rgb="FFFF0000"/>
        <rFont val="ＭＳ Ｐゴシック"/>
        <family val="3"/>
        <charset val="128"/>
      </rPr>
      <t>この刃工具加工で止めた製品</t>
    </r>
    <r>
      <rPr>
        <sz val="11"/>
        <rFont val="ＭＳ Ｐゴシック"/>
        <family val="3"/>
        <charset val="128"/>
      </rPr>
      <t>の
ツバ厚寸法確認を行う。（8.75±0.01）</t>
    </r>
    <phoneticPr fontId="11"/>
  </si>
  <si>
    <t>カットして確認。問題ない場合、53 にOKと記録する。
カットサンプルは黄箱に保管。</t>
    <rPh sb="5" eb="7">
      <t>カクニン</t>
    </rPh>
    <rPh sb="8" eb="10">
      <t>モンダイ</t>
    </rPh>
    <rPh sb="12" eb="14">
      <t>バアイ</t>
    </rPh>
    <rPh sb="22" eb="24">
      <t>キロク</t>
    </rPh>
    <rPh sb="36" eb="37">
      <t>キ</t>
    </rPh>
    <rPh sb="37" eb="38">
      <t>バコ</t>
    </rPh>
    <rPh sb="39" eb="41">
      <t>ホカン</t>
    </rPh>
    <phoneticPr fontId="11"/>
  </si>
  <si>
    <t>⑭ピン、53 →備考参照。</t>
    <rPh sb="8" eb="10">
      <t>ビコウ</t>
    </rPh>
    <rPh sb="10" eb="12">
      <t>サンショウ</t>
    </rPh>
    <phoneticPr fontId="11"/>
  </si>
  <si>
    <t>53 マイクロ</t>
    <phoneticPr fontId="11"/>
  </si>
  <si>
    <t>カットして確認。問題ない場合 53 にOKと記録する。
カットサンプルは黄箱に保管。</t>
    <rPh sb="5" eb="7">
      <t>カクニン</t>
    </rPh>
    <rPh sb="8" eb="10">
      <t>モンダイ</t>
    </rPh>
    <rPh sb="12" eb="14">
      <t>バアイ</t>
    </rPh>
    <rPh sb="22" eb="24">
      <t>キロク</t>
    </rPh>
    <rPh sb="36" eb="37">
      <t>キ</t>
    </rPh>
    <rPh sb="37" eb="38">
      <t>バコ</t>
    </rPh>
    <rPh sb="39" eb="41">
      <t>ホカン</t>
    </rPh>
    <phoneticPr fontId="11"/>
  </si>
  <si>
    <t>リーマ</t>
    <phoneticPr fontId="11"/>
  </si>
  <si>
    <t>T21</t>
  </si>
  <si>
    <t>φ4.37穴面</t>
    <rPh sb="5" eb="6">
      <t>アナ</t>
    </rPh>
    <rPh sb="6" eb="7">
      <t>メン</t>
    </rPh>
    <phoneticPr fontId="11"/>
  </si>
  <si>
    <t>EZBR040040HP-015F(PR1725)</t>
    <phoneticPr fontId="11"/>
  </si>
  <si>
    <t>CSUSR-A4.37</t>
    <phoneticPr fontId="11"/>
  </si>
  <si>
    <t>ビート部荒取り</t>
    <rPh sb="3" eb="6">
      <t>ブアラド</t>
    </rPh>
    <phoneticPr fontId="11"/>
  </si>
  <si>
    <t>EZBR040040HP-015H(PR1725)</t>
    <phoneticPr fontId="11"/>
  </si>
  <si>
    <t>超硬ステンレス用リーマ</t>
    <rPh sb="0" eb="2">
      <t>チョウコウ</t>
    </rPh>
    <rPh sb="7" eb="8">
      <t>ヨウ</t>
    </rPh>
    <phoneticPr fontId="11"/>
  </si>
  <si>
    <t>φ4.37穴仕上げ</t>
    <rPh sb="5" eb="6">
      <t>アナ</t>
    </rPh>
    <rPh sb="6" eb="8">
      <t>シア</t>
    </rPh>
    <phoneticPr fontId="11"/>
  </si>
  <si>
    <t>㉜㊻三次元 ㊷備考参照→</t>
    <rPh sb="2" eb="5">
      <t>サンジゲン</t>
    </rPh>
    <rPh sb="7" eb="9">
      <t>ビコウ</t>
    </rPh>
    <rPh sb="9" eb="11">
      <t>サンショウ</t>
    </rPh>
    <phoneticPr fontId="11"/>
  </si>
  <si>
    <r>
      <t>②ブレード (</t>
    </r>
    <r>
      <rPr>
        <sz val="11"/>
        <color rgb="FFFF0000"/>
        <rFont val="ＭＳ Ｐゴシック"/>
        <family val="3"/>
        <charset val="128"/>
      </rPr>
      <t>根元の軸径)</t>
    </r>
    <r>
      <rPr>
        <sz val="11"/>
        <rFont val="ＭＳ Ｐゴシック"/>
        <family val="3"/>
        <charset val="128"/>
      </rPr>
      <t xml:space="preserve"> ㊸形状</t>
    </r>
    <rPh sb="7" eb="9">
      <t>ネモト</t>
    </rPh>
    <rPh sb="10" eb="11">
      <t>ジク</t>
    </rPh>
    <rPh sb="11" eb="12">
      <t>ケイ</t>
    </rPh>
    <rPh sb="15" eb="17">
      <t>ケイジョウ</t>
    </rPh>
    <phoneticPr fontId="11"/>
  </si>
  <si>
    <t>④マイクロ ⑨エアーマイクロ
㊱㊲㊳㊴㊵㊶備考参照→</t>
    <phoneticPr fontId="11"/>
  </si>
  <si>
    <t>⑤ピン ⑥リニア ㊼三次元</t>
    <rPh sb="10" eb="13">
      <t>サンジゲン</t>
    </rPh>
    <phoneticPr fontId="11"/>
  </si>
  <si>
    <t>㊿目視（刻印の確認。記録はOKとする）</t>
    <rPh sb="1" eb="3">
      <t>モクシ</t>
    </rPh>
    <rPh sb="4" eb="6">
      <t>コクイン</t>
    </rPh>
    <rPh sb="7" eb="9">
      <t>カクニン</t>
    </rPh>
    <rPh sb="10" eb="12">
      <t>キロク</t>
    </rPh>
    <phoneticPr fontId="11"/>
  </si>
  <si>
    <t>㊿リニア 下穴17.90狙い
（全長39.7の場合）</t>
    <phoneticPr fontId="11"/>
  </si>
  <si>
    <t>51 リニア 下穴19.40狙い
（全長39.70の場合）</t>
    <rPh sb="7" eb="9">
      <t>シタアナ</t>
    </rPh>
    <rPh sb="14" eb="15">
      <t>ネラシタアナネラナイケイネラ</t>
    </rPh>
    <phoneticPr fontId="11"/>
  </si>
  <si>
    <t>52 マイクロ  この刃工具加工で止めた製品のツバ厚寸法確認を行う。
(8.75±0.01)</t>
    <rPh sb="20" eb="22">
      <t>セイヒン</t>
    </rPh>
    <phoneticPr fontId="11"/>
  </si>
  <si>
    <r>
      <t>②ブレード</t>
    </r>
    <r>
      <rPr>
        <sz val="11"/>
        <color rgb="FFFF0000"/>
        <rFont val="ＭＳ Ｐゴシック"/>
        <family val="3"/>
        <charset val="128"/>
      </rPr>
      <t xml:space="preserve">（根元の軸径) </t>
    </r>
    <r>
      <rPr>
        <sz val="11"/>
        <rFont val="ＭＳ Ｐゴシック"/>
        <family val="3"/>
        <charset val="128"/>
      </rPr>
      <t>㊸形状</t>
    </r>
    <rPh sb="6" eb="8">
      <t>ネモト</t>
    </rPh>
    <rPh sb="9" eb="10">
      <t>ジク</t>
    </rPh>
    <rPh sb="10" eb="11">
      <t>ケイ</t>
    </rPh>
    <rPh sb="14" eb="16">
      <t>ケイジョウ</t>
    </rPh>
    <phoneticPr fontId="11"/>
  </si>
  <si>
    <t>㊿リニア 下穴17.90狙い
（全長39.70の場合）</t>
    <phoneticPr fontId="11"/>
  </si>
  <si>
    <t>51 リニア 下穴19.40狙い 
（全長39.70の場合）</t>
    <rPh sb="7" eb="9">
      <t>シタアナ</t>
    </rPh>
    <rPh sb="14" eb="15">
      <t>ネラシタアナネラナイケイネラ</t>
    </rPh>
    <phoneticPr fontId="11"/>
  </si>
  <si>
    <t>52 マイクロ　この刃工具加工で止めた製品のツバ厚寸法確認を行う。
（8.75±0.01）</t>
    <rPh sb="19" eb="21">
      <t>セイヒン</t>
    </rPh>
    <phoneticPr fontId="11"/>
  </si>
  <si>
    <t>52 マイクロ  この刃工具加工で止めた製品のツバ厚寸法確認を行う。
（8.75±0.01）</t>
    <rPh sb="20" eb="22">
      <t>セイヒン</t>
    </rPh>
    <phoneticPr fontId="11"/>
  </si>
  <si>
    <r>
      <t xml:space="preserve">②ブレード </t>
    </r>
    <r>
      <rPr>
        <sz val="11"/>
        <color rgb="FFFF0000"/>
        <rFont val="ＭＳ Ｐゴシック"/>
        <family val="3"/>
        <charset val="128"/>
      </rPr>
      <t xml:space="preserve">(根元の軸径) </t>
    </r>
    <r>
      <rPr>
        <sz val="11"/>
        <rFont val="ＭＳ Ｐゴシック"/>
        <family val="3"/>
        <charset val="128"/>
      </rPr>
      <t>㊸形状</t>
    </r>
    <rPh sb="7" eb="9">
      <t>ネモト</t>
    </rPh>
    <rPh sb="10" eb="11">
      <t>ジク</t>
    </rPh>
    <rPh sb="11" eb="12">
      <t>ケイ</t>
    </rPh>
    <rPh sb="15" eb="17">
      <t>ケイジョウ</t>
    </rPh>
    <phoneticPr fontId="11"/>
  </si>
  <si>
    <t>INJECTOR CUP/Mpa35 (U2-023IC2215-03)消耗工具品名　</t>
    <rPh sb="36" eb="42">
      <t>ショウモウコウグヒンメイ</t>
    </rPh>
    <phoneticPr fontId="12"/>
  </si>
  <si>
    <t>EPGT040104F-JS(SH7025)</t>
    <phoneticPr fontId="11"/>
  </si>
  <si>
    <t>NC-84、85 、92（SS327-Ⅲ）工具交換時 工程管理図番号チェック表</t>
    <rPh sb="21" eb="26">
      <t>コウグコウカンジ</t>
    </rPh>
    <rPh sb="27" eb="32">
      <t>コウテイカンリズ</t>
    </rPh>
    <rPh sb="32" eb="34">
      <t>バンゴウ</t>
    </rPh>
    <rPh sb="38" eb="39">
      <t>ヒョウ</t>
    </rPh>
    <phoneticPr fontId="11"/>
  </si>
  <si>
    <t>NC-91（SS327-Ⅲ）工具交換時 工程管理図番号チェック表</t>
    <rPh sb="14" eb="19">
      <t>コウグコウカンジ</t>
    </rPh>
    <rPh sb="20" eb="25">
      <t>コウテイカンリズ</t>
    </rPh>
    <rPh sb="25" eb="27">
      <t>バンゴウ</t>
    </rPh>
    <rPh sb="31" eb="32">
      <t>ヒョウ</t>
    </rPh>
    <phoneticPr fontId="11"/>
  </si>
  <si>
    <t>NC-76、77、78 （BO326-Ⅲ）工具交換時 工程管理図番号チェック表</t>
    <rPh sb="21" eb="26">
      <t>コウグコウカンジ</t>
    </rPh>
    <rPh sb="27" eb="32">
      <t>コウテイカンリズ</t>
    </rPh>
    <rPh sb="32" eb="34">
      <t>バンゴウ</t>
    </rPh>
    <rPh sb="38" eb="39">
      <t>ヒョウ</t>
    </rPh>
    <phoneticPr fontId="11"/>
  </si>
  <si>
    <t>JOINT(224A00378700)消耗工具品名　</t>
    <rPh sb="19" eb="25">
      <t>ショウモウコウグヒンメイ</t>
    </rPh>
    <phoneticPr fontId="12"/>
  </si>
  <si>
    <t>ツガミ B0326-Ⅱ/工具交換時 工程管理図番号チェック表</t>
    <rPh sb="12" eb="17">
      <t>コウグコウカンジ</t>
    </rPh>
    <rPh sb="18" eb="23">
      <t>コウテイカンリズ</t>
    </rPh>
    <rPh sb="23" eb="25">
      <t>バンゴウ</t>
    </rPh>
    <rPh sb="29" eb="30">
      <t>ヒョウ</t>
    </rPh>
    <phoneticPr fontId="11"/>
  </si>
  <si>
    <t>AQRVDBL4D0350</t>
  </si>
  <si>
    <t>VQ4WBR0100N06E280</t>
    <phoneticPr fontId="11"/>
  </si>
  <si>
    <t>AE-VMSS4(8556440)</t>
    <phoneticPr fontId="11"/>
  </si>
  <si>
    <t>住友電工</t>
    <rPh sb="0" eb="4">
      <t>スミトモデンコウ</t>
    </rPh>
    <phoneticPr fontId="12"/>
  </si>
  <si>
    <t>CCGT09T304MN-FC(T1500A)</t>
    <phoneticPr fontId="12"/>
  </si>
  <si>
    <t>溝入れチップ</t>
    <rPh sb="0" eb="2">
      <t>ミゾイ</t>
    </rPh>
    <phoneticPr fontId="11"/>
  </si>
  <si>
    <t>GC10R200-100R(PR1725)</t>
    <phoneticPr fontId="11"/>
  </si>
  <si>
    <t>SIGCR1008-WH-L85</t>
    <phoneticPr fontId="11"/>
  </si>
  <si>
    <t>GC10R250-020(PR1725)</t>
    <phoneticPr fontId="11"/>
  </si>
  <si>
    <t>CCGT060204MN-FC(T1500A)</t>
    <phoneticPr fontId="12"/>
  </si>
  <si>
    <t>2025.12.8</t>
    <phoneticPr fontId="67"/>
  </si>
  <si>
    <t>石川</t>
    <rPh sb="0" eb="2">
      <t>イシカワ</t>
    </rPh>
    <phoneticPr fontId="21"/>
  </si>
  <si>
    <t>森島</t>
    <rPh sb="0" eb="2">
      <t>モリシマ</t>
    </rPh>
    <phoneticPr fontId="21"/>
  </si>
  <si>
    <t>φ3.5穴</t>
    <rPh sb="4" eb="5">
      <t>アナ</t>
    </rPh>
    <phoneticPr fontId="11"/>
  </si>
  <si>
    <t>交差穴バリ取り</t>
    <rPh sb="0" eb="3">
      <t>コウサアナ</t>
    </rPh>
    <rPh sb="5" eb="6">
      <t>ト</t>
    </rPh>
    <phoneticPr fontId="11"/>
  </si>
  <si>
    <t>φ4.65、φ4.74、φ5.5、φ6.31穴拡大</t>
    <rPh sb="22" eb="23">
      <t>アナ</t>
    </rPh>
    <rPh sb="23" eb="25">
      <t>カクダイ</t>
    </rPh>
    <phoneticPr fontId="11"/>
  </si>
  <si>
    <t>内径溝仕上げ</t>
    <rPh sb="0" eb="2">
      <t>ナイケイ</t>
    </rPh>
    <rPh sb="2" eb="3">
      <t>ミゾ</t>
    </rPh>
    <rPh sb="3" eb="5">
      <t>シア</t>
    </rPh>
    <phoneticPr fontId="12"/>
  </si>
  <si>
    <t>内径溝荒取り</t>
    <rPh sb="0" eb="2">
      <t>ナイケイ</t>
    </rPh>
    <rPh sb="2" eb="3">
      <t>ミゾ</t>
    </rPh>
    <rPh sb="3" eb="4">
      <t>アラ</t>
    </rPh>
    <rPh sb="4" eb="5">
      <t>ド</t>
    </rPh>
    <phoneticPr fontId="12"/>
  </si>
  <si>
    <t>端面、R2仕上げ</t>
    <rPh sb="0" eb="2">
      <t>タンメン</t>
    </rPh>
    <rPh sb="5" eb="7">
      <t>シア</t>
    </rPh>
    <phoneticPr fontId="12"/>
  </si>
  <si>
    <t>φ12.32内径仕上げ</t>
    <rPh sb="6" eb="8">
      <t>ナイケイ</t>
    </rPh>
    <rPh sb="8" eb="10">
      <t>シア</t>
    </rPh>
    <phoneticPr fontId="12"/>
  </si>
  <si>
    <t>φ12.32下穴</t>
    <rPh sb="6" eb="7">
      <t>シタ</t>
    </rPh>
    <rPh sb="7" eb="8">
      <t>アナ</t>
    </rPh>
    <phoneticPr fontId="12"/>
  </si>
  <si>
    <t>新規/○</t>
    <rPh sb="0" eb="2">
      <t>シンキ</t>
    </rPh>
    <phoneticPr fontId="11"/>
  </si>
  <si>
    <t>・備考欄の（※）印事項は記録不要。問題が有り、対処が分からない場合は所属長に報告する。</t>
    <rPh sb="1" eb="4">
      <t>ビコウラン</t>
    </rPh>
    <rPh sb="8" eb="9">
      <t>シルシ</t>
    </rPh>
    <rPh sb="9" eb="11">
      <t>ジコウ</t>
    </rPh>
    <rPh sb="12" eb="14">
      <t>キロク</t>
    </rPh>
    <rPh sb="14" eb="16">
      <t>フヨウ</t>
    </rPh>
    <rPh sb="17" eb="19">
      <t>モンダイ</t>
    </rPh>
    <rPh sb="20" eb="21">
      <t>ア</t>
    </rPh>
    <rPh sb="23" eb="25">
      <t>タイショ</t>
    </rPh>
    <rPh sb="26" eb="27">
      <t>ワ</t>
    </rPh>
    <rPh sb="31" eb="33">
      <t>バアイ</t>
    </rPh>
    <rPh sb="34" eb="37">
      <t>ショゾクチョウ</t>
    </rPh>
    <rPh sb="38" eb="40">
      <t>ホウコク</t>
    </rPh>
    <phoneticPr fontId="11"/>
  </si>
  <si>
    <t>JOINT(224A00345200)消耗工具品名　</t>
    <rPh sb="19" eb="25">
      <t>ショウモウコウグヒンメイ</t>
    </rPh>
    <phoneticPr fontId="12"/>
  </si>
  <si>
    <t>DCMT11T308N-LU(AC6030M)</t>
    <phoneticPr fontId="11"/>
  </si>
  <si>
    <t>CONNECTOR(428A00468302)消耗工具品名　</t>
    <rPh sb="23" eb="29">
      <t>ショウモウコウグヒンメイ</t>
    </rPh>
    <phoneticPr fontId="12"/>
  </si>
  <si>
    <t>ツガミ B0325-Ⅱ/工具交換時 工程管理図番号チェック表</t>
    <rPh sb="12" eb="17">
      <t>コウグコウカンジ</t>
    </rPh>
    <rPh sb="18" eb="23">
      <t>コウテイカンリズ</t>
    </rPh>
    <rPh sb="23" eb="25">
      <t>バンゴウ</t>
    </rPh>
    <rPh sb="29" eb="30">
      <t>ヒョウ</t>
    </rPh>
    <phoneticPr fontId="11"/>
  </si>
  <si>
    <t>90SPC2.0×6CBSALD</t>
    <phoneticPr fontId="12"/>
  </si>
  <si>
    <t>WXL-EMS4(3130540)</t>
    <phoneticPr fontId="11"/>
  </si>
  <si>
    <t>VAPDSD0815</t>
    <phoneticPr fontId="21"/>
  </si>
  <si>
    <t>SS400フリープレート(WEB掲載品)</t>
    <rPh sb="16" eb="19">
      <t>ケイサイヒン</t>
    </rPh>
    <phoneticPr fontId="11"/>
  </si>
  <si>
    <t>SS400-4F2RG-BSA-NNS-100-12-4</t>
    <phoneticPr fontId="21"/>
  </si>
  <si>
    <t>CCGT09T304MCL(QM3)</t>
    <phoneticPr fontId="11"/>
  </si>
  <si>
    <t>SCLCR1616JX-09FF</t>
    <phoneticPr fontId="11"/>
  </si>
  <si>
    <t>溝入れチップ</t>
    <rPh sb="0" eb="2">
      <t>ミゾイ</t>
    </rPh>
    <phoneticPr fontId="12"/>
  </si>
  <si>
    <t>TCL-250-020(AH725)</t>
    <phoneticPr fontId="12"/>
  </si>
  <si>
    <t>AQRVDBL4D0500</t>
    <phoneticPr fontId="21"/>
  </si>
  <si>
    <t>TAC-CTDA3</t>
    <phoneticPr fontId="12"/>
  </si>
  <si>
    <t>センター穴、φ5穴面</t>
    <rPh sb="4" eb="5">
      <t>アナ</t>
    </rPh>
    <rPh sb="8" eb="10">
      <t>アナメン</t>
    </rPh>
    <phoneticPr fontId="12"/>
  </si>
  <si>
    <t>φ7.075外径仕上げ</t>
    <rPh sb="6" eb="8">
      <t>ガイケイ</t>
    </rPh>
    <rPh sb="8" eb="10">
      <t>シア</t>
    </rPh>
    <phoneticPr fontId="11"/>
  </si>
  <si>
    <t>外周部バリ取り</t>
    <rPh sb="0" eb="3">
      <t>ガイシュウブ</t>
    </rPh>
    <rPh sb="5" eb="6">
      <t>ト</t>
    </rPh>
    <phoneticPr fontId="11"/>
  </si>
  <si>
    <t>φ8.15穴</t>
    <rPh sb="5" eb="6">
      <t>アナ</t>
    </rPh>
    <phoneticPr fontId="11"/>
  </si>
  <si>
    <t>φ8端面仕上げ</t>
    <rPh sb="2" eb="4">
      <t>タンメン</t>
    </rPh>
    <rPh sb="4" eb="6">
      <t>シア</t>
    </rPh>
    <phoneticPr fontId="12"/>
  </si>
  <si>
    <t>CCGT09T304MCL(QM3)</t>
    <phoneticPr fontId="12"/>
  </si>
  <si>
    <t>φ8部C面</t>
    <rPh sb="2" eb="3">
      <t>ブ</t>
    </rPh>
    <rPh sb="4" eb="5">
      <t>メン</t>
    </rPh>
    <phoneticPr fontId="12"/>
  </si>
  <si>
    <t>2025.12.17</t>
    <phoneticPr fontId="67"/>
  </si>
  <si>
    <t>バリレスドリル</t>
    <phoneticPr fontId="12"/>
  </si>
  <si>
    <t>NC47, 48   工具交換時 工程管理図番号チェック表 (B0266-Ⅱ)</t>
    <rPh sb="11" eb="16">
      <t>コウグコウカンジ</t>
    </rPh>
    <rPh sb="17" eb="22">
      <t>コウテイカンリズ</t>
    </rPh>
    <rPh sb="22" eb="24">
      <t>バンゴウ</t>
    </rPh>
    <rPh sb="28" eb="29">
      <t>ヒョウ</t>
    </rPh>
    <phoneticPr fontId="11"/>
  </si>
  <si>
    <t>NC41 工具交換時 工程管理図番号チェック表 (SS327)</t>
    <rPh sb="5" eb="10">
      <t>コウグコウカンジ</t>
    </rPh>
    <rPh sb="11" eb="16">
      <t>コウテイカンリズ</t>
    </rPh>
    <rPh sb="16" eb="18">
      <t>バンゴウ</t>
    </rPh>
    <rPh sb="22" eb="23">
      <t>ヒョウ</t>
    </rPh>
    <phoneticPr fontId="11"/>
  </si>
  <si>
    <t>NC41/47/48</t>
    <phoneticPr fontId="11"/>
  </si>
  <si>
    <r>
      <t xml:space="preserve">※140°肩に段差無き事。
</t>
    </r>
    <r>
      <rPr>
        <sz val="11"/>
        <color rgb="FFFF0000"/>
        <rFont val="ＭＳ Ｐゴシック"/>
        <family val="3"/>
        <charset val="128"/>
      </rPr>
      <t>※ピンゲージは（狙い用）で確認</t>
    </r>
    <rPh sb="5" eb="6">
      <t>カタ</t>
    </rPh>
    <rPh sb="7" eb="9">
      <t>ダンサ</t>
    </rPh>
    <rPh sb="9" eb="10">
      <t>ナ</t>
    </rPh>
    <rPh sb="11" eb="12">
      <t>コト</t>
    </rPh>
    <phoneticPr fontId="11"/>
  </si>
  <si>
    <t>⑦オフセットノギス（1.0±0.02）
㊴ブレード</t>
    <phoneticPr fontId="11"/>
  </si>
  <si>
    <t>㊷メイン加工完了品にて、
ツバ厚4.15±0.02、軸径14.05±0.02</t>
    <rPh sb="4" eb="6">
      <t>カコウ</t>
    </rPh>
    <rPh sb="6" eb="9">
      <t>カンリョウヒン</t>
    </rPh>
    <rPh sb="15" eb="16">
      <t>アツ</t>
    </rPh>
    <rPh sb="26" eb="27">
      <t>ジク</t>
    </rPh>
    <rPh sb="27" eb="28">
      <t>ケイ</t>
    </rPh>
    <phoneticPr fontId="11"/>
  </si>
  <si>
    <t>㊷マイクロ（ネジ外径）
ノギス（T35加工後の全長）</t>
    <rPh sb="8" eb="10">
      <t>ガイケイ</t>
    </rPh>
    <rPh sb="19" eb="22">
      <t>カコウゴ</t>
    </rPh>
    <rPh sb="23" eb="25">
      <t>ゼンチョウ</t>
    </rPh>
    <phoneticPr fontId="11"/>
  </si>
  <si>
    <r>
      <t>㊷ノギス 
（玉測定</t>
    </r>
    <r>
      <rPr>
        <sz val="10"/>
        <color rgb="FFFF0000"/>
        <rFont val="ＭＳ Ｐゴシック"/>
        <family val="3"/>
        <charset val="128"/>
      </rPr>
      <t>完成品全長を0として、5.74±0.01</t>
    </r>
    <r>
      <rPr>
        <sz val="10"/>
        <rFont val="ＭＳ Ｐゴシック"/>
        <family val="3"/>
        <charset val="128"/>
      </rPr>
      <t>）　</t>
    </r>
    <rPh sb="10" eb="13">
      <t>カンセイヒン</t>
    </rPh>
    <rPh sb="13" eb="15">
      <t>ゼンチョウ</t>
    </rPh>
    <phoneticPr fontId="11"/>
  </si>
  <si>
    <r>
      <t>※目視←粗さ問題無き事。
又、</t>
    </r>
    <r>
      <rPr>
        <sz val="12"/>
        <color rgb="FFFF0000"/>
        <rFont val="ＭＳ Ｐゴシック"/>
        <family val="3"/>
        <charset val="128"/>
      </rPr>
      <t>竹串でも確認する。</t>
    </r>
    <phoneticPr fontId="11"/>
  </si>
  <si>
    <t>センター穴、外周部面取り</t>
    <rPh sb="4" eb="5">
      <t>アナ</t>
    </rPh>
    <rPh sb="6" eb="9">
      <t>ガイシュウブ</t>
    </rPh>
    <rPh sb="9" eb="11">
      <t>メント</t>
    </rPh>
    <phoneticPr fontId="11"/>
  </si>
  <si>
    <t>DMC190(AH9130)</t>
    <phoneticPr fontId="11"/>
  </si>
  <si>
    <t>STAWSS1200S16</t>
    <phoneticPr fontId="11"/>
  </si>
  <si>
    <t>インサート</t>
    <phoneticPr fontId="12"/>
  </si>
  <si>
    <t>STAWN1200TH(VP15TF)</t>
    <phoneticPr fontId="12"/>
  </si>
  <si>
    <r>
      <t xml:space="preserve">⑨画像
</t>
    </r>
    <r>
      <rPr>
        <sz val="12"/>
        <color rgb="FFFF0000"/>
        <rFont val="ＭＳ Ｐゴシック"/>
        <family val="3"/>
        <charset val="128"/>
      </rPr>
      <t>㉝コントレーサー　下穴深さ　9.87±0.02
ピンゲージ通りφ9.07、　止まりφ9.08</t>
    </r>
    <rPh sb="1" eb="3">
      <t>ガゾウ</t>
    </rPh>
    <rPh sb="13" eb="15">
      <t>シタアナ</t>
    </rPh>
    <rPh sb="15" eb="16">
      <t>フカ</t>
    </rPh>
    <rPh sb="33" eb="34">
      <t>トオ</t>
    </rPh>
    <rPh sb="42" eb="43">
      <t>ト</t>
    </rPh>
    <phoneticPr fontId="11"/>
  </si>
  <si>
    <t>2026.2.17</t>
    <phoneticPr fontId="11"/>
  </si>
  <si>
    <t>T21、T24、T25レイアウト、工具変更</t>
    <rPh sb="17" eb="19">
      <t>コウグ</t>
    </rPh>
    <rPh sb="19" eb="21">
      <t>ヘンコウ</t>
    </rPh>
    <phoneticPr fontId="11"/>
  </si>
  <si>
    <r>
      <t>⑩ピン（完成品でチェック）</t>
    </r>
    <r>
      <rPr>
        <sz val="12"/>
        <color rgb="FFFF0000"/>
        <rFont val="ＭＳ Ｐゴシック"/>
        <family val="3"/>
        <charset val="128"/>
      </rPr>
      <t>㉝リニア深さ13.93</t>
    </r>
    <rPh sb="17" eb="18">
      <t>フカ</t>
    </rPh>
    <phoneticPr fontId="11"/>
  </si>
  <si>
    <t>㉝MAIN側深さ数値記録</t>
  </si>
  <si>
    <t>㉝リニア　数値を記録 深さ6.47</t>
    <rPh sb="5" eb="7">
      <t>スウチ</t>
    </rPh>
    <rPh sb="8" eb="10">
      <t>キロク</t>
    </rPh>
    <rPh sb="11" eb="12">
      <t>フカ</t>
    </rPh>
    <phoneticPr fontId="11"/>
  </si>
  <si>
    <t>※R12.05削り残り跡注意 深さ6.34</t>
    <rPh sb="15" eb="16">
      <t>フカ</t>
    </rPh>
    <phoneticPr fontId="11"/>
  </si>
  <si>
    <t>※R12.05削り残り跡注意 深さ3.81</t>
    <rPh sb="15" eb="16">
      <t>フカ</t>
    </rPh>
    <phoneticPr fontId="11"/>
  </si>
  <si>
    <t>CCMT09T304-LP(NX2525)</t>
    <phoneticPr fontId="12"/>
  </si>
  <si>
    <t>⑩ピン、⑪リニア、51</t>
    <phoneticPr fontId="11"/>
  </si>
  <si>
    <t>⑨ピン、⑫リニア、㊿</t>
    <phoneticPr fontId="11"/>
  </si>
  <si>
    <t>穴深さ測定時、専用治具使用</t>
    <rPh sb="0" eb="2">
      <t>アナフカ</t>
    </rPh>
    <rPh sb="3" eb="6">
      <t>ソクテイジ</t>
    </rPh>
    <rPh sb="7" eb="11">
      <t>センヨウジグ</t>
    </rPh>
    <rPh sb="11" eb="13">
      <t>シヨウ</t>
    </rPh>
    <phoneticPr fontId="11"/>
  </si>
  <si>
    <t>⑩ピン、⑪リニア、㊽</t>
    <phoneticPr fontId="11"/>
  </si>
  <si>
    <t>⑨ピン、⑫リニア、㊼</t>
    <phoneticPr fontId="11"/>
  </si>
  <si>
    <t>AQRVDSL0320</t>
    <phoneticPr fontId="12"/>
  </si>
  <si>
    <t>KDA0420X03S060N</t>
    <phoneticPr fontId="11"/>
  </si>
  <si>
    <t>INJECTOR CUP/MY28 AP3 (U2-019IC2948-00)消耗工具品名　</t>
    <rPh sb="39" eb="45">
      <t>ショウモウコウグヒンメイ</t>
    </rPh>
    <phoneticPr fontId="12"/>
  </si>
  <si>
    <t>2026.5.11</t>
    <phoneticPr fontId="67"/>
  </si>
  <si>
    <r>
      <t>⑭ピン、</t>
    </r>
    <r>
      <rPr>
        <sz val="9"/>
        <rFont val="ＭＳ Ｐゴシック"/>
        <family val="3"/>
        <charset val="128"/>
      </rPr>
      <t>52</t>
    </r>
    <r>
      <rPr>
        <sz val="12"/>
        <rFont val="ＭＳ Ｐゴシック"/>
        <family val="3"/>
        <charset val="128"/>
      </rPr>
      <t>→備考参照。</t>
    </r>
    <rPh sb="7" eb="9">
      <t>ビコウ</t>
    </rPh>
    <rPh sb="9" eb="11">
      <t>サンショウ</t>
    </rPh>
    <phoneticPr fontId="11"/>
  </si>
  <si>
    <r>
      <rPr>
        <sz val="9"/>
        <color rgb="FFFF0000"/>
        <rFont val="ＭＳ Ｐゴシック"/>
        <family val="3"/>
        <charset val="128"/>
      </rPr>
      <t>52</t>
    </r>
    <r>
      <rPr>
        <sz val="12"/>
        <color rgb="FFFF0000"/>
        <rFont val="ＭＳ Ｐゴシック"/>
        <family val="3"/>
        <charset val="128"/>
      </rPr>
      <t>マイクロスコープ　参照→</t>
    </r>
    <rPh sb="11" eb="13">
      <t>サンショウ</t>
    </rPh>
    <phoneticPr fontId="11"/>
  </si>
  <si>
    <t>カットして確認。問題ない場合、52にOKと記録する。
カットサンプルは黄箱に保管。</t>
    <rPh sb="5" eb="7">
      <t>カクニン</t>
    </rPh>
    <rPh sb="8" eb="10">
      <t>モンダイ</t>
    </rPh>
    <rPh sb="12" eb="14">
      <t>バアイ</t>
    </rPh>
    <rPh sb="21" eb="23">
      <t>キロク</t>
    </rPh>
    <rPh sb="35" eb="36">
      <t>キ</t>
    </rPh>
    <rPh sb="36" eb="37">
      <t>バコ</t>
    </rPh>
    <rPh sb="38" eb="40">
      <t>ホカン</t>
    </rPh>
    <phoneticPr fontId="11"/>
  </si>
  <si>
    <r>
      <rPr>
        <sz val="9"/>
        <rFont val="ＭＳ Ｐゴシック"/>
        <family val="3"/>
        <charset val="128"/>
      </rPr>
      <t>53</t>
    </r>
    <r>
      <rPr>
        <sz val="11"/>
        <rFont val="ＭＳ Ｐゴシック"/>
        <family val="3"/>
        <charset val="128"/>
      </rPr>
      <t xml:space="preserve">マイクロ
</t>
    </r>
    <r>
      <rPr>
        <sz val="11"/>
        <color rgb="FFFF0000"/>
        <rFont val="ＭＳ Ｐゴシック"/>
        <family val="3"/>
        <charset val="128"/>
      </rPr>
      <t>この刃工具加工で止めた製品</t>
    </r>
    <r>
      <rPr>
        <sz val="11"/>
        <rFont val="ＭＳ Ｐゴシック"/>
        <family val="3"/>
        <charset val="128"/>
      </rPr>
      <t>の
ツバ厚寸法確認を行う。（8.75±0.01）</t>
    </r>
    <phoneticPr fontId="11"/>
  </si>
  <si>
    <r>
      <t>⑩ピン、⑪リニア、</t>
    </r>
    <r>
      <rPr>
        <sz val="9"/>
        <rFont val="ＭＳ Ｐゴシック"/>
        <family val="3"/>
        <charset val="128"/>
      </rPr>
      <t>51</t>
    </r>
    <phoneticPr fontId="11"/>
  </si>
  <si>
    <t>⑨ピン、⑫ノギス、㊾</t>
    <phoneticPr fontId="11"/>
  </si>
  <si>
    <r>
      <rPr>
        <sz val="9"/>
        <color rgb="FFFF0000"/>
        <rFont val="ＭＳ Ｐゴシック"/>
        <family val="3"/>
        <charset val="128"/>
      </rPr>
      <t>53</t>
    </r>
    <r>
      <rPr>
        <sz val="12"/>
        <color rgb="FFFF0000"/>
        <rFont val="ＭＳ Ｐゴシック"/>
        <family val="3"/>
        <charset val="128"/>
      </rPr>
      <t>リニア　下穴17.50狙い
（全長38.50の場合）</t>
    </r>
    <phoneticPr fontId="11"/>
  </si>
  <si>
    <t>新規</t>
    <phoneticPr fontId="11"/>
  </si>
  <si>
    <t>※φ11.523仮想交点にて測定。段差無き事。</t>
    <rPh sb="8" eb="10">
      <t>カソウ</t>
    </rPh>
    <rPh sb="10" eb="12">
      <t>コウテン</t>
    </rPh>
    <rPh sb="14" eb="16">
      <t>ソクテイ</t>
    </rPh>
    <rPh sb="17" eb="19">
      <t>ダンサ</t>
    </rPh>
    <rPh sb="19" eb="20">
      <t>ナ</t>
    </rPh>
    <rPh sb="21" eb="22">
      <t>コト</t>
    </rPh>
    <phoneticPr fontId="11"/>
  </si>
  <si>
    <t>※マイクロスコープ（面の大きさは適切か）</t>
    <phoneticPr fontId="11"/>
  </si>
  <si>
    <t>②17.952狙い</t>
    <rPh sb="7" eb="8">
      <t>ネラ</t>
    </rPh>
    <phoneticPr fontId="11"/>
  </si>
  <si>
    <t>※目視←完成品φ11.523穴底粗さ、段差無き事。</t>
    <rPh sb="4" eb="7">
      <t>カンセイヒン</t>
    </rPh>
    <rPh sb="14" eb="15">
      <t>アナ</t>
    </rPh>
    <rPh sb="15" eb="16">
      <t>ソコ</t>
    </rPh>
    <rPh sb="16" eb="17">
      <t>アラ</t>
    </rPh>
    <rPh sb="19" eb="21">
      <t>ダンサ</t>
    </rPh>
    <rPh sb="21" eb="22">
      <t>ナ</t>
    </rPh>
    <rPh sb="23" eb="24">
      <t>コト</t>
    </rPh>
    <phoneticPr fontId="11"/>
  </si>
  <si>
    <t>⑬輪郭形状測定機、㊿</t>
    <rPh sb="1" eb="8">
      <t>リンカクケイジョウソクテイキ</t>
    </rPh>
    <phoneticPr fontId="11"/>
  </si>
  <si>
    <t>GDM2420N-020GM (PR1535)</t>
    <phoneticPr fontId="12"/>
  </si>
  <si>
    <t>刃物の幅注意2.4㎜</t>
    <rPh sb="0" eb="2">
      <t>ハモノ</t>
    </rPh>
    <rPh sb="3" eb="4">
      <t>ハバ</t>
    </rPh>
    <rPh sb="4" eb="6">
      <t>チュウイ</t>
    </rPh>
    <phoneticPr fontId="12"/>
  </si>
  <si>
    <t>幅2.4溝入れ</t>
    <rPh sb="0" eb="1">
      <t>ハバ</t>
    </rPh>
    <rPh sb="4" eb="5">
      <t>ミゾ</t>
    </rPh>
    <rPh sb="5" eb="6">
      <t>イ</t>
    </rPh>
    <phoneticPr fontId="12"/>
  </si>
  <si>
    <t>DCMT11T308-LM(MC7125)</t>
    <phoneticPr fontId="11"/>
  </si>
  <si>
    <t>GNDML1616JX-216J</t>
    <phoneticPr fontId="11"/>
  </si>
  <si>
    <r>
      <t>②ブレード</t>
    </r>
    <r>
      <rPr>
        <sz val="12"/>
        <color rgb="FFFF0000"/>
        <rFont val="ＭＳ Ｐゴシック"/>
        <family val="3"/>
        <charset val="128"/>
      </rPr>
      <t xml:space="preserve">（根元の軸径）
</t>
    </r>
    <r>
      <rPr>
        <sz val="12"/>
        <rFont val="ＭＳ Ｐゴシック"/>
        <family val="3"/>
        <charset val="128"/>
      </rPr>
      <t>㉟形状</t>
    </r>
    <rPh sb="6" eb="8">
      <t>ネモト</t>
    </rPh>
    <rPh sb="9" eb="10">
      <t>ジク</t>
    </rPh>
    <rPh sb="10" eb="11">
      <t>ケイ</t>
    </rPh>
    <rPh sb="14" eb="16">
      <t>ケイジョウ</t>
    </rPh>
    <phoneticPr fontId="11"/>
  </si>
  <si>
    <t>①②④マイクロ、③ノギス
㉞三次元</t>
    <rPh sb="14" eb="17">
      <t>サンジゲン</t>
    </rPh>
    <phoneticPr fontId="11"/>
  </si>
  <si>
    <t>㉝㉞三次元、㊸備考参照→</t>
    <rPh sb="2" eb="5">
      <t>サンジゲン</t>
    </rPh>
    <rPh sb="7" eb="9">
      <t>ビコウ</t>
    </rPh>
    <rPh sb="9" eb="11">
      <t>サンショウ</t>
    </rPh>
    <phoneticPr fontId="11"/>
  </si>
  <si>
    <r>
      <t>②ブレード</t>
    </r>
    <r>
      <rPr>
        <sz val="12"/>
        <color rgb="FFFF0000"/>
        <rFont val="ＭＳ Ｐゴシック"/>
        <family val="3"/>
        <charset val="128"/>
      </rPr>
      <t>（根元の軸径）</t>
    </r>
    <r>
      <rPr>
        <sz val="12"/>
        <rFont val="ＭＳ Ｐゴシック"/>
        <family val="3"/>
        <charset val="128"/>
      </rPr>
      <t>㉟形状</t>
    </r>
    <rPh sb="6" eb="8">
      <t>ネモト</t>
    </rPh>
    <rPh sb="9" eb="10">
      <t>ジク</t>
    </rPh>
    <rPh sb="10" eb="11">
      <t>ケイ</t>
    </rPh>
    <rPh sb="13" eb="15">
      <t>ケイジョウ</t>
    </rPh>
    <phoneticPr fontId="11"/>
  </si>
  <si>
    <t>φ11.523内径、穴底140°仕上げ</t>
    <rPh sb="7" eb="9">
      <t>ナイケイ</t>
    </rPh>
    <rPh sb="10" eb="11">
      <t>アナ</t>
    </rPh>
    <rPh sb="11" eb="12">
      <t>ゾコ</t>
    </rPh>
    <rPh sb="16" eb="18">
      <t>シア</t>
    </rPh>
    <phoneticPr fontId="12"/>
  </si>
  <si>
    <t>L39.0突切り</t>
    <rPh sb="5" eb="6">
      <t>ツ</t>
    </rPh>
    <rPh sb="6" eb="7">
      <t>キ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</si>
</sst>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0_);[Red]\(0\)"/>
    <numFmt numFmtId="178" formatCode="#,##0.0;[Red]\-#,##0.0"/>
    <numFmt numFmtId="179" formatCode="#,##0_);[Red]\(#,##0\)"/>
  </numFmts>
  <fonts count="71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sz val="16"/>
      <color rgb="FF00B050"/>
      <name val="Yu Gothic"/>
      <family val="3"/>
      <charset val="128"/>
      <scheme val="minor"/>
    </font>
    <font>
      <sz val="12"/>
      <name val="ＭＳ Ｐゴシック"/>
      <family val="3"/>
      <charset val="128"/>
    </font>
    <font>
      <sz val="12"/>
      <color theme="1"/>
      <name val="Yu Gothic"/>
      <family val="3"/>
      <charset val="128"/>
      <scheme val="minor"/>
    </font>
    <font>
      <sz val="12"/>
      <color indexed="8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14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Yu Gothic"/>
      <family val="2"/>
      <charset val="128"/>
      <scheme val="minor"/>
    </font>
    <font>
      <sz val="12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6"/>
      <color rgb="FF00B050"/>
      <name val="ＭＳ Ｐゴシック"/>
      <family val="3"/>
      <charset val="128"/>
    </font>
    <font>
      <sz val="12"/>
      <color theme="7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4"/>
      <color theme="1"/>
      <name val="Yu Gothic"/>
      <family val="3"/>
      <charset val="128"/>
      <scheme val="minor"/>
    </font>
    <font>
      <u/>
      <sz val="11"/>
      <color theme="10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  <font>
      <sz val="12"/>
      <color rgb="FFFF0000"/>
      <name val="Yu Gothic"/>
      <family val="3"/>
      <charset val="128"/>
      <scheme val="minor"/>
    </font>
    <font>
      <sz val="8"/>
      <name val="ＭＳ Ｐゴシック"/>
      <family val="3"/>
      <charset val="128"/>
    </font>
    <font>
      <sz val="12"/>
      <name val="Yu Gothic"/>
      <family val="3"/>
      <charset val="128"/>
      <scheme val="minor"/>
    </font>
    <font>
      <sz val="16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8"/>
      <color theme="1"/>
      <name val="ＭＳ Ｐゴシック"/>
      <family val="3"/>
      <charset val="128"/>
    </font>
    <font>
      <sz val="18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  <font>
      <b/>
      <sz val="16"/>
      <color rgb="FFFF0000"/>
      <name val="ＭＳ Ｐゴシック"/>
      <family val="3"/>
      <charset val="128"/>
    </font>
    <font>
      <sz val="16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6"/>
      <color rgb="FFFF0000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name val="Yu Gothic"/>
      <family val="3"/>
      <charset val="128"/>
      <scheme val="minor"/>
    </font>
    <font>
      <b/>
      <sz val="1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color rgb="FF99CCFF"/>
      <name val="ＭＳ Ｐゴシック"/>
      <family val="3"/>
      <charset val="128"/>
    </font>
    <font>
      <sz val="12"/>
      <color rgb="FF99CCFF"/>
      <name val="ＭＳ Ｐゴシック"/>
      <family val="3"/>
      <charset val="128"/>
    </font>
    <font>
      <sz val="14"/>
      <name val="ＭＳ Ｐゴシック"/>
      <family val="3"/>
      <charset val="128"/>
    </font>
    <font>
      <sz val="8"/>
      <color rgb="FF00B0F0"/>
      <name val="ＭＳ Ｐゴシック"/>
      <family val="3"/>
      <charset val="128"/>
    </font>
    <font>
      <sz val="12"/>
      <color rgb="FF00B0F0"/>
      <name val="ＭＳ Ｐゴシック"/>
      <family val="3"/>
      <charset val="128"/>
    </font>
    <font>
      <sz val="11"/>
      <color theme="1"/>
      <name val="Yu Gothic"/>
      <family val="2"/>
      <scheme val="minor"/>
    </font>
    <font>
      <sz val="11"/>
      <color rgb="FFFF0000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6"/>
      <name val="MS UI Gothic"/>
      <family val="3"/>
      <charset val="128"/>
    </font>
    <font>
      <sz val="11"/>
      <name val="Yu Gothic"/>
      <family val="2"/>
      <scheme val="minor"/>
    </font>
    <font>
      <sz val="14"/>
      <color rgb="FFFF0000"/>
      <name val="ＭＳ Ｐゴシック"/>
      <family val="3"/>
      <charset val="128"/>
    </font>
    <font>
      <sz val="14"/>
      <color theme="1"/>
      <name val="Yu Gothic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FCC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double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 style="double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0" fillId="0" borderId="0">
      <alignment vertical="center"/>
    </xf>
    <xf numFmtId="38" fontId="19" fillId="0" borderId="0" applyFont="0" applyFill="0" applyBorder="0" applyAlignment="0" applyProtection="0"/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38" fontId="64" fillId="0" borderId="0" applyFont="0" applyFill="0" applyBorder="0" applyAlignment="0" applyProtection="0">
      <alignment vertical="center"/>
    </xf>
  </cellStyleXfs>
  <cellXfs count="1513">
    <xf numFmtId="0" fontId="0" fillId="0" borderId="0" xfId="0"/>
    <xf numFmtId="0" fontId="10" fillId="0" borderId="0" xfId="1">
      <alignment vertical="center"/>
    </xf>
    <xf numFmtId="0" fontId="13" fillId="0" borderId="0" xfId="1" applyFont="1">
      <alignment vertical="center"/>
    </xf>
    <xf numFmtId="0" fontId="16" fillId="0" borderId="5" xfId="1" applyFont="1" applyBorder="1" applyAlignment="1">
      <alignment horizontal="left" vertical="center" shrinkToFit="1"/>
    </xf>
    <xf numFmtId="0" fontId="16" fillId="0" borderId="17" xfId="1" applyFont="1" applyBorder="1" applyAlignment="1">
      <alignment horizontal="center" vertical="center" shrinkToFit="1"/>
    </xf>
    <xf numFmtId="0" fontId="16" fillId="0" borderId="23" xfId="1" applyFont="1" applyBorder="1" applyAlignment="1">
      <alignment horizontal="center" vertical="center" shrinkToFit="1"/>
    </xf>
    <xf numFmtId="0" fontId="15" fillId="0" borderId="0" xfId="1" applyFont="1">
      <alignment vertical="center"/>
    </xf>
    <xf numFmtId="0" fontId="18" fillId="0" borderId="0" xfId="1" applyFont="1">
      <alignment vertical="center"/>
    </xf>
    <xf numFmtId="38" fontId="14" fillId="3" borderId="5" xfId="2" applyFont="1" applyFill="1" applyBorder="1" applyAlignment="1">
      <alignment vertical="center" shrinkToFit="1"/>
    </xf>
    <xf numFmtId="0" fontId="16" fillId="0" borderId="5" xfId="1" applyFont="1" applyBorder="1" applyAlignment="1">
      <alignment horizontal="center" vertical="center" shrinkToFit="1"/>
    </xf>
    <xf numFmtId="0" fontId="16" fillId="0" borderId="6" xfId="1" applyFont="1" applyBorder="1" applyAlignment="1">
      <alignment horizontal="center" vertical="center" shrinkToFit="1"/>
    </xf>
    <xf numFmtId="0" fontId="16" fillId="0" borderId="1" xfId="1" applyFont="1" applyBorder="1" applyAlignment="1">
      <alignment horizontal="center" vertical="center" shrinkToFit="1"/>
    </xf>
    <xf numFmtId="0" fontId="16" fillId="0" borderId="13" xfId="1" applyFont="1" applyBorder="1" applyAlignment="1">
      <alignment horizontal="center" vertical="center" shrinkToFit="1"/>
    </xf>
    <xf numFmtId="0" fontId="14" fillId="3" borderId="9" xfId="1" applyFont="1" applyFill="1" applyBorder="1" applyAlignment="1">
      <alignment vertical="center" shrinkToFit="1"/>
    </xf>
    <xf numFmtId="38" fontId="14" fillId="3" borderId="6" xfId="2" applyFont="1" applyFill="1" applyBorder="1" applyAlignment="1">
      <alignment vertical="center" shrinkToFit="1"/>
    </xf>
    <xf numFmtId="38" fontId="14" fillId="0" borderId="5" xfId="2" applyFont="1" applyBorder="1" applyAlignment="1">
      <alignment vertical="center" shrinkToFit="1"/>
    </xf>
    <xf numFmtId="0" fontId="14" fillId="0" borderId="0" xfId="1" applyFont="1" applyAlignment="1">
      <alignment horizontal="center" vertical="center" shrinkToFit="1"/>
    </xf>
    <xf numFmtId="0" fontId="14" fillId="0" borderId="0" xfId="1" applyFont="1" applyAlignment="1">
      <alignment horizontal="left" vertical="center" shrinkToFit="1"/>
    </xf>
    <xf numFmtId="38" fontId="14" fillId="0" borderId="0" xfId="2" applyFont="1" applyAlignment="1">
      <alignment vertical="center" shrinkToFit="1"/>
    </xf>
    <xf numFmtId="0" fontId="10" fillId="0" borderId="0" xfId="1" applyAlignment="1">
      <alignment vertical="center" shrinkToFit="1"/>
    </xf>
    <xf numFmtId="0" fontId="20" fillId="0" borderId="0" xfId="1" applyFont="1" applyAlignment="1">
      <alignment horizontal="center" vertical="center" shrinkToFit="1"/>
    </xf>
    <xf numFmtId="0" fontId="9" fillId="0" borderId="0" xfId="3">
      <alignment vertical="center"/>
    </xf>
    <xf numFmtId="0" fontId="13" fillId="0" borderId="0" xfId="3" applyFont="1">
      <alignment vertical="center"/>
    </xf>
    <xf numFmtId="38" fontId="14" fillId="0" borderId="6" xfId="2" applyFont="1" applyBorder="1" applyAlignment="1">
      <alignment vertical="center" shrinkToFit="1"/>
    </xf>
    <xf numFmtId="38" fontId="14" fillId="3" borderId="13" xfId="2" applyFont="1" applyFill="1" applyBorder="1" applyAlignment="1">
      <alignment vertical="center" shrinkToFit="1"/>
    </xf>
    <xf numFmtId="38" fontId="14" fillId="0" borderId="5" xfId="2" applyFont="1" applyFill="1" applyBorder="1" applyAlignment="1">
      <alignment vertical="center" shrinkToFit="1"/>
    </xf>
    <xf numFmtId="38" fontId="14" fillId="3" borderId="1" xfId="2" applyFont="1" applyFill="1" applyBorder="1" applyAlignment="1">
      <alignment vertical="center" shrinkToFit="1"/>
    </xf>
    <xf numFmtId="0" fontId="24" fillId="0" borderId="0" xfId="3" applyFont="1">
      <alignment vertical="center"/>
    </xf>
    <xf numFmtId="0" fontId="22" fillId="0" borderId="5" xfId="3" applyFont="1" applyBorder="1" applyAlignment="1">
      <alignment vertical="center" shrinkToFit="1"/>
    </xf>
    <xf numFmtId="0" fontId="22" fillId="3" borderId="5" xfId="3" applyFont="1" applyFill="1" applyBorder="1" applyAlignment="1">
      <alignment vertical="center" shrinkToFit="1"/>
    </xf>
    <xf numFmtId="0" fontId="22" fillId="4" borderId="5" xfId="3" applyFont="1" applyFill="1" applyBorder="1" applyAlignment="1">
      <alignment vertical="center" shrinkToFit="1"/>
    </xf>
    <xf numFmtId="0" fontId="23" fillId="0" borderId="0" xfId="1" applyFont="1">
      <alignment vertical="center"/>
    </xf>
    <xf numFmtId="0" fontId="22" fillId="0" borderId="5" xfId="1" applyFont="1" applyBorder="1" applyAlignment="1">
      <alignment vertical="center" shrinkToFit="1"/>
    </xf>
    <xf numFmtId="0" fontId="24" fillId="0" borderId="5" xfId="1" applyFont="1" applyBorder="1" applyAlignment="1">
      <alignment vertical="center" shrinkToFit="1"/>
    </xf>
    <xf numFmtId="0" fontId="24" fillId="3" borderId="1" xfId="1" applyFont="1" applyFill="1" applyBorder="1" applyAlignment="1">
      <alignment vertical="center" shrinkToFit="1"/>
    </xf>
    <xf numFmtId="0" fontId="24" fillId="3" borderId="6" xfId="1" applyFont="1" applyFill="1" applyBorder="1" applyAlignment="1">
      <alignment vertical="center" shrinkToFit="1"/>
    </xf>
    <xf numFmtId="0" fontId="22" fillId="4" borderId="5" xfId="1" applyFont="1" applyFill="1" applyBorder="1" applyAlignment="1">
      <alignment vertical="center" shrinkToFit="1"/>
    </xf>
    <xf numFmtId="0" fontId="17" fillId="3" borderId="5" xfId="1" applyFont="1" applyFill="1" applyBorder="1" applyAlignment="1">
      <alignment vertical="center" shrinkToFit="1"/>
    </xf>
    <xf numFmtId="0" fontId="24" fillId="0" borderId="6" xfId="1" applyFont="1" applyBorder="1" applyAlignment="1">
      <alignment vertical="center" shrinkToFit="1"/>
    </xf>
    <xf numFmtId="0" fontId="24" fillId="0" borderId="0" xfId="1" applyFont="1">
      <alignment vertical="center"/>
    </xf>
    <xf numFmtId="0" fontId="17" fillId="0" borderId="0" xfId="1" applyFont="1">
      <alignment vertical="center"/>
    </xf>
    <xf numFmtId="0" fontId="24" fillId="3" borderId="5" xfId="1" applyFont="1" applyFill="1" applyBorder="1" applyAlignment="1">
      <alignment vertical="center" shrinkToFit="1"/>
    </xf>
    <xf numFmtId="0" fontId="24" fillId="3" borderId="13" xfId="1" applyFont="1" applyFill="1" applyBorder="1" applyAlignment="1">
      <alignment vertical="center" shrinkToFit="1"/>
    </xf>
    <xf numFmtId="0" fontId="22" fillId="0" borderId="6" xfId="1" applyFont="1" applyBorder="1" applyAlignment="1">
      <alignment vertical="center" shrinkToFit="1"/>
    </xf>
    <xf numFmtId="0" fontId="22" fillId="4" borderId="6" xfId="1" applyFont="1" applyFill="1" applyBorder="1" applyAlignment="1">
      <alignment vertical="center" shrinkToFit="1"/>
    </xf>
    <xf numFmtId="0" fontId="22" fillId="0" borderId="0" xfId="1" applyFont="1" applyAlignment="1">
      <alignment vertical="center" shrinkToFit="1"/>
    </xf>
    <xf numFmtId="0" fontId="24" fillId="3" borderId="0" xfId="1" applyFont="1" applyFill="1" applyAlignment="1">
      <alignment vertical="center" shrinkToFit="1"/>
    </xf>
    <xf numFmtId="0" fontId="24" fillId="0" borderId="0" xfId="1" applyFont="1" applyAlignment="1">
      <alignment vertical="center" shrinkToFit="1"/>
    </xf>
    <xf numFmtId="0" fontId="22" fillId="0" borderId="13" xfId="1" applyFont="1" applyBorder="1" applyAlignment="1">
      <alignment vertical="center" shrinkToFit="1"/>
    </xf>
    <xf numFmtId="0" fontId="22" fillId="0" borderId="0" xfId="1" applyFont="1">
      <alignment vertical="center"/>
    </xf>
    <xf numFmtId="0" fontId="22" fillId="3" borderId="1" xfId="1" applyFont="1" applyFill="1" applyBorder="1" applyAlignment="1">
      <alignment vertical="center" shrinkToFit="1"/>
    </xf>
    <xf numFmtId="0" fontId="22" fillId="3" borderId="6" xfId="1" applyFont="1" applyFill="1" applyBorder="1" applyAlignment="1">
      <alignment vertical="center" shrinkToFit="1"/>
    </xf>
    <xf numFmtId="0" fontId="22" fillId="0" borderId="1" xfId="1" applyFont="1" applyBorder="1" applyAlignment="1">
      <alignment vertical="center" shrinkToFit="1"/>
    </xf>
    <xf numFmtId="0" fontId="22" fillId="3" borderId="23" xfId="1" applyFont="1" applyFill="1" applyBorder="1" applyAlignment="1">
      <alignment vertical="center" shrinkToFit="1"/>
    </xf>
    <xf numFmtId="0" fontId="22" fillId="3" borderId="17" xfId="1" applyFont="1" applyFill="1" applyBorder="1" applyAlignment="1">
      <alignment vertical="center" shrinkToFit="1"/>
    </xf>
    <xf numFmtId="0" fontId="22" fillId="3" borderId="26" xfId="1" applyFont="1" applyFill="1" applyBorder="1" applyAlignment="1">
      <alignment vertical="center" shrinkToFit="1"/>
    </xf>
    <xf numFmtId="0" fontId="22" fillId="0" borderId="6" xfId="3" applyFont="1" applyBorder="1" applyAlignment="1">
      <alignment vertical="center" shrinkToFit="1"/>
    </xf>
    <xf numFmtId="0" fontId="14" fillId="6" borderId="6" xfId="1" applyFont="1" applyFill="1" applyBorder="1" applyAlignment="1">
      <alignment horizontal="center" vertical="center"/>
    </xf>
    <xf numFmtId="0" fontId="14" fillId="6" borderId="13" xfId="1" applyFont="1" applyFill="1" applyBorder="1" applyAlignment="1">
      <alignment horizontal="center" vertical="center"/>
    </xf>
    <xf numFmtId="0" fontId="14" fillId="6" borderId="5" xfId="1" applyFont="1" applyFill="1" applyBorder="1" applyAlignment="1">
      <alignment horizontal="center" vertical="center"/>
    </xf>
    <xf numFmtId="0" fontId="14" fillId="6" borderId="5" xfId="1" applyFont="1" applyFill="1" applyBorder="1" applyAlignment="1">
      <alignment horizontal="center" vertical="center" shrinkToFit="1"/>
    </xf>
    <xf numFmtId="0" fontId="14" fillId="6" borderId="23" xfId="1" applyFont="1" applyFill="1" applyBorder="1" applyAlignment="1">
      <alignment horizontal="center" vertical="center" shrinkToFit="1"/>
    </xf>
    <xf numFmtId="0" fontId="14" fillId="6" borderId="5" xfId="3" applyFont="1" applyFill="1" applyBorder="1" applyAlignment="1">
      <alignment horizontal="center" vertical="center" shrinkToFit="1"/>
    </xf>
    <xf numFmtId="0" fontId="14" fillId="6" borderId="27" xfId="3" applyFont="1" applyFill="1" applyBorder="1" applyAlignment="1">
      <alignment horizontal="center" vertical="center" shrinkToFit="1"/>
    </xf>
    <xf numFmtId="0" fontId="14" fillId="6" borderId="6" xfId="3" applyFont="1" applyFill="1" applyBorder="1" applyAlignment="1">
      <alignment horizontal="center" vertical="center" shrinkToFit="1"/>
    </xf>
    <xf numFmtId="0" fontId="23" fillId="0" borderId="0" xfId="4" applyFont="1">
      <alignment vertical="center"/>
    </xf>
    <xf numFmtId="0" fontId="22" fillId="0" borderId="5" xfId="1" applyFont="1" applyBorder="1">
      <alignment vertical="center"/>
    </xf>
    <xf numFmtId="38" fontId="14" fillId="0" borderId="1" xfId="2" applyFont="1" applyFill="1" applyBorder="1" applyAlignment="1">
      <alignment vertical="center" shrinkToFit="1"/>
    </xf>
    <xf numFmtId="0" fontId="25" fillId="0" borderId="0" xfId="3" applyFont="1">
      <alignment vertical="center"/>
    </xf>
    <xf numFmtId="0" fontId="22" fillId="3" borderId="1" xfId="1" applyFont="1" applyFill="1" applyBorder="1">
      <alignment vertical="center"/>
    </xf>
    <xf numFmtId="0" fontId="22" fillId="3" borderId="6" xfId="1" applyFont="1" applyFill="1" applyBorder="1">
      <alignment vertical="center"/>
    </xf>
    <xf numFmtId="0" fontId="22" fillId="4" borderId="1" xfId="1" applyFont="1" applyFill="1" applyBorder="1" applyAlignment="1">
      <alignment vertical="center" shrinkToFit="1"/>
    </xf>
    <xf numFmtId="0" fontId="22" fillId="0" borderId="6" xfId="1" applyFont="1" applyBorder="1">
      <alignment vertical="center"/>
    </xf>
    <xf numFmtId="0" fontId="14" fillId="6" borderId="1" xfId="1" applyFont="1" applyFill="1" applyBorder="1" applyAlignment="1">
      <alignment horizontal="center" vertical="center"/>
    </xf>
    <xf numFmtId="0" fontId="14" fillId="0" borderId="5" xfId="1" applyFont="1" applyBorder="1" applyAlignment="1">
      <alignment horizontal="left" vertical="center" shrinkToFit="1"/>
    </xf>
    <xf numFmtId="0" fontId="22" fillId="0" borderId="1" xfId="1" applyFont="1" applyBorder="1">
      <alignment vertical="center"/>
    </xf>
    <xf numFmtId="0" fontId="14" fillId="0" borderId="6" xfId="1" applyFont="1" applyBorder="1" applyAlignment="1">
      <alignment horizontal="center" vertical="center" shrinkToFit="1"/>
    </xf>
    <xf numFmtId="0" fontId="14" fillId="5" borderId="13" xfId="1" applyFont="1" applyFill="1" applyBorder="1" applyAlignment="1">
      <alignment horizontal="center" vertical="center" shrinkToFit="1"/>
    </xf>
    <xf numFmtId="38" fontId="14" fillId="0" borderId="6" xfId="2" applyFont="1" applyFill="1" applyBorder="1" applyAlignment="1">
      <alignment vertical="center" shrinkToFit="1"/>
    </xf>
    <xf numFmtId="38" fontId="14" fillId="0" borderId="13" xfId="2" applyFont="1" applyBorder="1" applyAlignment="1">
      <alignment vertical="center" shrinkToFit="1"/>
    </xf>
    <xf numFmtId="0" fontId="14" fillId="0" borderId="13" xfId="1" applyFont="1" applyBorder="1" applyAlignment="1">
      <alignment horizontal="left" vertical="center" shrinkToFit="1"/>
    </xf>
    <xf numFmtId="0" fontId="24" fillId="0" borderId="0" xfId="5" applyFont="1">
      <alignment vertical="center"/>
    </xf>
    <xf numFmtId="0" fontId="23" fillId="0" borderId="0" xfId="5" applyFont="1">
      <alignment vertical="center"/>
    </xf>
    <xf numFmtId="0" fontId="22" fillId="0" borderId="13" xfId="1" applyFont="1" applyBorder="1">
      <alignment vertical="center"/>
    </xf>
    <xf numFmtId="0" fontId="22" fillId="4" borderId="13" xfId="1" applyFont="1" applyFill="1" applyBorder="1" applyAlignment="1">
      <alignment vertical="center" shrinkToFit="1"/>
    </xf>
    <xf numFmtId="0" fontId="28" fillId="0" borderId="0" xfId="1" applyFont="1">
      <alignment vertical="center"/>
    </xf>
    <xf numFmtId="0" fontId="23" fillId="0" borderId="0" xfId="6" applyFont="1">
      <alignment vertical="center"/>
    </xf>
    <xf numFmtId="0" fontId="14" fillId="0" borderId="1" xfId="1" applyFont="1" applyBorder="1" applyAlignment="1">
      <alignment horizontal="center" vertical="center" shrinkToFit="1"/>
    </xf>
    <xf numFmtId="38" fontId="14" fillId="3" borderId="28" xfId="2" applyFont="1" applyFill="1" applyBorder="1" applyAlignment="1">
      <alignment vertical="center" shrinkToFit="1"/>
    </xf>
    <xf numFmtId="0" fontId="22" fillId="3" borderId="2" xfId="1" applyFont="1" applyFill="1" applyBorder="1" applyAlignment="1">
      <alignment vertical="center" shrinkToFit="1"/>
    </xf>
    <xf numFmtId="0" fontId="22" fillId="5" borderId="2" xfId="1" applyFont="1" applyFill="1" applyBorder="1" applyAlignment="1">
      <alignment vertical="center" shrinkToFit="1"/>
    </xf>
    <xf numFmtId="0" fontId="22" fillId="3" borderId="7" xfId="1" applyFont="1" applyFill="1" applyBorder="1" applyAlignment="1">
      <alignment vertical="center" shrinkToFit="1"/>
    </xf>
    <xf numFmtId="0" fontId="22" fillId="5" borderId="7" xfId="1" applyFont="1" applyFill="1" applyBorder="1" applyAlignment="1">
      <alignment vertical="center" shrinkToFit="1"/>
    </xf>
    <xf numFmtId="38" fontId="14" fillId="0" borderId="6" xfId="2" applyFont="1" applyBorder="1" applyAlignment="1">
      <alignment horizontal="center" vertical="center" shrinkToFit="1"/>
    </xf>
    <xf numFmtId="38" fontId="22" fillId="0" borderId="5" xfId="1" applyNumberFormat="1" applyFont="1" applyBorder="1" applyAlignment="1">
      <alignment vertical="center" shrinkToFit="1"/>
    </xf>
    <xf numFmtId="0" fontId="22" fillId="5" borderId="10" xfId="1" applyFont="1" applyFill="1" applyBorder="1" applyAlignment="1">
      <alignment vertical="center" shrinkToFit="1"/>
    </xf>
    <xf numFmtId="0" fontId="22" fillId="4" borderId="8" xfId="1" applyFont="1" applyFill="1" applyBorder="1" applyAlignment="1">
      <alignment vertical="center" shrinkToFit="1"/>
    </xf>
    <xf numFmtId="38" fontId="14" fillId="0" borderId="5" xfId="2" applyFont="1" applyBorder="1" applyAlignment="1">
      <alignment horizontal="center" vertical="center" shrinkToFit="1"/>
    </xf>
    <xf numFmtId="0" fontId="14" fillId="5" borderId="13" xfId="1" applyFont="1" applyFill="1" applyBorder="1" applyAlignment="1">
      <alignment horizontal="center" vertical="center"/>
    </xf>
    <xf numFmtId="38" fontId="14" fillId="0" borderId="13" xfId="2" applyFont="1" applyFill="1" applyBorder="1" applyAlignment="1">
      <alignment vertical="center" shrinkToFit="1"/>
    </xf>
    <xf numFmtId="38" fontId="14" fillId="0" borderId="13" xfId="2" applyFont="1" applyFill="1" applyBorder="1" applyAlignment="1">
      <alignment horizontal="center" vertical="center" shrinkToFit="1"/>
    </xf>
    <xf numFmtId="38" fontId="22" fillId="0" borderId="13" xfId="1" applyNumberFormat="1" applyFont="1" applyBorder="1" applyAlignment="1">
      <alignment vertical="center" shrinkToFit="1"/>
    </xf>
    <xf numFmtId="0" fontId="22" fillId="5" borderId="14" xfId="1" applyFont="1" applyFill="1" applyBorder="1" applyAlignment="1">
      <alignment vertical="center" shrinkToFit="1"/>
    </xf>
    <xf numFmtId="0" fontId="22" fillId="4" borderId="15" xfId="1" applyFont="1" applyFill="1" applyBorder="1" applyAlignment="1">
      <alignment vertical="center" shrinkToFit="1"/>
    </xf>
    <xf numFmtId="38" fontId="14" fillId="3" borderId="27" xfId="2" applyFont="1" applyFill="1" applyBorder="1" applyAlignment="1">
      <alignment vertical="center" shrinkToFit="1"/>
    </xf>
    <xf numFmtId="38" fontId="14" fillId="3" borderId="29" xfId="2" applyFont="1" applyFill="1" applyBorder="1" applyAlignment="1">
      <alignment vertical="center" shrinkToFit="1"/>
    </xf>
    <xf numFmtId="0" fontId="22" fillId="3" borderId="24" xfId="1" applyFont="1" applyFill="1" applyBorder="1" applyAlignment="1">
      <alignment vertical="center" shrinkToFit="1"/>
    </xf>
    <xf numFmtId="0" fontId="22" fillId="5" borderId="24" xfId="1" applyFont="1" applyFill="1" applyBorder="1" applyAlignment="1">
      <alignment vertical="center" shrinkToFit="1"/>
    </xf>
    <xf numFmtId="38" fontId="14" fillId="3" borderId="31" xfId="2" applyFont="1" applyFill="1" applyBorder="1" applyAlignment="1">
      <alignment vertical="center" shrinkToFit="1"/>
    </xf>
    <xf numFmtId="0" fontId="22" fillId="4" borderId="11" xfId="1" applyFont="1" applyFill="1" applyBorder="1" applyAlignment="1">
      <alignment vertical="center" shrinkToFit="1"/>
    </xf>
    <xf numFmtId="38" fontId="14" fillId="0" borderId="28" xfId="2" applyFont="1" applyFill="1" applyBorder="1" applyAlignment="1">
      <alignment horizontal="center" vertical="center" shrinkToFit="1"/>
    </xf>
    <xf numFmtId="38" fontId="22" fillId="0" borderId="1" xfId="1" applyNumberFormat="1" applyFont="1" applyBorder="1" applyAlignment="1">
      <alignment vertical="center" shrinkToFit="1"/>
    </xf>
    <xf numFmtId="38" fontId="22" fillId="0" borderId="6" xfId="1" applyNumberFormat="1" applyFont="1" applyBorder="1" applyAlignment="1">
      <alignment vertical="center" shrinkToFit="1"/>
    </xf>
    <xf numFmtId="38" fontId="14" fillId="0" borderId="5" xfId="2" applyFont="1" applyFill="1" applyBorder="1" applyAlignment="1">
      <alignment horizontal="center" vertical="center" shrinkToFit="1"/>
    </xf>
    <xf numFmtId="0" fontId="22" fillId="4" borderId="12" xfId="1" applyFont="1" applyFill="1" applyBorder="1" applyAlignment="1">
      <alignment vertical="center" shrinkToFit="1"/>
    </xf>
    <xf numFmtId="0" fontId="10" fillId="4" borderId="0" xfId="1" applyFill="1">
      <alignment vertical="center"/>
    </xf>
    <xf numFmtId="0" fontId="17" fillId="4" borderId="0" xfId="1" applyFont="1" applyFill="1">
      <alignment vertical="center"/>
    </xf>
    <xf numFmtId="0" fontId="23" fillId="0" borderId="0" xfId="8" applyFont="1">
      <alignment vertical="center"/>
    </xf>
    <xf numFmtId="38" fontId="14" fillId="0" borderId="0" xfId="2" applyFont="1" applyFill="1" applyBorder="1" applyAlignment="1">
      <alignment vertical="center" shrinkToFit="1"/>
    </xf>
    <xf numFmtId="0" fontId="10" fillId="0" borderId="0" xfId="1" applyAlignment="1">
      <alignment horizontal="center" vertical="center" shrinkToFit="1"/>
    </xf>
    <xf numFmtId="0" fontId="16" fillId="0" borderId="0" xfId="1" applyFont="1" applyAlignment="1">
      <alignment horizontal="center" vertical="center" shrinkToFit="1"/>
    </xf>
    <xf numFmtId="0" fontId="14" fillId="6" borderId="13" xfId="1" applyFont="1" applyFill="1" applyBorder="1" applyAlignment="1">
      <alignment horizontal="center" vertical="center" shrinkToFit="1"/>
    </xf>
    <xf numFmtId="0" fontId="22" fillId="0" borderId="5" xfId="1" applyFont="1" applyBorder="1" applyAlignment="1">
      <alignment horizontal="center" vertical="center" shrinkToFit="1"/>
    </xf>
    <xf numFmtId="0" fontId="23" fillId="0" borderId="0" xfId="9" applyFont="1">
      <alignment vertical="center"/>
    </xf>
    <xf numFmtId="0" fontId="22" fillId="3" borderId="5" xfId="1" applyFont="1" applyFill="1" applyBorder="1" applyAlignment="1">
      <alignment vertical="center" shrinkToFit="1"/>
    </xf>
    <xf numFmtId="0" fontId="30" fillId="0" borderId="0" xfId="1" applyFont="1">
      <alignment vertical="center"/>
    </xf>
    <xf numFmtId="177" fontId="14" fillId="3" borderId="28" xfId="2" applyNumberFormat="1" applyFont="1" applyFill="1" applyBorder="1" applyAlignment="1">
      <alignment vertical="center" shrinkToFit="1"/>
    </xf>
    <xf numFmtId="177" fontId="14" fillId="3" borderId="5" xfId="2" applyNumberFormat="1" applyFont="1" applyFill="1" applyBorder="1" applyAlignment="1">
      <alignment vertical="center" shrinkToFit="1"/>
    </xf>
    <xf numFmtId="177" fontId="22" fillId="3" borderId="5" xfId="1" applyNumberFormat="1" applyFont="1" applyFill="1" applyBorder="1">
      <alignment vertical="center"/>
    </xf>
    <xf numFmtId="177" fontId="14" fillId="0" borderId="5" xfId="2" applyNumberFormat="1" applyFont="1" applyBorder="1" applyAlignment="1">
      <alignment vertical="center" shrinkToFit="1"/>
    </xf>
    <xf numFmtId="177" fontId="14" fillId="4" borderId="5" xfId="2" applyNumberFormat="1" applyFont="1" applyFill="1" applyBorder="1" applyAlignment="1">
      <alignment vertical="center" shrinkToFit="1"/>
    </xf>
    <xf numFmtId="177" fontId="14" fillId="0" borderId="5" xfId="2" applyNumberFormat="1" applyFont="1" applyBorder="1" applyAlignment="1">
      <alignment horizontal="center" vertical="center" shrinkToFit="1"/>
    </xf>
    <xf numFmtId="177" fontId="14" fillId="0" borderId="5" xfId="2" applyNumberFormat="1" applyFont="1" applyFill="1" applyBorder="1" applyAlignment="1">
      <alignment vertical="center" shrinkToFit="1"/>
    </xf>
    <xf numFmtId="177" fontId="22" fillId="0" borderId="5" xfId="1" applyNumberFormat="1" applyFont="1" applyBorder="1">
      <alignment vertical="center"/>
    </xf>
    <xf numFmtId="177" fontId="14" fillId="0" borderId="28" xfId="2" applyNumberFormat="1" applyFont="1" applyBorder="1" applyAlignment="1">
      <alignment horizontal="center" vertical="center" shrinkToFit="1"/>
    </xf>
    <xf numFmtId="177" fontId="22" fillId="0" borderId="6" xfId="1" applyNumberFormat="1" applyFont="1" applyBorder="1">
      <alignment vertical="center"/>
    </xf>
    <xf numFmtId="177" fontId="14" fillId="0" borderId="1" xfId="2" applyNumberFormat="1" applyFont="1" applyFill="1" applyBorder="1" applyAlignment="1">
      <alignment vertical="center" shrinkToFit="1"/>
    </xf>
    <xf numFmtId="177" fontId="14" fillId="4" borderId="1" xfId="2" applyNumberFormat="1" applyFont="1" applyFill="1" applyBorder="1" applyAlignment="1">
      <alignment vertical="center" shrinkToFit="1"/>
    </xf>
    <xf numFmtId="177" fontId="14" fillId="0" borderId="1" xfId="2" applyNumberFormat="1" applyFont="1" applyFill="1" applyBorder="1" applyAlignment="1">
      <alignment horizontal="center" vertical="center" shrinkToFit="1"/>
    </xf>
    <xf numFmtId="177" fontId="22" fillId="0" borderId="1" xfId="1" applyNumberFormat="1" applyFont="1" applyBorder="1">
      <alignment vertical="center"/>
    </xf>
    <xf numFmtId="177" fontId="14" fillId="0" borderId="13" xfId="2" applyNumberFormat="1" applyFont="1" applyFill="1" applyBorder="1" applyAlignment="1">
      <alignment vertical="center" shrinkToFit="1"/>
    </xf>
    <xf numFmtId="177" fontId="14" fillId="4" borderId="13" xfId="2" applyNumberFormat="1" applyFont="1" applyFill="1" applyBorder="1" applyAlignment="1">
      <alignment vertical="center" shrinkToFit="1"/>
    </xf>
    <xf numFmtId="177" fontId="14" fillId="0" borderId="13" xfId="2" applyNumberFormat="1" applyFont="1" applyFill="1" applyBorder="1" applyAlignment="1">
      <alignment horizontal="center" vertical="center" shrinkToFit="1"/>
    </xf>
    <xf numFmtId="177" fontId="22" fillId="0" borderId="13" xfId="1" applyNumberFormat="1" applyFont="1" applyBorder="1">
      <alignment vertical="center"/>
    </xf>
    <xf numFmtId="177" fontId="14" fillId="3" borderId="31" xfId="2" applyNumberFormat="1" applyFont="1" applyFill="1" applyBorder="1" applyAlignment="1">
      <alignment vertical="center" shrinkToFit="1"/>
    </xf>
    <xf numFmtId="177" fontId="14" fillId="3" borderId="6" xfId="2" applyNumberFormat="1" applyFont="1" applyFill="1" applyBorder="1" applyAlignment="1">
      <alignment vertical="center" shrinkToFit="1"/>
    </xf>
    <xf numFmtId="177" fontId="22" fillId="3" borderId="6" xfId="1" applyNumberFormat="1" applyFont="1" applyFill="1" applyBorder="1">
      <alignment vertical="center"/>
    </xf>
    <xf numFmtId="177" fontId="17" fillId="4" borderId="5" xfId="2" applyNumberFormat="1" applyFont="1" applyFill="1" applyBorder="1" applyAlignment="1">
      <alignment vertical="center" shrinkToFit="1"/>
    </xf>
    <xf numFmtId="177" fontId="14" fillId="0" borderId="5" xfId="2" applyNumberFormat="1" applyFont="1" applyFill="1" applyBorder="1" applyAlignment="1">
      <alignment horizontal="center" vertical="center" shrinkToFit="1"/>
    </xf>
    <xf numFmtId="0" fontId="22" fillId="3" borderId="32" xfId="1" applyFont="1" applyFill="1" applyBorder="1" applyAlignment="1">
      <alignment vertical="center" shrinkToFit="1"/>
    </xf>
    <xf numFmtId="0" fontId="22" fillId="3" borderId="31" xfId="1" applyFont="1" applyFill="1" applyBorder="1" applyAlignment="1">
      <alignment vertical="center" shrinkToFit="1"/>
    </xf>
    <xf numFmtId="0" fontId="22" fillId="3" borderId="32" xfId="1" applyFont="1" applyFill="1" applyBorder="1" applyAlignment="1">
      <alignment horizontal="center" vertical="center" shrinkToFit="1"/>
    </xf>
    <xf numFmtId="0" fontId="22" fillId="3" borderId="33" xfId="1" applyFont="1" applyFill="1" applyBorder="1" applyAlignment="1">
      <alignment vertical="center" shrinkToFit="1"/>
    </xf>
    <xf numFmtId="0" fontId="22" fillId="3" borderId="34" xfId="1" applyFont="1" applyFill="1" applyBorder="1" applyAlignment="1">
      <alignment vertical="center" shrinkToFit="1"/>
    </xf>
    <xf numFmtId="0" fontId="22" fillId="3" borderId="32" xfId="1" applyFont="1" applyFill="1" applyBorder="1">
      <alignment vertical="center"/>
    </xf>
    <xf numFmtId="0" fontId="22" fillId="0" borderId="5" xfId="0" applyFont="1" applyBorder="1" applyAlignment="1">
      <alignment vertical="center"/>
    </xf>
    <xf numFmtId="0" fontId="22" fillId="0" borderId="5" xfId="0" applyFont="1" applyBorder="1" applyAlignment="1">
      <alignment vertical="center" shrinkToFi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vertical="center" shrinkToFit="1"/>
    </xf>
    <xf numFmtId="0" fontId="22" fillId="0" borderId="6" xfId="0" applyFont="1" applyBorder="1" applyAlignment="1">
      <alignment vertical="center"/>
    </xf>
    <xf numFmtId="0" fontId="22" fillId="0" borderId="6" xfId="0" applyFont="1" applyBorder="1" applyAlignment="1">
      <alignment vertical="center" shrinkToFit="1"/>
    </xf>
    <xf numFmtId="0" fontId="14" fillId="6" borderId="5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6" xfId="1" applyFont="1" applyFill="1" applyBorder="1" applyAlignment="1">
      <alignment horizontal="center" vertical="center" shrinkToFit="1"/>
    </xf>
    <xf numFmtId="0" fontId="22" fillId="4" borderId="23" xfId="1" applyFont="1" applyFill="1" applyBorder="1" applyAlignment="1">
      <alignment vertical="center" shrinkToFit="1"/>
    </xf>
    <xf numFmtId="0" fontId="28" fillId="0" borderId="0" xfId="11" applyFont="1">
      <alignment vertical="center"/>
    </xf>
    <xf numFmtId="0" fontId="10" fillId="0" borderId="5" xfId="1" applyBorder="1" applyAlignment="1">
      <alignment vertical="center" shrinkToFit="1"/>
    </xf>
    <xf numFmtId="0" fontId="10" fillId="3" borderId="1" xfId="1" applyFill="1" applyBorder="1" applyAlignment="1">
      <alignment vertical="center" shrinkToFit="1"/>
    </xf>
    <xf numFmtId="0" fontId="10" fillId="3" borderId="6" xfId="1" applyFill="1" applyBorder="1" applyAlignment="1">
      <alignment vertical="center" shrinkToFit="1"/>
    </xf>
    <xf numFmtId="38" fontId="14" fillId="4" borderId="5" xfId="2" applyFont="1" applyFill="1" applyBorder="1" applyAlignment="1">
      <alignment vertical="center" shrinkToFit="1"/>
    </xf>
    <xf numFmtId="0" fontId="15" fillId="4" borderId="6" xfId="1" applyFont="1" applyFill="1" applyBorder="1" applyAlignment="1">
      <alignment vertical="center" shrinkToFit="1"/>
    </xf>
    <xf numFmtId="0" fontId="15" fillId="4" borderId="5" xfId="1" applyFont="1" applyFill="1" applyBorder="1" applyAlignment="1">
      <alignment vertical="center" shrinkToFit="1"/>
    </xf>
    <xf numFmtId="0" fontId="10" fillId="3" borderId="23" xfId="1" applyFill="1" applyBorder="1" applyAlignment="1">
      <alignment vertical="center" shrinkToFit="1"/>
    </xf>
    <xf numFmtId="0" fontId="10" fillId="3" borderId="26" xfId="1" applyFill="1" applyBorder="1" applyAlignment="1">
      <alignment vertical="center" shrinkToFit="1"/>
    </xf>
    <xf numFmtId="0" fontId="14" fillId="6" borderId="27" xfId="1" applyFont="1" applyFill="1" applyBorder="1" applyAlignment="1">
      <alignment horizontal="center" vertical="center" shrinkToFit="1"/>
    </xf>
    <xf numFmtId="38" fontId="14" fillId="4" borderId="27" xfId="2" applyFont="1" applyFill="1" applyBorder="1" applyAlignment="1">
      <alignment vertical="center" shrinkToFit="1"/>
    </xf>
    <xf numFmtId="0" fontId="15" fillId="4" borderId="27" xfId="1" applyFont="1" applyFill="1" applyBorder="1" applyAlignment="1">
      <alignment vertical="center" shrinkToFit="1"/>
    </xf>
    <xf numFmtId="0" fontId="10" fillId="3" borderId="27" xfId="1" applyFill="1" applyBorder="1" applyAlignment="1">
      <alignment vertical="center" shrinkToFit="1"/>
    </xf>
    <xf numFmtId="0" fontId="10" fillId="3" borderId="5" xfId="1" applyFill="1" applyBorder="1" applyAlignment="1">
      <alignment vertical="center" shrinkToFit="1"/>
    </xf>
    <xf numFmtId="0" fontId="14" fillId="4" borderId="9" xfId="1" applyFont="1" applyFill="1" applyBorder="1" applyAlignment="1">
      <alignment vertical="center" shrinkToFit="1"/>
    </xf>
    <xf numFmtId="0" fontId="31" fillId="4" borderId="6" xfId="1" applyFont="1" applyFill="1" applyBorder="1" applyAlignment="1">
      <alignment vertical="center" wrapText="1" shrinkToFit="1"/>
    </xf>
    <xf numFmtId="0" fontId="14" fillId="0" borderId="9" xfId="1" applyFont="1" applyBorder="1" applyAlignment="1">
      <alignment vertical="center" shrinkToFit="1"/>
    </xf>
    <xf numFmtId="0" fontId="22" fillId="0" borderId="23" xfId="1" applyFont="1" applyBorder="1" applyAlignment="1">
      <alignment horizontal="center" vertical="center" shrinkToFit="1"/>
    </xf>
    <xf numFmtId="0" fontId="14" fillId="5" borderId="1" xfId="1" applyFont="1" applyFill="1" applyBorder="1" applyAlignment="1">
      <alignment horizontal="center" vertical="center"/>
    </xf>
    <xf numFmtId="0" fontId="32" fillId="0" borderId="1" xfId="1" applyFont="1" applyBorder="1" applyAlignment="1">
      <alignment horizontal="center" vertical="center" shrinkToFit="1"/>
    </xf>
    <xf numFmtId="0" fontId="32" fillId="0" borderId="6" xfId="1" applyFont="1" applyBorder="1" applyAlignment="1">
      <alignment horizontal="center" vertical="center" shrinkToFit="1"/>
    </xf>
    <xf numFmtId="0" fontId="15" fillId="3" borderId="5" xfId="1" applyFont="1" applyFill="1" applyBorder="1">
      <alignment vertical="center"/>
    </xf>
    <xf numFmtId="0" fontId="15" fillId="3" borderId="10" xfId="1" applyFont="1" applyFill="1" applyBorder="1" applyAlignment="1">
      <alignment vertical="center" shrinkToFit="1"/>
    </xf>
    <xf numFmtId="0" fontId="15" fillId="5" borderId="10" xfId="1" applyFont="1" applyFill="1" applyBorder="1" applyAlignment="1">
      <alignment vertical="center" shrinkToFit="1"/>
    </xf>
    <xf numFmtId="0" fontId="15" fillId="5" borderId="11" xfId="1" applyFont="1" applyFill="1" applyBorder="1" applyAlignment="1">
      <alignment vertical="center" shrinkToFit="1"/>
    </xf>
    <xf numFmtId="0" fontId="15" fillId="5" borderId="8" xfId="1" applyFont="1" applyFill="1" applyBorder="1" applyAlignment="1">
      <alignment vertical="center" shrinkToFit="1"/>
    </xf>
    <xf numFmtId="0" fontId="15" fillId="0" borderId="5" xfId="1" applyFont="1" applyBorder="1">
      <alignment vertical="center"/>
    </xf>
    <xf numFmtId="38" fontId="15" fillId="0" borderId="5" xfId="1" applyNumberFormat="1" applyFont="1" applyBorder="1" applyAlignment="1">
      <alignment vertical="center" shrinkToFit="1"/>
    </xf>
    <xf numFmtId="0" fontId="15" fillId="0" borderId="6" xfId="1" applyFont="1" applyBorder="1">
      <alignment vertical="center"/>
    </xf>
    <xf numFmtId="0" fontId="15" fillId="0" borderId="1" xfId="1" applyFont="1" applyBorder="1">
      <alignment vertical="center"/>
    </xf>
    <xf numFmtId="0" fontId="15" fillId="0" borderId="13" xfId="1" applyFont="1" applyBorder="1">
      <alignment vertical="center"/>
    </xf>
    <xf numFmtId="38" fontId="15" fillId="0" borderId="13" xfId="1" applyNumberFormat="1" applyFont="1" applyBorder="1" applyAlignment="1">
      <alignment vertical="center" shrinkToFit="1"/>
    </xf>
    <xf numFmtId="0" fontId="15" fillId="5" borderId="14" xfId="1" applyFont="1" applyFill="1" applyBorder="1" applyAlignment="1">
      <alignment vertical="center" shrinkToFit="1"/>
    </xf>
    <xf numFmtId="0" fontId="15" fillId="5" borderId="15" xfId="1" applyFont="1" applyFill="1" applyBorder="1" applyAlignment="1">
      <alignment vertical="center" shrinkToFit="1"/>
    </xf>
    <xf numFmtId="0" fontId="15" fillId="3" borderId="27" xfId="1" applyFont="1" applyFill="1" applyBorder="1">
      <alignment vertical="center"/>
    </xf>
    <xf numFmtId="0" fontId="15" fillId="3" borderId="7" xfId="1" applyFont="1" applyFill="1" applyBorder="1" applyAlignment="1">
      <alignment vertical="center" shrinkToFit="1"/>
    </xf>
    <xf numFmtId="0" fontId="15" fillId="5" borderId="7" xfId="1" applyFont="1" applyFill="1" applyBorder="1" applyAlignment="1">
      <alignment vertical="center" shrinkToFit="1"/>
    </xf>
    <xf numFmtId="0" fontId="15" fillId="3" borderId="6" xfId="1" applyFont="1" applyFill="1" applyBorder="1">
      <alignment vertical="center"/>
    </xf>
    <xf numFmtId="0" fontId="15" fillId="3" borderId="5" xfId="1" applyFont="1" applyFill="1" applyBorder="1" applyAlignment="1">
      <alignment vertical="center" shrinkToFit="1"/>
    </xf>
    <xf numFmtId="0" fontId="14" fillId="4" borderId="0" xfId="1" applyFont="1" applyFill="1" applyAlignment="1">
      <alignment horizontal="center" vertical="center" shrinkToFit="1"/>
    </xf>
    <xf numFmtId="0" fontId="14" fillId="4" borderId="0" xfId="1" applyFont="1" applyFill="1" applyAlignment="1">
      <alignment horizontal="left" vertical="center" shrinkToFit="1"/>
    </xf>
    <xf numFmtId="38" fontId="14" fillId="4" borderId="0" xfId="2" applyFont="1" applyFill="1" applyBorder="1" applyAlignment="1">
      <alignment vertical="center" shrinkToFit="1"/>
    </xf>
    <xf numFmtId="38" fontId="14" fillId="3" borderId="0" xfId="2" applyFont="1" applyFill="1" applyBorder="1" applyAlignment="1">
      <alignment vertical="center" shrinkToFit="1"/>
    </xf>
    <xf numFmtId="0" fontId="15" fillId="3" borderId="0" xfId="1" applyFont="1" applyFill="1">
      <alignment vertical="center"/>
    </xf>
    <xf numFmtId="0" fontId="15" fillId="3" borderId="0" xfId="1" applyFont="1" applyFill="1" applyAlignment="1">
      <alignment vertical="center" shrinkToFit="1"/>
    </xf>
    <xf numFmtId="0" fontId="15" fillId="5" borderId="0" xfId="1" applyFont="1" applyFill="1" applyAlignment="1">
      <alignment vertical="center" shrinkToFit="1"/>
    </xf>
    <xf numFmtId="0" fontId="15" fillId="4" borderId="0" xfId="1" applyFont="1" applyFill="1">
      <alignment vertical="center"/>
    </xf>
    <xf numFmtId="0" fontId="15" fillId="4" borderId="0" xfId="1" applyFont="1" applyFill="1" applyAlignment="1">
      <alignment vertical="center" shrinkToFit="1"/>
    </xf>
    <xf numFmtId="0" fontId="16" fillId="4" borderId="0" xfId="1" applyFont="1" applyFill="1" applyAlignment="1">
      <alignment horizontal="center" vertical="center" shrinkToFit="1"/>
    </xf>
    <xf numFmtId="0" fontId="34" fillId="0" borderId="0" xfId="1" applyFont="1">
      <alignment vertical="center"/>
    </xf>
    <xf numFmtId="0" fontId="16" fillId="0" borderId="10" xfId="1" applyFont="1" applyBorder="1" applyAlignment="1">
      <alignment horizontal="center" vertical="center" shrinkToFit="1"/>
    </xf>
    <xf numFmtId="0" fontId="16" fillId="0" borderId="14" xfId="1" applyFont="1" applyBorder="1" applyAlignment="1">
      <alignment horizontal="center" vertical="center" shrinkToFit="1"/>
    </xf>
    <xf numFmtId="0" fontId="22" fillId="0" borderId="10" xfId="3" applyFont="1" applyBorder="1" applyAlignment="1">
      <alignment horizontal="center" vertical="center" shrinkToFit="1"/>
    </xf>
    <xf numFmtId="0" fontId="22" fillId="4" borderId="7" xfId="1" applyFont="1" applyFill="1" applyBorder="1" applyAlignment="1">
      <alignment horizontal="center" vertical="center" shrinkToFit="1"/>
    </xf>
    <xf numFmtId="0" fontId="22" fillId="4" borderId="6" xfId="1" applyFont="1" applyFill="1" applyBorder="1" applyAlignment="1">
      <alignment horizontal="center" vertical="center" shrinkToFit="1"/>
    </xf>
    <xf numFmtId="0" fontId="22" fillId="4" borderId="5" xfId="1" applyFont="1" applyFill="1" applyBorder="1" applyAlignment="1">
      <alignment horizontal="center" vertical="center" shrinkToFit="1"/>
    </xf>
    <xf numFmtId="0" fontId="22" fillId="4" borderId="13" xfId="1" applyFont="1" applyFill="1" applyBorder="1" applyAlignment="1">
      <alignment horizontal="center" vertical="center" shrinkToFit="1"/>
    </xf>
    <xf numFmtId="38" fontId="14" fillId="0" borderId="13" xfId="2" applyFont="1" applyBorder="1" applyAlignment="1">
      <alignment horizontal="center" vertical="center" shrinkToFit="1"/>
    </xf>
    <xf numFmtId="38" fontId="14" fillId="3" borderId="39" xfId="2" applyFont="1" applyFill="1" applyBorder="1" applyAlignment="1">
      <alignment vertical="center" shrinkToFit="1"/>
    </xf>
    <xf numFmtId="0" fontId="15" fillId="3" borderId="13" xfId="1" applyFont="1" applyFill="1" applyBorder="1">
      <alignment vertical="center"/>
    </xf>
    <xf numFmtId="0" fontId="15" fillId="3" borderId="14" xfId="1" applyFont="1" applyFill="1" applyBorder="1" applyAlignment="1">
      <alignment vertical="center" shrinkToFit="1"/>
    </xf>
    <xf numFmtId="0" fontId="15" fillId="5" borderId="37" xfId="1" applyFont="1" applyFill="1" applyBorder="1" applyAlignment="1">
      <alignment vertical="center" shrinkToFit="1"/>
    </xf>
    <xf numFmtId="0" fontId="14" fillId="6" borderId="27" xfId="1" applyFont="1" applyFill="1" applyBorder="1" applyAlignment="1">
      <alignment horizontal="center" vertical="center"/>
    </xf>
    <xf numFmtId="0" fontId="14" fillId="5" borderId="5" xfId="1" applyFont="1" applyFill="1" applyBorder="1" applyAlignment="1">
      <alignment horizontal="center" vertical="center"/>
    </xf>
    <xf numFmtId="38" fontId="14" fillId="3" borderId="26" xfId="2" applyFont="1" applyFill="1" applyBorder="1" applyAlignment="1">
      <alignment vertical="center" shrinkToFit="1"/>
    </xf>
    <xf numFmtId="0" fontId="14" fillId="5" borderId="6" xfId="1" applyFont="1" applyFill="1" applyBorder="1" applyAlignment="1">
      <alignment horizontal="center" vertical="center"/>
    </xf>
    <xf numFmtId="0" fontId="24" fillId="3" borderId="5" xfId="1" applyFont="1" applyFill="1" applyBorder="1">
      <alignment vertical="center"/>
    </xf>
    <xf numFmtId="0" fontId="24" fillId="0" borderId="6" xfId="1" applyFont="1" applyBorder="1">
      <alignment vertical="center"/>
    </xf>
    <xf numFmtId="0" fontId="24" fillId="3" borderId="26" xfId="1" applyFont="1" applyFill="1" applyBorder="1" applyAlignment="1">
      <alignment vertical="center" shrinkToFit="1"/>
    </xf>
    <xf numFmtId="0" fontId="24" fillId="3" borderId="26" xfId="1" applyFont="1" applyFill="1" applyBorder="1">
      <alignment vertical="center"/>
    </xf>
    <xf numFmtId="0" fontId="14" fillId="5" borderId="26" xfId="1" applyFont="1" applyFill="1" applyBorder="1" applyAlignment="1">
      <alignment horizontal="center" vertical="center"/>
    </xf>
    <xf numFmtId="0" fontId="24" fillId="0" borderId="5" xfId="1" applyFont="1" applyBorder="1">
      <alignment vertical="center"/>
    </xf>
    <xf numFmtId="0" fontId="24" fillId="4" borderId="5" xfId="1" applyFont="1" applyFill="1" applyBorder="1" applyAlignment="1">
      <alignment vertical="center" shrinkToFit="1"/>
    </xf>
    <xf numFmtId="0" fontId="24" fillId="4" borderId="5" xfId="1" applyFont="1" applyFill="1" applyBorder="1">
      <alignment vertical="center"/>
    </xf>
    <xf numFmtId="0" fontId="14" fillId="6" borderId="13" xfId="3" applyFont="1" applyFill="1" applyBorder="1" applyAlignment="1">
      <alignment horizontal="center" vertical="center" shrinkToFit="1"/>
    </xf>
    <xf numFmtId="0" fontId="22" fillId="0" borderId="13" xfId="3" applyFont="1" applyBorder="1" applyAlignment="1">
      <alignment vertical="center" shrinkToFit="1"/>
    </xf>
    <xf numFmtId="0" fontId="22" fillId="0" borderId="14" xfId="3" applyFont="1" applyBorder="1" applyAlignment="1">
      <alignment horizontal="center" vertical="center" shrinkToFit="1"/>
    </xf>
    <xf numFmtId="0" fontId="34" fillId="0" borderId="0" xfId="12" applyFont="1">
      <alignment vertical="center"/>
    </xf>
    <xf numFmtId="0" fontId="15" fillId="0" borderId="7" xfId="1" applyFont="1" applyBorder="1" applyAlignment="1">
      <alignment horizontal="center" vertical="center" shrinkToFit="1"/>
    </xf>
    <xf numFmtId="0" fontId="15" fillId="0" borderId="8" xfId="1" applyFont="1" applyBorder="1" applyAlignment="1">
      <alignment horizontal="center" vertical="center" shrinkToFit="1"/>
    </xf>
    <xf numFmtId="0" fontId="15" fillId="0" borderId="6" xfId="1" applyFont="1" applyBorder="1" applyAlignment="1">
      <alignment horizontal="center" vertical="center" shrinkToFit="1"/>
    </xf>
    <xf numFmtId="0" fontId="24" fillId="3" borderId="28" xfId="1" applyFont="1" applyFill="1" applyBorder="1" applyAlignment="1">
      <alignment vertical="center" shrinkToFit="1"/>
    </xf>
    <xf numFmtId="0" fontId="24" fillId="3" borderId="33" xfId="1" applyFont="1" applyFill="1" applyBorder="1" applyAlignment="1">
      <alignment vertical="center" shrinkToFit="1"/>
    </xf>
    <xf numFmtId="0" fontId="24" fillId="3" borderId="6" xfId="1" applyFont="1" applyFill="1" applyBorder="1">
      <alignment vertical="center"/>
    </xf>
    <xf numFmtId="0" fontId="24" fillId="3" borderId="29" xfId="1" applyFont="1" applyFill="1" applyBorder="1" applyAlignment="1">
      <alignment vertical="center" shrinkToFit="1"/>
    </xf>
    <xf numFmtId="0" fontId="24" fillId="3" borderId="31" xfId="1" applyFont="1" applyFill="1" applyBorder="1" applyAlignment="1">
      <alignment vertical="center" shrinkToFit="1"/>
    </xf>
    <xf numFmtId="38" fontId="14" fillId="3" borderId="12" xfId="2" applyFont="1" applyFill="1" applyBorder="1" applyAlignment="1">
      <alignment vertical="center" shrinkToFit="1"/>
    </xf>
    <xf numFmtId="0" fontId="24" fillId="3" borderId="12" xfId="1" applyFont="1" applyFill="1" applyBorder="1">
      <alignment vertical="center"/>
    </xf>
    <xf numFmtId="38" fontId="14" fillId="0" borderId="28" xfId="2" applyFont="1" applyBorder="1" applyAlignment="1">
      <alignment horizontal="center" vertical="center" shrinkToFit="1"/>
    </xf>
    <xf numFmtId="176" fontId="14" fillId="0" borderId="6" xfId="1" applyNumberFormat="1" applyFont="1" applyBorder="1" applyAlignment="1">
      <alignment vertical="center" shrinkToFit="1"/>
    </xf>
    <xf numFmtId="38" fontId="14" fillId="0" borderId="12" xfId="2" applyFont="1" applyFill="1" applyBorder="1" applyAlignment="1">
      <alignment vertical="center" shrinkToFit="1"/>
    </xf>
    <xf numFmtId="178" fontId="14" fillId="0" borderId="5" xfId="2" applyNumberFormat="1" applyFont="1" applyBorder="1" applyAlignment="1">
      <alignment horizontal="center" vertical="center" shrinkToFit="1"/>
    </xf>
    <xf numFmtId="177" fontId="14" fillId="4" borderId="6" xfId="2" applyNumberFormat="1" applyFont="1" applyFill="1" applyBorder="1" applyAlignment="1">
      <alignment vertical="center" shrinkToFit="1"/>
    </xf>
    <xf numFmtId="177" fontId="14" fillId="3" borderId="39" xfId="2" applyNumberFormat="1" applyFont="1" applyFill="1" applyBorder="1" applyAlignment="1">
      <alignment vertical="center" shrinkToFit="1"/>
    </xf>
    <xf numFmtId="0" fontId="14" fillId="0" borderId="11" xfId="1" applyFont="1" applyBorder="1" applyAlignment="1">
      <alignment vertical="center" shrinkToFit="1"/>
    </xf>
    <xf numFmtId="0" fontId="14" fillId="0" borderId="8" xfId="1" applyFont="1" applyBorder="1" applyAlignment="1">
      <alignment vertical="center" shrinkToFit="1"/>
    </xf>
    <xf numFmtId="0" fontId="38" fillId="0" borderId="0" xfId="1" applyFont="1">
      <alignment vertical="center"/>
    </xf>
    <xf numFmtId="0" fontId="38" fillId="0" borderId="0" xfId="12" applyFont="1">
      <alignment vertical="center"/>
    </xf>
    <xf numFmtId="0" fontId="34" fillId="0" borderId="0" xfId="10" applyFont="1">
      <alignment vertical="center"/>
    </xf>
    <xf numFmtId="0" fontId="38" fillId="0" borderId="0" xfId="3" applyFont="1">
      <alignment vertical="center"/>
    </xf>
    <xf numFmtId="0" fontId="38" fillId="0" borderId="0" xfId="9" applyFont="1">
      <alignment vertical="center"/>
    </xf>
    <xf numFmtId="0" fontId="38" fillId="7" borderId="0" xfId="12" applyFont="1" applyFill="1">
      <alignment vertical="center"/>
    </xf>
    <xf numFmtId="0" fontId="10" fillId="7" borderId="0" xfId="1" applyFill="1">
      <alignment vertical="center"/>
    </xf>
    <xf numFmtId="38" fontId="14" fillId="0" borderId="5" xfId="2" applyFont="1" applyFill="1" applyBorder="1" applyAlignment="1">
      <alignment vertical="center" wrapText="1" shrinkToFit="1"/>
    </xf>
    <xf numFmtId="0" fontId="22" fillId="4" borderId="4" xfId="1" applyFont="1" applyFill="1" applyBorder="1">
      <alignment vertical="center"/>
    </xf>
    <xf numFmtId="0" fontId="44" fillId="4" borderId="0" xfId="1" applyFont="1" applyFill="1" applyAlignment="1">
      <alignment horizontal="left" vertical="center"/>
    </xf>
    <xf numFmtId="0" fontId="14" fillId="4" borderId="4" xfId="1" applyFont="1" applyFill="1" applyBorder="1">
      <alignment vertical="center"/>
    </xf>
    <xf numFmtId="0" fontId="27" fillId="4" borderId="8" xfId="1" applyFont="1" applyFill="1" applyBorder="1" applyAlignment="1">
      <alignment vertical="center" wrapText="1" shrinkToFit="1"/>
    </xf>
    <xf numFmtId="38" fontId="40" fillId="0" borderId="5" xfId="2" applyFont="1" applyFill="1" applyBorder="1" applyAlignment="1">
      <alignment vertical="center" shrinkToFit="1"/>
    </xf>
    <xf numFmtId="0" fontId="45" fillId="4" borderId="4" xfId="1" applyFont="1" applyFill="1" applyBorder="1">
      <alignment vertical="center"/>
    </xf>
    <xf numFmtId="0" fontId="17" fillId="4" borderId="4" xfId="1" applyFont="1" applyFill="1" applyBorder="1">
      <alignment vertical="center"/>
    </xf>
    <xf numFmtId="0" fontId="41" fillId="4" borderId="11" xfId="1" applyFont="1" applyFill="1" applyBorder="1" applyAlignment="1">
      <alignment vertical="center" shrinkToFit="1"/>
    </xf>
    <xf numFmtId="0" fontId="47" fillId="4" borderId="4" xfId="1" applyFont="1" applyFill="1" applyBorder="1">
      <alignment vertical="center"/>
    </xf>
    <xf numFmtId="0" fontId="47" fillId="4" borderId="0" xfId="1" applyFont="1" applyFill="1">
      <alignment vertical="center"/>
    </xf>
    <xf numFmtId="0" fontId="23" fillId="7" borderId="0" xfId="8" applyFont="1" applyFill="1">
      <alignment vertical="center"/>
    </xf>
    <xf numFmtId="0" fontId="41" fillId="0" borderId="5" xfId="1" applyFont="1" applyBorder="1" applyAlignment="1">
      <alignment horizontal="left" vertical="center" wrapText="1" shrinkToFit="1"/>
    </xf>
    <xf numFmtId="0" fontId="38" fillId="7" borderId="0" xfId="9" applyFont="1" applyFill="1">
      <alignment vertical="center"/>
    </xf>
    <xf numFmtId="177" fontId="40" fillId="4" borderId="5" xfId="2" applyNumberFormat="1" applyFont="1" applyFill="1" applyBorder="1" applyAlignment="1">
      <alignment vertical="center" shrinkToFit="1"/>
    </xf>
    <xf numFmtId="177" fontId="40" fillId="4" borderId="1" xfId="2" applyNumberFormat="1" applyFont="1" applyFill="1" applyBorder="1" applyAlignment="1">
      <alignment vertical="center" shrinkToFit="1"/>
    </xf>
    <xf numFmtId="177" fontId="53" fillId="4" borderId="5" xfId="2" applyNumberFormat="1" applyFont="1" applyFill="1" applyBorder="1" applyAlignment="1">
      <alignment vertical="center" wrapText="1" shrinkToFit="1"/>
    </xf>
    <xf numFmtId="0" fontId="14" fillId="6" borderId="5" xfId="1" applyFont="1" applyFill="1" applyBorder="1" applyAlignment="1">
      <alignment horizontal="center" vertical="center" wrapText="1" shrinkToFit="1"/>
    </xf>
    <xf numFmtId="177" fontId="17" fillId="4" borderId="5" xfId="2" applyNumberFormat="1" applyFont="1" applyFill="1" applyBorder="1" applyAlignment="1">
      <alignment vertical="center" wrapText="1" shrinkToFit="1"/>
    </xf>
    <xf numFmtId="177" fontId="14" fillId="0" borderId="5" xfId="2" applyNumberFormat="1" applyFont="1" applyFill="1" applyBorder="1" applyAlignment="1">
      <alignment horizontal="center" vertical="center" wrapText="1" shrinkToFit="1"/>
    </xf>
    <xf numFmtId="177" fontId="14" fillId="0" borderId="5" xfId="2" applyNumberFormat="1" applyFont="1" applyFill="1" applyBorder="1" applyAlignment="1">
      <alignment vertical="center" wrapText="1" shrinkToFit="1"/>
    </xf>
    <xf numFmtId="0" fontId="10" fillId="0" borderId="0" xfId="1" applyAlignment="1">
      <alignment vertical="center" wrapText="1"/>
    </xf>
    <xf numFmtId="0" fontId="22" fillId="0" borderId="5" xfId="1" applyFont="1" applyBorder="1" applyAlignment="1">
      <alignment vertical="center" wrapText="1" shrinkToFit="1"/>
    </xf>
    <xf numFmtId="0" fontId="41" fillId="0" borderId="5" xfId="1" applyFont="1" applyBorder="1" applyAlignment="1">
      <alignment vertical="center" shrinkToFit="1"/>
    </xf>
    <xf numFmtId="0" fontId="22" fillId="0" borderId="5" xfId="1" applyFont="1" applyBorder="1" applyAlignment="1">
      <alignment vertical="center" wrapText="1"/>
    </xf>
    <xf numFmtId="0" fontId="23" fillId="7" borderId="0" xfId="5" applyFont="1" applyFill="1">
      <alignment vertical="center"/>
    </xf>
    <xf numFmtId="0" fontId="24" fillId="7" borderId="0" xfId="5" applyFont="1" applyFill="1">
      <alignment vertical="center"/>
    </xf>
    <xf numFmtId="38" fontId="14" fillId="0" borderId="5" xfId="2" applyFont="1" applyBorder="1" applyAlignment="1">
      <alignment horizontal="left" vertical="center" shrinkToFit="1"/>
    </xf>
    <xf numFmtId="0" fontId="38" fillId="7" borderId="0" xfId="3" applyFont="1" applyFill="1">
      <alignment vertical="center"/>
    </xf>
    <xf numFmtId="0" fontId="24" fillId="7" borderId="0" xfId="3" applyFont="1" applyFill="1">
      <alignment vertical="center"/>
    </xf>
    <xf numFmtId="0" fontId="22" fillId="0" borderId="5" xfId="3" applyFont="1" applyBorder="1" applyAlignment="1">
      <alignment vertical="center" wrapText="1" shrinkToFit="1"/>
    </xf>
    <xf numFmtId="0" fontId="48" fillId="0" borderId="5" xfId="3" applyFont="1" applyBorder="1" applyAlignment="1">
      <alignment vertical="center" shrinkToFit="1"/>
    </xf>
    <xf numFmtId="0" fontId="42" fillId="0" borderId="5" xfId="1" applyFont="1" applyBorder="1" applyAlignment="1">
      <alignment horizontal="left" vertical="center" shrinkToFit="1"/>
    </xf>
    <xf numFmtId="38" fontId="14" fillId="0" borderId="27" xfId="2" applyFont="1" applyBorder="1" applyAlignment="1">
      <alignment horizontal="center" vertical="center" shrinkToFit="1"/>
    </xf>
    <xf numFmtId="38" fontId="14" fillId="0" borderId="27" xfId="2" applyFont="1" applyFill="1" applyBorder="1" applyAlignment="1">
      <alignment vertical="center" shrinkToFit="1"/>
    </xf>
    <xf numFmtId="38" fontId="17" fillId="0" borderId="5" xfId="2" applyFont="1" applyBorder="1" applyAlignment="1">
      <alignment vertical="center" shrinkToFit="1"/>
    </xf>
    <xf numFmtId="38" fontId="46" fillId="0" borderId="5" xfId="2" applyFont="1" applyFill="1" applyBorder="1" applyAlignment="1">
      <alignment vertical="center" wrapText="1" shrinkToFit="1"/>
    </xf>
    <xf numFmtId="0" fontId="14" fillId="4" borderId="5" xfId="1" applyFont="1" applyFill="1" applyBorder="1" applyAlignment="1">
      <alignment vertical="center" wrapText="1" shrinkToFit="1"/>
    </xf>
    <xf numFmtId="0" fontId="16" fillId="4" borderId="28" xfId="1" applyFont="1" applyFill="1" applyBorder="1" applyAlignment="1">
      <alignment horizontal="center" vertical="center" shrinkToFit="1"/>
    </xf>
    <xf numFmtId="0" fontId="22" fillId="4" borderId="0" xfId="1" applyFont="1" applyFill="1" applyAlignment="1">
      <alignment vertical="center" shrinkToFit="1"/>
    </xf>
    <xf numFmtId="0" fontId="43" fillId="4" borderId="11" xfId="1" applyFont="1" applyFill="1" applyBorder="1" applyAlignment="1">
      <alignment vertical="center" wrapText="1" shrinkToFit="1"/>
    </xf>
    <xf numFmtId="38" fontId="40" fillId="0" borderId="6" xfId="2" applyFont="1" applyBorder="1" applyAlignment="1">
      <alignment vertical="center" shrinkToFit="1"/>
    </xf>
    <xf numFmtId="38" fontId="52" fillId="0" borderId="5" xfId="2" applyFont="1" applyFill="1" applyBorder="1" applyAlignment="1">
      <alignment vertical="center" wrapText="1" shrinkToFit="1"/>
    </xf>
    <xf numFmtId="38" fontId="52" fillId="4" borderId="11" xfId="2" applyFont="1" applyFill="1" applyBorder="1" applyAlignment="1">
      <alignment vertical="center" wrapText="1" shrinkToFit="1"/>
    </xf>
    <xf numFmtId="38" fontId="41" fillId="0" borderId="5" xfId="2" applyFont="1" applyBorder="1" applyAlignment="1">
      <alignment vertical="center" wrapText="1" shrinkToFit="1"/>
    </xf>
    <xf numFmtId="38" fontId="41" fillId="0" borderId="5" xfId="2" applyFont="1" applyBorder="1" applyAlignment="1">
      <alignment vertical="center" shrinkToFit="1"/>
    </xf>
    <xf numFmtId="0" fontId="27" fillId="0" borderId="5" xfId="1" applyFont="1" applyBorder="1" applyAlignment="1">
      <alignment vertical="center" wrapText="1" shrinkToFit="1"/>
    </xf>
    <xf numFmtId="0" fontId="16" fillId="0" borderId="12" xfId="1" applyFont="1" applyBorder="1" applyAlignment="1">
      <alignment horizontal="center" vertical="center" shrinkToFit="1"/>
    </xf>
    <xf numFmtId="0" fontId="15" fillId="3" borderId="6" xfId="1" applyFont="1" applyFill="1" applyBorder="1" applyAlignment="1">
      <alignment vertical="center" shrinkToFit="1"/>
    </xf>
    <xf numFmtId="0" fontId="15" fillId="0" borderId="1" xfId="1" applyFont="1" applyBorder="1" applyAlignment="1">
      <alignment vertical="center" shrinkToFit="1"/>
    </xf>
    <xf numFmtId="0" fontId="15" fillId="0" borderId="6" xfId="1" applyFont="1" applyBorder="1" applyAlignment="1">
      <alignment vertical="center" shrinkToFit="1"/>
    </xf>
    <xf numFmtId="0" fontId="14" fillId="0" borderId="6" xfId="1" applyFont="1" applyBorder="1" applyAlignment="1">
      <alignment horizontal="right" vertical="center" shrinkToFit="1"/>
    </xf>
    <xf numFmtId="0" fontId="15" fillId="0" borderId="5" xfId="1" applyFont="1" applyBorder="1" applyAlignment="1">
      <alignment vertical="center" shrinkToFit="1"/>
    </xf>
    <xf numFmtId="0" fontId="15" fillId="3" borderId="13" xfId="1" applyFont="1" applyFill="1" applyBorder="1" applyAlignment="1">
      <alignment vertical="center" shrinkToFit="1"/>
    </xf>
    <xf numFmtId="38" fontId="14" fillId="0" borderId="5" xfId="2" applyFont="1" applyFill="1" applyBorder="1" applyAlignment="1">
      <alignment horizontal="right" vertical="center" shrinkToFit="1"/>
    </xf>
    <xf numFmtId="38" fontId="14" fillId="3" borderId="5" xfId="2" applyFont="1" applyFill="1" applyBorder="1" applyAlignment="1">
      <alignment horizontal="right" vertical="center" shrinkToFit="1"/>
    </xf>
    <xf numFmtId="38" fontId="14" fillId="3" borderId="13" xfId="2" applyFont="1" applyFill="1" applyBorder="1" applyAlignment="1">
      <alignment horizontal="right" vertical="center" shrinkToFit="1"/>
    </xf>
    <xf numFmtId="38" fontId="14" fillId="3" borderId="6" xfId="2" applyFont="1" applyFill="1" applyBorder="1" applyAlignment="1">
      <alignment horizontal="right" vertical="center" shrinkToFit="1"/>
    </xf>
    <xf numFmtId="0" fontId="16" fillId="0" borderId="10" xfId="1" applyFont="1" applyBorder="1" applyAlignment="1">
      <alignment horizontal="right" vertical="center" shrinkToFit="1"/>
    </xf>
    <xf numFmtId="38" fontId="14" fillId="0" borderId="12" xfId="2" applyFont="1" applyFill="1" applyBorder="1" applyAlignment="1">
      <alignment horizontal="right" vertical="center" shrinkToFit="1"/>
    </xf>
    <xf numFmtId="38" fontId="14" fillId="4" borderId="0" xfId="2" applyFont="1" applyFill="1" applyBorder="1" applyAlignment="1">
      <alignment horizontal="right" vertical="center" shrinkToFit="1"/>
    </xf>
    <xf numFmtId="0" fontId="0" fillId="0" borderId="0" xfId="0" applyAlignment="1">
      <alignment horizontal="right" vertical="center"/>
    </xf>
    <xf numFmtId="38" fontId="14" fillId="0" borderId="27" xfId="2" applyFont="1" applyFill="1" applyBorder="1" applyAlignment="1">
      <alignment horizontal="right" vertical="center" shrinkToFit="1"/>
    </xf>
    <xf numFmtId="0" fontId="0" fillId="0" borderId="0" xfId="0" applyAlignment="1">
      <alignment horizontal="right"/>
    </xf>
    <xf numFmtId="0" fontId="16" fillId="0" borderId="12" xfId="1" applyFont="1" applyBorder="1" applyAlignment="1">
      <alignment horizontal="right" vertical="center" shrinkToFit="1"/>
    </xf>
    <xf numFmtId="0" fontId="22" fillId="0" borderId="5" xfId="1" applyFont="1" applyBorder="1" applyAlignment="1">
      <alignment horizontal="right" vertical="center" shrinkToFit="1"/>
    </xf>
    <xf numFmtId="0" fontId="14" fillId="3" borderId="7" xfId="1" applyFont="1" applyFill="1" applyBorder="1" applyAlignment="1">
      <alignment horizontal="center" vertical="center" shrinkToFit="1"/>
    </xf>
    <xf numFmtId="0" fontId="15" fillId="0" borderId="13" xfId="1" applyFont="1" applyBorder="1" applyAlignment="1">
      <alignment vertical="center" shrinkToFit="1"/>
    </xf>
    <xf numFmtId="0" fontId="15" fillId="3" borderId="27" xfId="1" applyFont="1" applyFill="1" applyBorder="1" applyAlignment="1">
      <alignment vertical="center" shrinkToFit="1"/>
    </xf>
    <xf numFmtId="0" fontId="22" fillId="0" borderId="2" xfId="1" applyFont="1" applyBorder="1" applyAlignment="1">
      <alignment horizontal="center" vertical="center" shrinkToFit="1"/>
    </xf>
    <xf numFmtId="0" fontId="22" fillId="0" borderId="7" xfId="1" applyFont="1" applyBorder="1" applyAlignment="1">
      <alignment horizontal="center" vertical="center" shrinkToFit="1"/>
    </xf>
    <xf numFmtId="0" fontId="17" fillId="3" borderId="7" xfId="1" applyFont="1" applyFill="1" applyBorder="1" applyAlignment="1">
      <alignment horizontal="center" vertical="center" shrinkToFit="1"/>
    </xf>
    <xf numFmtId="38" fontId="14" fillId="0" borderId="10" xfId="2" applyFont="1" applyBorder="1" applyAlignment="1">
      <alignment horizontal="center" vertical="center" shrinkToFit="1"/>
    </xf>
    <xf numFmtId="38" fontId="14" fillId="0" borderId="2" xfId="2" applyFont="1" applyBorder="1" applyAlignment="1">
      <alignment horizontal="center" vertical="center" shrinkToFit="1"/>
    </xf>
    <xf numFmtId="38" fontId="14" fillId="0" borderId="7" xfId="2" applyFont="1" applyBorder="1" applyAlignment="1">
      <alignment horizontal="center" vertical="center" shrinkToFit="1"/>
    </xf>
    <xf numFmtId="177" fontId="14" fillId="0" borderId="10" xfId="2" applyNumberFormat="1" applyFont="1" applyBorder="1" applyAlignment="1">
      <alignment horizontal="center" vertical="center" shrinkToFit="1"/>
    </xf>
    <xf numFmtId="0" fontId="14" fillId="3" borderId="2" xfId="1" applyFont="1" applyFill="1" applyBorder="1" applyAlignment="1">
      <alignment horizontal="center" vertical="center" shrinkToFit="1"/>
    </xf>
    <xf numFmtId="0" fontId="22" fillId="3" borderId="1" xfId="1" applyFont="1" applyFill="1" applyBorder="1" applyAlignment="1">
      <alignment horizontal="center" vertical="center" wrapText="1" shrinkToFit="1"/>
    </xf>
    <xf numFmtId="0" fontId="22" fillId="3" borderId="6" xfId="1" applyFont="1" applyFill="1" applyBorder="1" applyAlignment="1">
      <alignment horizontal="center" vertical="center" wrapText="1" shrinkToFit="1"/>
    </xf>
    <xf numFmtId="0" fontId="22" fillId="3" borderId="1" xfId="1" applyFont="1" applyFill="1" applyBorder="1" applyAlignment="1">
      <alignment horizontal="center" vertical="center" shrinkToFit="1"/>
    </xf>
    <xf numFmtId="0" fontId="22" fillId="3" borderId="6" xfId="1" applyFont="1" applyFill="1" applyBorder="1" applyAlignment="1">
      <alignment horizontal="center" vertical="center" shrinkToFit="1"/>
    </xf>
    <xf numFmtId="0" fontId="22" fillId="3" borderId="2" xfId="1" applyFont="1" applyFill="1" applyBorder="1" applyAlignment="1">
      <alignment horizontal="center" vertical="center" shrinkToFit="1"/>
    </xf>
    <xf numFmtId="0" fontId="22" fillId="3" borderId="24" xfId="1" applyFont="1" applyFill="1" applyBorder="1" applyAlignment="1">
      <alignment horizontal="center" vertical="center" shrinkToFit="1"/>
    </xf>
    <xf numFmtId="0" fontId="22" fillId="3" borderId="7" xfId="1" applyFont="1" applyFill="1" applyBorder="1" applyAlignment="1">
      <alignment horizontal="center" vertical="center" shrinkToFit="1"/>
    </xf>
    <xf numFmtId="0" fontId="22" fillId="3" borderId="23" xfId="1" applyFont="1" applyFill="1" applyBorder="1" applyAlignment="1">
      <alignment horizontal="center" vertical="center" shrinkToFit="1"/>
    </xf>
    <xf numFmtId="0" fontId="22" fillId="3" borderId="26" xfId="1" applyFont="1" applyFill="1" applyBorder="1" applyAlignment="1">
      <alignment horizontal="center" vertical="center" shrinkToFit="1"/>
    </xf>
    <xf numFmtId="0" fontId="17" fillId="3" borderId="24" xfId="1" applyFont="1" applyFill="1" applyBorder="1" applyAlignment="1">
      <alignment horizontal="center" vertical="center" shrinkToFit="1"/>
    </xf>
    <xf numFmtId="0" fontId="14" fillId="0" borderId="5" xfId="2" applyNumberFormat="1" applyFont="1" applyBorder="1" applyAlignment="1">
      <alignment horizontal="center" vertical="center" shrinkToFit="1"/>
    </xf>
    <xf numFmtId="0" fontId="14" fillId="0" borderId="10" xfId="1" applyFont="1" applyBorder="1" applyAlignment="1">
      <alignment horizontal="center" vertical="center" shrinkToFit="1"/>
    </xf>
    <xf numFmtId="0" fontId="14" fillId="0" borderId="7" xfId="1" applyFont="1" applyBorder="1" applyAlignment="1">
      <alignment horizontal="center" vertical="center" shrinkToFit="1"/>
    </xf>
    <xf numFmtId="0" fontId="14" fillId="4" borderId="10" xfId="1" applyFont="1" applyFill="1" applyBorder="1" applyAlignment="1">
      <alignment horizontal="center" vertical="center" shrinkToFit="1"/>
    </xf>
    <xf numFmtId="0" fontId="14" fillId="4" borderId="7" xfId="1" applyFont="1" applyFill="1" applyBorder="1" applyAlignment="1">
      <alignment horizontal="center" vertical="center" shrinkToFit="1"/>
    </xf>
    <xf numFmtId="0" fontId="15" fillId="0" borderId="5" xfId="1" applyFont="1" applyBorder="1" applyAlignment="1">
      <alignment horizontal="center" vertical="center" shrinkToFit="1"/>
    </xf>
    <xf numFmtId="177" fontId="14" fillId="3" borderId="13" xfId="2" applyNumberFormat="1" applyFont="1" applyFill="1" applyBorder="1" applyAlignment="1">
      <alignment vertical="center" shrinkToFit="1"/>
    </xf>
    <xf numFmtId="0" fontId="22" fillId="3" borderId="13" xfId="1" applyFont="1" applyFill="1" applyBorder="1" applyAlignment="1">
      <alignment vertical="center" shrinkToFit="1"/>
    </xf>
    <xf numFmtId="0" fontId="56" fillId="0" borderId="0" xfId="1" applyFont="1">
      <alignment vertical="center"/>
    </xf>
    <xf numFmtId="0" fontId="14" fillId="3" borderId="2" xfId="1" applyFont="1" applyFill="1" applyBorder="1" applyAlignment="1">
      <alignment horizontal="center" vertical="top" shrinkToFit="1"/>
    </xf>
    <xf numFmtId="0" fontId="14" fillId="3" borderId="7" xfId="1" applyFont="1" applyFill="1" applyBorder="1" applyAlignment="1">
      <alignment horizontal="center" vertical="top" shrinkToFit="1"/>
    </xf>
    <xf numFmtId="0" fontId="14" fillId="4" borderId="24" xfId="1" applyFont="1" applyFill="1" applyBorder="1" applyAlignment="1">
      <alignment horizontal="center" vertical="center" shrinkToFit="1"/>
    </xf>
    <xf numFmtId="0" fontId="14" fillId="3" borderId="24" xfId="1" applyFont="1" applyFill="1" applyBorder="1" applyAlignment="1">
      <alignment horizontal="center" vertical="center" shrinkToFit="1"/>
    </xf>
    <xf numFmtId="0" fontId="14" fillId="3" borderId="35" xfId="1" applyFont="1" applyFill="1" applyBorder="1" applyAlignment="1">
      <alignment horizontal="center" vertical="top" shrinkToFit="1"/>
    </xf>
    <xf numFmtId="0" fontId="14" fillId="0" borderId="24" xfId="1" applyFont="1" applyBorder="1" applyAlignment="1">
      <alignment horizontal="center" vertical="center" shrinkToFit="1"/>
    </xf>
    <xf numFmtId="0" fontId="14" fillId="0" borderId="10" xfId="2" applyNumberFormat="1" applyFont="1" applyBorder="1" applyAlignment="1">
      <alignment horizontal="center" vertical="center" shrinkToFit="1"/>
    </xf>
    <xf numFmtId="0" fontId="22" fillId="3" borderId="23" xfId="3" applyFont="1" applyFill="1" applyBorder="1" applyAlignment="1">
      <alignment horizontal="center" vertical="center" shrinkToFit="1"/>
    </xf>
    <xf numFmtId="0" fontId="22" fillId="3" borderId="6" xfId="3" applyFont="1" applyFill="1" applyBorder="1" applyAlignment="1">
      <alignment horizontal="center" vertical="center" shrinkToFit="1"/>
    </xf>
    <xf numFmtId="0" fontId="22" fillId="3" borderId="2" xfId="3" applyFont="1" applyFill="1" applyBorder="1" applyAlignment="1">
      <alignment horizontal="center" vertical="center" shrinkToFit="1"/>
    </xf>
    <xf numFmtId="0" fontId="22" fillId="3" borderId="24" xfId="3" applyFont="1" applyFill="1" applyBorder="1" applyAlignment="1">
      <alignment horizontal="center" vertical="center" shrinkToFit="1"/>
    </xf>
    <xf numFmtId="0" fontId="22" fillId="3" borderId="7" xfId="3" applyFont="1" applyFill="1" applyBorder="1" applyAlignment="1">
      <alignment horizontal="center" vertical="center" shrinkToFit="1"/>
    </xf>
    <xf numFmtId="0" fontId="22" fillId="3" borderId="1" xfId="3" applyFont="1" applyFill="1" applyBorder="1" applyAlignment="1">
      <alignment horizontal="center" vertical="center" shrinkToFit="1"/>
    </xf>
    <xf numFmtId="0" fontId="22" fillId="3" borderId="26" xfId="3" applyFont="1" applyFill="1" applyBorder="1" applyAlignment="1">
      <alignment horizontal="center" vertical="center" shrinkToFit="1"/>
    </xf>
    <xf numFmtId="0" fontId="22" fillId="0" borderId="7" xfId="3" applyFont="1" applyBorder="1" applyAlignment="1">
      <alignment horizontal="center" vertical="center" shrinkToFit="1"/>
    </xf>
    <xf numFmtId="0" fontId="27" fillId="4" borderId="24" xfId="3" applyFont="1" applyFill="1" applyBorder="1" applyAlignment="1">
      <alignment horizontal="center" vertical="center" wrapText="1" shrinkToFit="1"/>
    </xf>
    <xf numFmtId="0" fontId="27" fillId="4" borderId="7" xfId="3" applyFont="1" applyFill="1" applyBorder="1" applyAlignment="1">
      <alignment horizontal="center" vertical="center" wrapText="1" shrinkToFit="1"/>
    </xf>
    <xf numFmtId="0" fontId="22" fillId="4" borderId="7" xfId="3" applyFont="1" applyFill="1" applyBorder="1" applyAlignment="1">
      <alignment horizontal="center" vertical="center" wrapText="1" shrinkToFit="1"/>
    </xf>
    <xf numFmtId="0" fontId="22" fillId="4" borderId="24" xfId="3" applyFont="1" applyFill="1" applyBorder="1" applyAlignment="1">
      <alignment horizontal="center" vertical="center" wrapText="1" shrinkToFit="1"/>
    </xf>
    <xf numFmtId="0" fontId="22" fillId="4" borderId="24" xfId="3" applyFont="1" applyFill="1" applyBorder="1" applyAlignment="1">
      <alignment horizontal="center" vertical="center" shrinkToFit="1"/>
    </xf>
    <xf numFmtId="0" fontId="17" fillId="3" borderId="1" xfId="1" applyFont="1" applyFill="1" applyBorder="1" applyAlignment="1">
      <alignment horizontal="center" vertical="center" shrinkToFit="1"/>
    </xf>
    <xf numFmtId="0" fontId="17" fillId="3" borderId="6" xfId="1" applyFont="1" applyFill="1" applyBorder="1" applyAlignment="1">
      <alignment horizontal="center" vertical="center" shrinkToFit="1"/>
    </xf>
    <xf numFmtId="0" fontId="17" fillId="3" borderId="23" xfId="1" applyFont="1" applyFill="1" applyBorder="1" applyAlignment="1">
      <alignment horizontal="center" vertical="center" shrinkToFit="1"/>
    </xf>
    <xf numFmtId="0" fontId="16" fillId="3" borderId="24" xfId="1" applyFont="1" applyFill="1" applyBorder="1" applyAlignment="1">
      <alignment horizontal="center" vertical="center" shrinkToFit="1"/>
    </xf>
    <xf numFmtId="0" fontId="16" fillId="3" borderId="7" xfId="1" applyFont="1" applyFill="1" applyBorder="1" applyAlignment="1">
      <alignment horizontal="center" vertical="center" shrinkToFit="1"/>
    </xf>
    <xf numFmtId="0" fontId="16" fillId="3" borderId="21" xfId="1" applyFont="1" applyFill="1" applyBorder="1" applyAlignment="1">
      <alignment horizontal="center" vertical="center" shrinkToFit="1"/>
    </xf>
    <xf numFmtId="0" fontId="16" fillId="3" borderId="2" xfId="1" applyFont="1" applyFill="1" applyBorder="1" applyAlignment="1">
      <alignment horizontal="center" vertical="top" shrinkToFit="1"/>
    </xf>
    <xf numFmtId="0" fontId="16" fillId="3" borderId="7" xfId="1" applyFont="1" applyFill="1" applyBorder="1" applyAlignment="1">
      <alignment horizontal="center" vertical="top" shrinkToFit="1"/>
    </xf>
    <xf numFmtId="0" fontId="16" fillId="3" borderId="2" xfId="1" applyFont="1" applyFill="1" applyBorder="1" applyAlignment="1">
      <alignment horizontal="center" vertical="center" shrinkToFit="1"/>
    </xf>
    <xf numFmtId="0" fontId="52" fillId="0" borderId="5" xfId="1" applyFont="1" applyBorder="1" applyAlignment="1">
      <alignment vertical="center" wrapText="1" shrinkToFit="1"/>
    </xf>
    <xf numFmtId="0" fontId="17" fillId="4" borderId="4" xfId="1" applyFont="1" applyFill="1" applyBorder="1" applyAlignment="1">
      <alignment vertical="center" shrinkToFit="1"/>
    </xf>
    <xf numFmtId="0" fontId="22" fillId="0" borderId="10" xfId="1" applyFont="1" applyBorder="1" applyAlignment="1">
      <alignment horizontal="center" vertical="center" shrinkToFit="1"/>
    </xf>
    <xf numFmtId="0" fontId="14" fillId="0" borderId="5" xfId="1" applyFont="1" applyBorder="1" applyAlignment="1">
      <alignment horizontal="center" vertical="center" shrinkToFit="1"/>
    </xf>
    <xf numFmtId="0" fontId="33" fillId="0" borderId="0" xfId="7" applyNumberFormat="1" applyFont="1" applyFill="1" applyBorder="1" applyAlignment="1" applyProtection="1">
      <alignment vertical="center" shrinkToFit="1"/>
    </xf>
    <xf numFmtId="0" fontId="14" fillId="0" borderId="0" xfId="1" applyFont="1" applyAlignment="1">
      <alignment vertical="center" shrinkToFit="1"/>
    </xf>
    <xf numFmtId="0" fontId="15" fillId="0" borderId="0" xfId="1" applyFont="1" applyAlignment="1">
      <alignment vertical="center" shrinkToFit="1"/>
    </xf>
    <xf numFmtId="38" fontId="14" fillId="0" borderId="9" xfId="2" applyFont="1" applyFill="1" applyBorder="1" applyAlignment="1">
      <alignment vertical="center" shrinkToFit="1"/>
    </xf>
    <xf numFmtId="0" fontId="15" fillId="0" borderId="9" xfId="1" applyFont="1" applyBorder="1" applyAlignment="1">
      <alignment vertical="center" shrinkToFit="1"/>
    </xf>
    <xf numFmtId="178" fontId="14" fillId="0" borderId="5" xfId="2" applyNumberFormat="1" applyFont="1" applyFill="1" applyBorder="1" applyAlignment="1">
      <alignment horizontal="center" vertical="center" shrinkToFit="1"/>
    </xf>
    <xf numFmtId="0" fontId="22" fillId="4" borderId="9" xfId="1" applyFont="1" applyFill="1" applyBorder="1" applyAlignment="1">
      <alignment vertical="center" shrinkToFit="1"/>
    </xf>
    <xf numFmtId="38" fontId="14" fillId="0" borderId="10" xfId="2" applyFont="1" applyBorder="1" applyAlignment="1">
      <alignment vertical="center" shrinkToFit="1"/>
    </xf>
    <xf numFmtId="38" fontId="14" fillId="0" borderId="10" xfId="2" applyFont="1" applyFill="1" applyBorder="1" applyAlignment="1">
      <alignment vertical="center" shrinkToFit="1"/>
    </xf>
    <xf numFmtId="38" fontId="14" fillId="0" borderId="2" xfId="2" applyFont="1" applyFill="1" applyBorder="1" applyAlignment="1">
      <alignment vertical="center" shrinkToFit="1"/>
    </xf>
    <xf numFmtId="0" fontId="14" fillId="0" borderId="5" xfId="1" applyFont="1" applyBorder="1" applyAlignment="1">
      <alignment horizontal="right" vertical="center" shrinkToFit="1"/>
    </xf>
    <xf numFmtId="38" fontId="14" fillId="4" borderId="4" xfId="2" applyFont="1" applyFill="1" applyBorder="1" applyAlignment="1">
      <alignment vertical="center" shrinkToFit="1"/>
    </xf>
    <xf numFmtId="38" fontId="14" fillId="0" borderId="4" xfId="2" applyFont="1" applyFill="1" applyBorder="1" applyAlignment="1">
      <alignment vertical="center" shrinkToFit="1"/>
    </xf>
    <xf numFmtId="0" fontId="15" fillId="0" borderId="4" xfId="1" applyFont="1" applyBorder="1" applyAlignment="1">
      <alignment vertical="center" shrinkToFit="1"/>
    </xf>
    <xf numFmtId="0" fontId="57" fillId="4" borderId="4" xfId="1" applyFont="1" applyFill="1" applyBorder="1">
      <alignment vertical="center"/>
    </xf>
    <xf numFmtId="0" fontId="16" fillId="0" borderId="4" xfId="1" applyFont="1" applyBorder="1" applyAlignment="1">
      <alignment horizontal="center" vertical="center" shrinkToFit="1"/>
    </xf>
    <xf numFmtId="178" fontId="14" fillId="0" borderId="4" xfId="2" applyNumberFormat="1" applyFont="1" applyFill="1" applyBorder="1" applyAlignment="1">
      <alignment horizontal="center" vertical="center" shrinkToFit="1"/>
    </xf>
    <xf numFmtId="0" fontId="14" fillId="0" borderId="4" xfId="1" applyFont="1" applyBorder="1" applyAlignment="1">
      <alignment vertical="center" shrinkToFit="1"/>
    </xf>
    <xf numFmtId="0" fontId="58" fillId="4" borderId="4" xfId="1" applyFont="1" applyFill="1" applyBorder="1">
      <alignment vertical="center"/>
    </xf>
    <xf numFmtId="0" fontId="61" fillId="0" borderId="4" xfId="1" applyFont="1" applyBorder="1">
      <alignment vertical="center"/>
    </xf>
    <xf numFmtId="0" fontId="61" fillId="0" borderId="0" xfId="1" applyFont="1">
      <alignment vertical="center"/>
    </xf>
    <xf numFmtId="178" fontId="14" fillId="0" borderId="0" xfId="2" applyNumberFormat="1" applyFont="1" applyFill="1" applyBorder="1" applyAlignment="1">
      <alignment horizontal="center" vertical="center" shrinkToFit="1"/>
    </xf>
    <xf numFmtId="38" fontId="40" fillId="0" borderId="5" xfId="2" applyFont="1" applyFill="1" applyBorder="1" applyAlignment="1">
      <alignment vertical="center" wrapText="1" shrinkToFit="1"/>
    </xf>
    <xf numFmtId="38" fontId="40" fillId="4" borderId="11" xfId="2" applyFont="1" applyFill="1" applyBorder="1" applyAlignment="1">
      <alignment vertical="center" wrapText="1" shrinkToFit="1"/>
    </xf>
    <xf numFmtId="0" fontId="14" fillId="0" borderId="5" xfId="2" applyNumberFormat="1" applyFont="1" applyFill="1" applyBorder="1" applyAlignment="1">
      <alignment vertical="center" shrinkToFit="1"/>
    </xf>
    <xf numFmtId="0" fontId="14" fillId="3" borderId="5" xfId="2" applyNumberFormat="1" applyFont="1" applyFill="1" applyBorder="1" applyAlignment="1">
      <alignment vertical="center" shrinkToFit="1"/>
    </xf>
    <xf numFmtId="0" fontId="14" fillId="3" borderId="13" xfId="2" applyNumberFormat="1" applyFont="1" applyFill="1" applyBorder="1" applyAlignment="1">
      <alignment vertical="center" shrinkToFit="1"/>
    </xf>
    <xf numFmtId="0" fontId="14" fillId="3" borderId="6" xfId="2" applyNumberFormat="1" applyFont="1" applyFill="1" applyBorder="1" applyAlignment="1">
      <alignment vertical="center" shrinkToFit="1"/>
    </xf>
    <xf numFmtId="0" fontId="14" fillId="0" borderId="12" xfId="2" applyNumberFormat="1" applyFont="1" applyFill="1" applyBorder="1" applyAlignment="1">
      <alignment vertical="center" shrinkToFit="1"/>
    </xf>
    <xf numFmtId="0" fontId="14" fillId="0" borderId="6" xfId="1" applyFont="1" applyBorder="1" applyAlignment="1">
      <alignment vertical="center" shrinkToFit="1"/>
    </xf>
    <xf numFmtId="0" fontId="16" fillId="0" borderId="5" xfId="1" applyFont="1" applyBorder="1" applyAlignment="1">
      <alignment vertical="center" shrinkToFit="1"/>
    </xf>
    <xf numFmtId="0" fontId="22" fillId="0" borderId="24" xfId="1" applyFont="1" applyBorder="1" applyAlignment="1">
      <alignment vertical="center" shrinkToFit="1"/>
    </xf>
    <xf numFmtId="0" fontId="14" fillId="5" borderId="27" xfId="1" applyFont="1" applyFill="1" applyBorder="1" applyAlignment="1">
      <alignment horizontal="center" vertical="center"/>
    </xf>
    <xf numFmtId="0" fontId="22" fillId="0" borderId="27" xfId="1" applyFont="1" applyBorder="1" applyAlignment="1">
      <alignment vertical="center" shrinkToFit="1"/>
    </xf>
    <xf numFmtId="0" fontId="16" fillId="0" borderId="27" xfId="1" applyFont="1" applyBorder="1" applyAlignment="1">
      <alignment horizontal="center" vertical="center" shrinkToFit="1"/>
    </xf>
    <xf numFmtId="38" fontId="14" fillId="3" borderId="32" xfId="2" applyFont="1" applyFill="1" applyBorder="1" applyAlignment="1">
      <alignment vertical="center" shrinkToFit="1"/>
    </xf>
    <xf numFmtId="38" fontId="14" fillId="3" borderId="1" xfId="2" applyFont="1" applyFill="1" applyBorder="1" applyAlignment="1">
      <alignment horizontal="right" vertical="center" shrinkToFit="1"/>
    </xf>
    <xf numFmtId="0" fontId="14" fillId="3" borderId="6" xfId="1" applyFont="1" applyFill="1" applyBorder="1" applyAlignment="1">
      <alignment horizontal="center" vertical="center" shrinkToFit="1"/>
    </xf>
    <xf numFmtId="0" fontId="22" fillId="3" borderId="5" xfId="1" applyFont="1" applyFill="1" applyBorder="1" applyAlignment="1">
      <alignment horizontal="center" vertical="center" shrinkToFit="1"/>
    </xf>
    <xf numFmtId="0" fontId="14" fillId="3" borderId="11" xfId="1" applyFont="1" applyFill="1" applyBorder="1" applyAlignment="1">
      <alignment vertical="center" shrinkToFit="1"/>
    </xf>
    <xf numFmtId="177" fontId="14" fillId="3" borderId="28" xfId="2" applyNumberFormat="1" applyFont="1" applyFill="1" applyBorder="1" applyAlignment="1">
      <alignment horizontal="center" vertical="center" shrinkToFit="1"/>
    </xf>
    <xf numFmtId="38" fontId="14" fillId="3" borderId="28" xfId="2" applyFont="1" applyFill="1" applyBorder="1" applyAlignment="1">
      <alignment horizontal="center" vertical="center" shrinkToFit="1"/>
    </xf>
    <xf numFmtId="38" fontId="14" fillId="3" borderId="2" xfId="2" applyFont="1" applyFill="1" applyBorder="1" applyAlignment="1">
      <alignment horizontal="center" vertical="center" shrinkToFit="1"/>
    </xf>
    <xf numFmtId="38" fontId="14" fillId="3" borderId="7" xfId="2" applyFont="1" applyFill="1" applyBorder="1" applyAlignment="1">
      <alignment horizontal="center" vertical="center" shrinkToFit="1"/>
    </xf>
    <xf numFmtId="0" fontId="16" fillId="3" borderId="2" xfId="1" applyFont="1" applyFill="1" applyBorder="1" applyAlignment="1">
      <alignment horizontal="right" vertical="top" shrinkToFit="1"/>
    </xf>
    <xf numFmtId="0" fontId="16" fillId="3" borderId="7" xfId="1" applyFont="1" applyFill="1" applyBorder="1" applyAlignment="1">
      <alignment horizontal="right" vertical="top" shrinkToFit="1"/>
    </xf>
    <xf numFmtId="0" fontId="16" fillId="3" borderId="2" xfId="1" applyFont="1" applyFill="1" applyBorder="1" applyAlignment="1">
      <alignment horizontal="right" vertical="center" shrinkToFit="1"/>
    </xf>
    <xf numFmtId="0" fontId="16" fillId="3" borderId="7" xfId="1" applyFont="1" applyFill="1" applyBorder="1" applyAlignment="1">
      <alignment horizontal="right" vertical="center" shrinkToFit="1"/>
    </xf>
    <xf numFmtId="0" fontId="14" fillId="3" borderId="2" xfId="1" applyFont="1" applyFill="1" applyBorder="1" applyAlignment="1">
      <alignment horizontal="right" vertical="center" shrinkToFit="1"/>
    </xf>
    <xf numFmtId="0" fontId="17" fillId="3" borderId="7" xfId="1" applyFont="1" applyFill="1" applyBorder="1" applyAlignment="1">
      <alignment horizontal="right" vertical="center" shrinkToFit="1"/>
    </xf>
    <xf numFmtId="38" fontId="14" fillId="0" borderId="10" xfId="2" applyFont="1" applyBorder="1" applyAlignment="1">
      <alignment horizontal="right" vertical="center" shrinkToFit="1"/>
    </xf>
    <xf numFmtId="0" fontId="16" fillId="0" borderId="14" xfId="1" applyFont="1" applyBorder="1" applyAlignment="1">
      <alignment horizontal="right" vertical="center" shrinkToFit="1"/>
    </xf>
    <xf numFmtId="0" fontId="16" fillId="3" borderId="21" xfId="1" applyFont="1" applyFill="1" applyBorder="1" applyAlignment="1">
      <alignment horizontal="right" vertical="center" shrinkToFit="1"/>
    </xf>
    <xf numFmtId="0" fontId="16" fillId="3" borderId="24" xfId="1" applyFont="1" applyFill="1" applyBorder="1" applyAlignment="1">
      <alignment horizontal="right" vertical="center" shrinkToFit="1"/>
    </xf>
    <xf numFmtId="0" fontId="16" fillId="3" borderId="2" xfId="13" applyNumberFormat="1" applyFont="1" applyFill="1" applyBorder="1" applyAlignment="1">
      <alignment horizontal="center" vertical="top" shrinkToFit="1"/>
    </xf>
    <xf numFmtId="0" fontId="16" fillId="3" borderId="7" xfId="13" applyNumberFormat="1" applyFont="1" applyFill="1" applyBorder="1" applyAlignment="1">
      <alignment horizontal="center" vertical="top" shrinkToFit="1"/>
    </xf>
    <xf numFmtId="0" fontId="16" fillId="3" borderId="2" xfId="13" applyNumberFormat="1" applyFont="1" applyFill="1" applyBorder="1" applyAlignment="1">
      <alignment horizontal="center" vertical="center" shrinkToFit="1"/>
    </xf>
    <xf numFmtId="0" fontId="16" fillId="3" borderId="7" xfId="13" applyNumberFormat="1" applyFont="1" applyFill="1" applyBorder="1" applyAlignment="1">
      <alignment horizontal="center" vertical="center" shrinkToFit="1"/>
    </xf>
    <xf numFmtId="0" fontId="14" fillId="3" borderId="2" xfId="13" applyNumberFormat="1" applyFont="1" applyFill="1" applyBorder="1" applyAlignment="1">
      <alignment horizontal="center" vertical="center" shrinkToFit="1"/>
    </xf>
    <xf numFmtId="0" fontId="14" fillId="3" borderId="7" xfId="13" applyNumberFormat="1" applyFont="1" applyFill="1" applyBorder="1" applyAlignment="1">
      <alignment horizontal="center" vertical="center" shrinkToFit="1"/>
    </xf>
    <xf numFmtId="0" fontId="14" fillId="0" borderId="10" xfId="13" applyNumberFormat="1" applyFont="1" applyBorder="1" applyAlignment="1">
      <alignment horizontal="center" vertical="center" shrinkToFit="1"/>
    </xf>
    <xf numFmtId="0" fontId="16" fillId="0" borderId="10" xfId="13" applyNumberFormat="1" applyFont="1" applyBorder="1" applyAlignment="1">
      <alignment horizontal="center" vertical="center" shrinkToFit="1"/>
    </xf>
    <xf numFmtId="0" fontId="16" fillId="0" borderId="14" xfId="13" applyNumberFormat="1" applyFont="1" applyBorder="1" applyAlignment="1">
      <alignment horizontal="center" vertical="center" shrinkToFit="1"/>
    </xf>
    <xf numFmtId="0" fontId="16" fillId="3" borderId="21" xfId="13" applyNumberFormat="1" applyFont="1" applyFill="1" applyBorder="1" applyAlignment="1">
      <alignment horizontal="center" vertical="center" shrinkToFit="1"/>
    </xf>
    <xf numFmtId="0" fontId="16" fillId="3" borderId="24" xfId="13" applyNumberFormat="1" applyFont="1" applyFill="1" applyBorder="1" applyAlignment="1">
      <alignment horizontal="center" vertical="center" shrinkToFit="1"/>
    </xf>
    <xf numFmtId="0" fontId="22" fillId="0" borderId="6" xfId="1" applyFont="1" applyBorder="1" applyAlignment="1">
      <alignment horizontal="center" vertical="center" shrinkToFit="1"/>
    </xf>
    <xf numFmtId="0" fontId="24" fillId="7" borderId="0" xfId="1" applyFont="1" applyFill="1">
      <alignment vertical="center"/>
    </xf>
    <xf numFmtId="0" fontId="25" fillId="0" borderId="0" xfId="1" applyFont="1">
      <alignment vertical="center"/>
    </xf>
    <xf numFmtId="0" fontId="22" fillId="4" borderId="0" xfId="1" applyFont="1" applyFill="1">
      <alignment vertical="center"/>
    </xf>
    <xf numFmtId="0" fontId="32" fillId="0" borderId="5" xfId="1" applyFont="1" applyBorder="1" applyAlignment="1">
      <alignment horizontal="center" vertical="center" shrinkToFit="1"/>
    </xf>
    <xf numFmtId="0" fontId="22" fillId="6" borderId="5" xfId="0" applyFont="1" applyFill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6" fillId="0" borderId="7" xfId="1" applyFont="1" applyBorder="1" applyAlignment="1">
      <alignment horizontal="center" vertical="center" shrinkToFit="1"/>
    </xf>
    <xf numFmtId="0" fontId="14" fillId="0" borderId="14" xfId="1" applyFont="1" applyBorder="1" applyAlignment="1">
      <alignment horizontal="center" vertical="center" shrinkToFit="1"/>
    </xf>
    <xf numFmtId="0" fontId="14" fillId="6" borderId="23" xfId="1" applyFont="1" applyFill="1" applyBorder="1" applyAlignment="1">
      <alignment horizontal="center" vertical="center"/>
    </xf>
    <xf numFmtId="0" fontId="14" fillId="6" borderId="40" xfId="1" applyFont="1" applyFill="1" applyBorder="1" applyAlignment="1">
      <alignment horizontal="center" vertical="center"/>
    </xf>
    <xf numFmtId="0" fontId="14" fillId="6" borderId="41" xfId="1" applyFont="1" applyFill="1" applyBorder="1" applyAlignment="1">
      <alignment horizontal="center" vertical="center"/>
    </xf>
    <xf numFmtId="0" fontId="14" fillId="0" borderId="15" xfId="1" applyFont="1" applyBorder="1" applyAlignment="1">
      <alignment vertical="center" shrinkToFit="1"/>
    </xf>
    <xf numFmtId="0" fontId="22" fillId="3" borderId="1" xfId="1" applyFont="1" applyFill="1" applyBorder="1" applyAlignment="1">
      <alignment horizontal="left" vertical="center" wrapText="1" shrinkToFit="1"/>
    </xf>
    <xf numFmtId="0" fontId="22" fillId="3" borderId="6" xfId="1" applyFont="1" applyFill="1" applyBorder="1" applyAlignment="1">
      <alignment horizontal="left" vertical="center" wrapText="1" shrinkToFit="1"/>
    </xf>
    <xf numFmtId="0" fontId="14" fillId="0" borderId="13" xfId="1" applyFont="1" applyBorder="1" applyAlignment="1">
      <alignment horizontal="center" vertical="center" shrinkToFit="1"/>
    </xf>
    <xf numFmtId="0" fontId="14" fillId="3" borderId="1" xfId="1" applyFont="1" applyFill="1" applyBorder="1" applyAlignment="1">
      <alignment horizontal="center" vertical="center" shrinkToFit="1"/>
    </xf>
    <xf numFmtId="0" fontId="14" fillId="3" borderId="6" xfId="1" applyFont="1" applyFill="1" applyBorder="1" applyAlignment="1">
      <alignment vertical="center" shrinkToFit="1"/>
    </xf>
    <xf numFmtId="0" fontId="22" fillId="0" borderId="23" xfId="1" applyFont="1" applyBorder="1" applyAlignment="1">
      <alignment horizontal="left" vertical="center" wrapText="1" shrinkToFit="1"/>
    </xf>
    <xf numFmtId="0" fontId="16" fillId="0" borderId="23" xfId="1" applyFont="1" applyBorder="1" applyAlignment="1">
      <alignment horizontal="left" vertical="center" shrinkToFit="1"/>
    </xf>
    <xf numFmtId="0" fontId="43" fillId="0" borderId="1" xfId="1" applyFont="1" applyBorder="1" applyAlignment="1">
      <alignment horizontal="left" vertical="center" wrapText="1" shrinkToFit="1"/>
    </xf>
    <xf numFmtId="0" fontId="14" fillId="0" borderId="2" xfId="1" applyFont="1" applyBorder="1" applyAlignment="1">
      <alignment horizontal="center" vertical="center" shrinkToFit="1"/>
    </xf>
    <xf numFmtId="0" fontId="14" fillId="3" borderId="23" xfId="1" applyFont="1" applyFill="1" applyBorder="1" applyAlignment="1">
      <alignment horizontal="center" vertical="center" shrinkToFit="1"/>
    </xf>
    <xf numFmtId="0" fontId="38" fillId="7" borderId="0" xfId="1" applyFont="1" applyFill="1">
      <alignment vertical="center"/>
    </xf>
    <xf numFmtId="0" fontId="16" fillId="3" borderId="28" xfId="1" applyFont="1" applyFill="1" applyBorder="1" applyAlignment="1">
      <alignment horizontal="center" vertical="center" shrinkToFit="1"/>
    </xf>
    <xf numFmtId="0" fontId="14" fillId="0" borderId="5" xfId="1" applyFont="1" applyBorder="1" applyAlignment="1">
      <alignment horizontal="left" vertical="center" wrapText="1" shrinkToFit="1"/>
    </xf>
    <xf numFmtId="177" fontId="14" fillId="3" borderId="7" xfId="2" applyNumberFormat="1" applyFont="1" applyFill="1" applyBorder="1" applyAlignment="1">
      <alignment horizontal="center" vertical="center" shrinkToFit="1"/>
    </xf>
    <xf numFmtId="0" fontId="22" fillId="0" borderId="13" xfId="1" applyFont="1" applyBorder="1" applyAlignment="1">
      <alignment horizontal="left" vertical="center" wrapText="1" shrinkToFit="1"/>
    </xf>
    <xf numFmtId="0" fontId="16" fillId="0" borderId="13" xfId="1" applyFont="1" applyBorder="1" applyAlignment="1">
      <alignment horizontal="left" vertical="center" shrinkToFit="1"/>
    </xf>
    <xf numFmtId="38" fontId="14" fillId="0" borderId="14" xfId="2" applyFont="1" applyBorder="1" applyAlignment="1">
      <alignment horizontal="center" vertical="center" shrinkToFit="1"/>
    </xf>
    <xf numFmtId="179" fontId="14" fillId="3" borderId="2" xfId="1" applyNumberFormat="1" applyFont="1" applyFill="1" applyBorder="1" applyAlignment="1">
      <alignment horizontal="center" vertical="top" shrinkToFit="1"/>
    </xf>
    <xf numFmtId="179" fontId="14" fillId="3" borderId="7" xfId="1" applyNumberFormat="1" applyFont="1" applyFill="1" applyBorder="1" applyAlignment="1">
      <alignment horizontal="center" vertical="top" shrinkToFit="1"/>
    </xf>
    <xf numFmtId="179" fontId="14" fillId="3" borderId="2" xfId="1" applyNumberFormat="1" applyFont="1" applyFill="1" applyBorder="1" applyAlignment="1">
      <alignment horizontal="center" vertical="center" shrinkToFit="1"/>
    </xf>
    <xf numFmtId="179" fontId="14" fillId="3" borderId="7" xfId="1" applyNumberFormat="1" applyFont="1" applyFill="1" applyBorder="1" applyAlignment="1">
      <alignment horizontal="center" vertical="center" shrinkToFit="1"/>
    </xf>
    <xf numFmtId="179" fontId="14" fillId="0" borderId="10" xfId="2" applyNumberFormat="1" applyFont="1" applyBorder="1" applyAlignment="1">
      <alignment horizontal="center" vertical="center" shrinkToFit="1"/>
    </xf>
    <xf numFmtId="179" fontId="14" fillId="0" borderId="14" xfId="2" applyNumberFormat="1" applyFont="1" applyBorder="1" applyAlignment="1">
      <alignment horizontal="center" vertical="center" shrinkToFit="1"/>
    </xf>
    <xf numFmtId="179" fontId="14" fillId="3" borderId="7" xfId="2" applyNumberFormat="1" applyFont="1" applyFill="1" applyBorder="1" applyAlignment="1">
      <alignment horizontal="center" vertical="center" shrinkToFit="1"/>
    </xf>
    <xf numFmtId="179" fontId="14" fillId="3" borderId="24" xfId="1" applyNumberFormat="1" applyFont="1" applyFill="1" applyBorder="1" applyAlignment="1">
      <alignment horizontal="center" vertical="center" shrinkToFit="1"/>
    </xf>
    <xf numFmtId="179" fontId="14" fillId="0" borderId="24" xfId="1" applyNumberFormat="1" applyFont="1" applyBorder="1" applyAlignment="1">
      <alignment horizontal="center" vertical="center" shrinkToFit="1"/>
    </xf>
    <xf numFmtId="179" fontId="14" fillId="0" borderId="2" xfId="1" applyNumberFormat="1" applyFont="1" applyBorder="1" applyAlignment="1">
      <alignment horizontal="center" vertical="center" shrinkToFit="1"/>
    </xf>
    <xf numFmtId="179" fontId="14" fillId="0" borderId="10" xfId="1" applyNumberFormat="1" applyFont="1" applyBorder="1" applyAlignment="1">
      <alignment horizontal="center" vertical="center" shrinkToFit="1"/>
    </xf>
    <xf numFmtId="0" fontId="24" fillId="0" borderId="9" xfId="1" applyFont="1" applyBorder="1" applyAlignment="1">
      <alignment horizontal="center" vertical="center"/>
    </xf>
    <xf numFmtId="38" fontId="19" fillId="0" borderId="6" xfId="2" applyFont="1" applyBorder="1" applyAlignment="1">
      <alignment vertical="center" shrinkToFit="1"/>
    </xf>
    <xf numFmtId="38" fontId="19" fillId="0" borderId="5" xfId="2" applyFont="1" applyBorder="1" applyAlignment="1">
      <alignment vertical="center" shrinkToFit="1"/>
    </xf>
    <xf numFmtId="38" fontId="19" fillId="0" borderId="5" xfId="2" applyFont="1" applyFill="1" applyBorder="1" applyAlignment="1">
      <alignment vertical="center" wrapText="1" shrinkToFit="1"/>
    </xf>
    <xf numFmtId="38" fontId="19" fillId="0" borderId="1" xfId="2" applyFont="1" applyFill="1" applyBorder="1" applyAlignment="1">
      <alignment vertical="center" shrinkToFit="1"/>
    </xf>
    <xf numFmtId="38" fontId="19" fillId="0" borderId="5" xfId="2" applyFont="1" applyFill="1" applyBorder="1" applyAlignment="1">
      <alignment vertical="center" shrinkToFit="1"/>
    </xf>
    <xf numFmtId="176" fontId="19" fillId="0" borderId="6" xfId="1" applyNumberFormat="1" applyFont="1" applyBorder="1" applyAlignment="1">
      <alignment vertical="center" shrinkToFit="1"/>
    </xf>
    <xf numFmtId="0" fontId="22" fillId="0" borderId="12" xfId="1" applyFont="1" applyBorder="1" applyAlignment="1">
      <alignment vertical="center" shrinkToFit="1"/>
    </xf>
    <xf numFmtId="0" fontId="20" fillId="0" borderId="5" xfId="1" applyFont="1" applyBorder="1" applyAlignment="1">
      <alignment horizontal="center" vertical="center" shrinkToFit="1"/>
    </xf>
    <xf numFmtId="38" fontId="65" fillId="0" borderId="5" xfId="2" applyFont="1" applyBorder="1" applyAlignment="1">
      <alignment vertical="center" wrapText="1" shrinkToFit="1"/>
    </xf>
    <xf numFmtId="0" fontId="65" fillId="4" borderId="11" xfId="1" applyFont="1" applyFill="1" applyBorder="1" applyAlignment="1">
      <alignment vertical="center" wrapText="1" shrinkToFit="1"/>
    </xf>
    <xf numFmtId="38" fontId="65" fillId="0" borderId="5" xfId="2" applyFont="1" applyBorder="1" applyAlignment="1">
      <alignment vertical="center" shrinkToFit="1"/>
    </xf>
    <xf numFmtId="38" fontId="65" fillId="0" borderId="5" xfId="2" applyFont="1" applyFill="1" applyBorder="1" applyAlignment="1">
      <alignment vertical="center" shrinkToFit="1"/>
    </xf>
    <xf numFmtId="0" fontId="19" fillId="0" borderId="0" xfId="1" applyFont="1">
      <alignment vertical="center"/>
    </xf>
    <xf numFmtId="0" fontId="36" fillId="0" borderId="5" xfId="1" applyFont="1" applyBorder="1" applyAlignment="1">
      <alignment horizontal="left" vertical="center" shrinkToFit="1"/>
    </xf>
    <xf numFmtId="0" fontId="65" fillId="0" borderId="5" xfId="1" applyFont="1" applyBorder="1" applyAlignment="1">
      <alignment vertical="center" shrinkToFit="1"/>
    </xf>
    <xf numFmtId="0" fontId="17" fillId="0" borderId="5" xfId="1" applyFont="1" applyBorder="1" applyAlignment="1">
      <alignment vertical="center" shrinkToFit="1"/>
    </xf>
    <xf numFmtId="0" fontId="65" fillId="0" borderId="5" xfId="1" applyFont="1" applyBorder="1" applyAlignment="1">
      <alignment horizontal="left" vertical="center" shrinkToFit="1"/>
    </xf>
    <xf numFmtId="177" fontId="65" fillId="4" borderId="5" xfId="2" applyNumberFormat="1" applyFont="1" applyFill="1" applyBorder="1" applyAlignment="1">
      <alignment vertical="center" shrinkToFit="1"/>
    </xf>
    <xf numFmtId="0" fontId="24" fillId="4" borderId="11" xfId="1" applyFont="1" applyFill="1" applyBorder="1" applyAlignment="1">
      <alignment vertical="center" shrinkToFit="1"/>
    </xf>
    <xf numFmtId="0" fontId="20" fillId="0" borderId="5" xfId="1" applyFont="1" applyBorder="1" applyAlignment="1">
      <alignment horizontal="left" vertical="center" shrinkToFit="1"/>
    </xf>
    <xf numFmtId="177" fontId="14" fillId="4" borderId="5" xfId="2" applyNumberFormat="1" applyFont="1" applyFill="1" applyBorder="1" applyAlignment="1">
      <alignment vertical="center" wrapText="1" shrinkToFit="1"/>
    </xf>
    <xf numFmtId="177" fontId="19" fillId="0" borderId="5" xfId="2" applyNumberFormat="1" applyFont="1" applyBorder="1" applyAlignment="1">
      <alignment vertical="center" wrapText="1" shrinkToFit="1"/>
    </xf>
    <xf numFmtId="177" fontId="53" fillId="0" borderId="5" xfId="2" applyNumberFormat="1" applyFont="1" applyFill="1" applyBorder="1" applyAlignment="1">
      <alignment vertical="center" wrapText="1" shrinkToFit="1"/>
    </xf>
    <xf numFmtId="0" fontId="22" fillId="0" borderId="6" xfId="1" applyFont="1" applyBorder="1" applyAlignment="1">
      <alignment horizontal="right" vertical="center" shrinkToFit="1"/>
    </xf>
    <xf numFmtId="0" fontId="22" fillId="3" borderId="6" xfId="1" applyFont="1" applyFill="1" applyBorder="1" applyAlignment="1">
      <alignment horizontal="right" vertical="center" shrinkToFit="1"/>
    </xf>
    <xf numFmtId="0" fontId="24" fillId="6" borderId="5" xfId="0" applyFont="1" applyFill="1" applyBorder="1" applyAlignment="1">
      <alignment horizontal="center" vertical="center"/>
    </xf>
    <xf numFmtId="0" fontId="24" fillId="0" borderId="0" xfId="0" applyFont="1"/>
    <xf numFmtId="38" fontId="17" fillId="0" borderId="5" xfId="2" applyFont="1" applyBorder="1" applyAlignment="1">
      <alignment vertical="center" wrapText="1" shrinkToFit="1"/>
    </xf>
    <xf numFmtId="0" fontId="24" fillId="4" borderId="0" xfId="1" applyFont="1" applyFill="1">
      <alignment vertical="center"/>
    </xf>
    <xf numFmtId="38" fontId="19" fillId="4" borderId="5" xfId="2" applyFont="1" applyFill="1" applyBorder="1" applyAlignment="1">
      <alignment vertical="center" shrinkToFit="1"/>
    </xf>
    <xf numFmtId="0" fontId="24" fillId="4" borderId="8" xfId="1" applyFont="1" applyFill="1" applyBorder="1" applyAlignment="1">
      <alignment vertical="center" shrinkToFit="1"/>
    </xf>
    <xf numFmtId="0" fontId="35" fillId="4" borderId="8" xfId="1" applyFont="1" applyFill="1" applyBorder="1" applyAlignment="1">
      <alignment vertical="center" wrapText="1" shrinkToFit="1"/>
    </xf>
    <xf numFmtId="38" fontId="53" fillId="4" borderId="11" xfId="2" applyFont="1" applyFill="1" applyBorder="1" applyAlignment="1">
      <alignment vertical="center" wrapText="1" shrinkToFit="1"/>
    </xf>
    <xf numFmtId="38" fontId="66" fillId="0" borderId="5" xfId="2" applyFont="1" applyFill="1" applyBorder="1" applyAlignment="1">
      <alignment vertical="center" wrapText="1" shrinkToFit="1"/>
    </xf>
    <xf numFmtId="38" fontId="53" fillId="0" borderId="5" xfId="2" applyFont="1" applyFill="1" applyBorder="1" applyAlignment="1">
      <alignment vertical="center" wrapText="1" shrinkToFit="1"/>
    </xf>
    <xf numFmtId="0" fontId="24" fillId="4" borderId="19" xfId="1" applyFont="1" applyFill="1" applyBorder="1" applyAlignment="1">
      <alignment vertical="center" shrinkToFit="1"/>
    </xf>
    <xf numFmtId="0" fontId="16" fillId="0" borderId="24" xfId="1" applyFont="1" applyBorder="1" applyAlignment="1">
      <alignment horizontal="center" vertical="center" shrinkToFit="1"/>
    </xf>
    <xf numFmtId="0" fontId="22" fillId="3" borderId="27" xfId="1" applyFont="1" applyFill="1" applyBorder="1" applyAlignment="1">
      <alignment vertical="center" shrinkToFit="1"/>
    </xf>
    <xf numFmtId="0" fontId="24" fillId="0" borderId="5" xfId="1" applyFont="1" applyBorder="1" applyAlignment="1">
      <alignment vertical="center" wrapText="1" shrinkToFit="1"/>
    </xf>
    <xf numFmtId="0" fontId="35" fillId="0" borderId="5" xfId="1" applyFont="1" applyBorder="1" applyAlignment="1">
      <alignment vertical="center" wrapText="1" shrinkToFit="1"/>
    </xf>
    <xf numFmtId="0" fontId="17" fillId="0" borderId="5" xfId="1" applyFont="1" applyBorder="1" applyAlignment="1">
      <alignment horizontal="left" vertical="center" shrinkToFit="1"/>
    </xf>
    <xf numFmtId="0" fontId="17" fillId="0" borderId="5" xfId="1" applyFont="1" applyBorder="1" applyAlignment="1">
      <alignment horizontal="left" vertical="center" wrapText="1" shrinkToFit="1"/>
    </xf>
    <xf numFmtId="0" fontId="35" fillId="0" borderId="5" xfId="1" applyFont="1" applyBorder="1">
      <alignment vertical="center"/>
    </xf>
    <xf numFmtId="0" fontId="53" fillId="0" borderId="5" xfId="1" applyFont="1" applyBorder="1" applyAlignment="1">
      <alignment vertical="center" wrapText="1" shrinkToFit="1"/>
    </xf>
    <xf numFmtId="0" fontId="36" fillId="0" borderId="5" xfId="1" applyFont="1" applyBorder="1" applyAlignment="1">
      <alignment horizontal="left" vertical="center" wrapText="1" shrinkToFit="1"/>
    </xf>
    <xf numFmtId="0" fontId="65" fillId="0" borderId="5" xfId="1" applyFont="1" applyBorder="1" applyAlignment="1">
      <alignment horizontal="left" vertical="center" wrapText="1" shrinkToFit="1"/>
    </xf>
    <xf numFmtId="0" fontId="46" fillId="0" borderId="5" xfId="1" applyFont="1" applyBorder="1" applyAlignment="1">
      <alignment horizontal="left" vertical="center" wrapText="1" shrinkToFit="1"/>
    </xf>
    <xf numFmtId="0" fontId="16" fillId="0" borderId="5" xfId="1" applyFont="1" applyBorder="1" applyAlignment="1">
      <alignment horizontal="right" vertical="center" shrinkToFit="1"/>
    </xf>
    <xf numFmtId="0" fontId="53" fillId="0" borderId="41" xfId="0" applyFont="1" applyBorder="1" applyAlignment="1">
      <alignment horizontal="center" vertical="center"/>
    </xf>
    <xf numFmtId="0" fontId="53" fillId="0" borderId="43" xfId="0" applyFont="1" applyBorder="1" applyAlignment="1">
      <alignment horizontal="center" vertical="center"/>
    </xf>
    <xf numFmtId="0" fontId="53" fillId="0" borderId="5" xfId="0" applyFont="1" applyBorder="1" applyAlignment="1">
      <alignment horizontal="center" vertical="center"/>
    </xf>
    <xf numFmtId="0" fontId="53" fillId="0" borderId="45" xfId="0" applyFont="1" applyBorder="1" applyAlignment="1">
      <alignment horizontal="center" vertical="center"/>
    </xf>
    <xf numFmtId="0" fontId="53" fillId="0" borderId="40" xfId="0" applyFont="1" applyBorder="1" applyAlignment="1">
      <alignment horizontal="center" vertical="center"/>
    </xf>
    <xf numFmtId="0" fontId="53" fillId="0" borderId="49" xfId="0" applyFont="1" applyBorder="1" applyAlignment="1">
      <alignment horizontal="center" vertical="center"/>
    </xf>
    <xf numFmtId="0" fontId="45" fillId="0" borderId="0" xfId="1" applyFont="1">
      <alignment vertical="center"/>
    </xf>
    <xf numFmtId="0" fontId="68" fillId="0" borderId="0" xfId="0" applyFont="1"/>
    <xf numFmtId="0" fontId="39" fillId="7" borderId="0" xfId="12" applyFont="1" applyFill="1">
      <alignment vertical="center"/>
    </xf>
    <xf numFmtId="0" fontId="19" fillId="7" borderId="0" xfId="1" applyFont="1" applyFill="1">
      <alignment vertical="center"/>
    </xf>
    <xf numFmtId="0" fontId="22" fillId="0" borderId="9" xfId="1" applyFont="1" applyBorder="1" applyAlignment="1">
      <alignment vertical="center" shrinkToFit="1"/>
    </xf>
    <xf numFmtId="0" fontId="14" fillId="0" borderId="0" xfId="7" applyNumberFormat="1" applyFont="1" applyFill="1" applyBorder="1" applyAlignment="1" applyProtection="1">
      <alignment vertical="center" shrinkToFit="1"/>
    </xf>
    <xf numFmtId="0" fontId="22" fillId="0" borderId="4" xfId="1" applyFont="1" applyBorder="1" applyAlignment="1">
      <alignment vertical="center" shrinkToFit="1"/>
    </xf>
    <xf numFmtId="0" fontId="58" fillId="4" borderId="0" xfId="1" applyFont="1" applyFill="1">
      <alignment vertical="center"/>
    </xf>
    <xf numFmtId="0" fontId="17" fillId="4" borderId="0" xfId="1" applyFont="1" applyFill="1" applyAlignment="1">
      <alignment vertical="center" shrinkToFit="1"/>
    </xf>
    <xf numFmtId="177" fontId="14" fillId="3" borderId="5" xfId="2" applyNumberFormat="1" applyFont="1" applyFill="1" applyBorder="1" applyAlignment="1">
      <alignment horizontal="center" vertical="center" shrinkToFit="1"/>
    </xf>
    <xf numFmtId="0" fontId="22" fillId="0" borderId="5" xfId="1" applyFont="1" applyBorder="1" applyAlignment="1">
      <alignment horizontal="left" vertical="center" wrapText="1" shrinkToFit="1"/>
    </xf>
    <xf numFmtId="0" fontId="24" fillId="0" borderId="0" xfId="0" applyFont="1" applyAlignment="1">
      <alignment horizontal="right" vertical="center"/>
    </xf>
    <xf numFmtId="0" fontId="22" fillId="0" borderId="0" xfId="1" applyFont="1" applyAlignment="1">
      <alignment horizontal="center" vertical="center" shrinkToFit="1"/>
    </xf>
    <xf numFmtId="0" fontId="34" fillId="7" borderId="0" xfId="10" applyFont="1" applyFill="1">
      <alignment vertical="center"/>
    </xf>
    <xf numFmtId="0" fontId="22" fillId="4" borderId="3" xfId="1" applyFont="1" applyFill="1" applyBorder="1" applyAlignment="1">
      <alignment vertical="center" shrinkToFit="1"/>
    </xf>
    <xf numFmtId="0" fontId="16" fillId="0" borderId="1" xfId="1" applyFont="1" applyBorder="1" applyAlignment="1">
      <alignment horizontal="left" vertical="center" shrinkToFit="1"/>
    </xf>
    <xf numFmtId="0" fontId="22" fillId="0" borderId="1" xfId="1" applyFont="1" applyBorder="1" applyAlignment="1">
      <alignment horizontal="left" vertical="center" wrapText="1" shrinkToFit="1"/>
    </xf>
    <xf numFmtId="0" fontId="14" fillId="0" borderId="5" xfId="1" applyFont="1" applyBorder="1" applyAlignment="1">
      <alignment vertical="center" shrinkToFit="1"/>
    </xf>
    <xf numFmtId="0" fontId="14" fillId="0" borderId="3" xfId="1" applyFont="1" applyBorder="1" applyAlignment="1">
      <alignment vertical="center" shrinkToFit="1"/>
    </xf>
    <xf numFmtId="179" fontId="14" fillId="0" borderId="2" xfId="2" applyNumberFormat="1" applyFont="1" applyBorder="1" applyAlignment="1">
      <alignment horizontal="center" vertical="center" shrinkToFit="1"/>
    </xf>
    <xf numFmtId="0" fontId="14" fillId="0" borderId="25" xfId="1" applyFont="1" applyBorder="1" applyAlignment="1">
      <alignment vertical="center" shrinkToFit="1"/>
    </xf>
    <xf numFmtId="179" fontId="14" fillId="0" borderId="5" xfId="1" applyNumberFormat="1" applyFont="1" applyBorder="1" applyAlignment="1">
      <alignment horizontal="center" vertical="center" shrinkToFit="1"/>
    </xf>
    <xf numFmtId="0" fontId="43" fillId="0" borderId="5" xfId="1" applyFont="1" applyBorder="1" applyAlignment="1">
      <alignment horizontal="left" vertical="center" wrapText="1" shrinkToFit="1"/>
    </xf>
    <xf numFmtId="38" fontId="14" fillId="3" borderId="23" xfId="2" applyFont="1" applyFill="1" applyBorder="1" applyAlignment="1">
      <alignment vertical="center" wrapText="1" shrinkToFit="1"/>
    </xf>
    <xf numFmtId="38" fontId="14" fillId="3" borderId="6" xfId="2" applyFont="1" applyFill="1" applyBorder="1" applyAlignment="1">
      <alignment vertical="center" wrapText="1" shrinkToFit="1"/>
    </xf>
    <xf numFmtId="38" fontId="53" fillId="0" borderId="0" xfId="2" applyFont="1" applyFill="1" applyBorder="1" applyAlignment="1">
      <alignment vertical="center" wrapText="1"/>
    </xf>
    <xf numFmtId="0" fontId="22" fillId="0" borderId="0" xfId="1" applyFont="1" applyAlignment="1">
      <alignment vertical="center" wrapText="1" shrinkToFit="1"/>
    </xf>
    <xf numFmtId="0" fontId="16" fillId="0" borderId="0" xfId="1" applyFont="1" applyAlignment="1">
      <alignment vertical="center" shrinkToFit="1"/>
    </xf>
    <xf numFmtId="38" fontId="14" fillId="0" borderId="26" xfId="2" applyFont="1" applyFill="1" applyBorder="1" applyAlignment="1">
      <alignment vertical="center" wrapText="1" shrinkToFit="1"/>
    </xf>
    <xf numFmtId="38" fontId="14" fillId="0" borderId="26" xfId="2" applyFont="1" applyFill="1" applyBorder="1" applyAlignment="1">
      <alignment vertical="center" shrinkToFit="1"/>
    </xf>
    <xf numFmtId="38" fontId="14" fillId="3" borderId="5" xfId="2" applyFont="1" applyFill="1" applyBorder="1" applyAlignment="1">
      <alignment horizontal="left" vertical="center" shrinkToFit="1"/>
    </xf>
    <xf numFmtId="176" fontId="14" fillId="3" borderId="6" xfId="1" applyNumberFormat="1" applyFont="1" applyFill="1" applyBorder="1" applyAlignment="1">
      <alignment vertical="center" shrinkToFit="1"/>
    </xf>
    <xf numFmtId="0" fontId="14" fillId="3" borderId="6" xfId="1" applyFont="1" applyFill="1" applyBorder="1" applyAlignment="1">
      <alignment horizontal="right" vertical="center" shrinkToFit="1"/>
    </xf>
    <xf numFmtId="38" fontId="17" fillId="3" borderId="5" xfId="2" applyFont="1" applyFill="1" applyBorder="1" applyAlignment="1">
      <alignment vertical="center" shrinkToFit="1"/>
    </xf>
    <xf numFmtId="38" fontId="27" fillId="0" borderId="26" xfId="2" applyFont="1" applyFill="1" applyBorder="1" applyAlignment="1">
      <alignment vertical="center" wrapText="1" shrinkToFit="1"/>
    </xf>
    <xf numFmtId="38" fontId="27" fillId="0" borderId="23" xfId="2" applyFont="1" applyFill="1" applyBorder="1" applyAlignment="1">
      <alignment vertical="center" wrapText="1" shrinkToFit="1"/>
    </xf>
    <xf numFmtId="38" fontId="27" fillId="0" borderId="6" xfId="2" applyFont="1" applyFill="1" applyBorder="1" applyAlignment="1">
      <alignment vertical="center" wrapText="1" shrinkToFit="1"/>
    </xf>
    <xf numFmtId="0" fontId="22" fillId="0" borderId="8" xfId="1" applyFont="1" applyBorder="1" applyAlignment="1">
      <alignment vertical="center" shrinkToFit="1"/>
    </xf>
    <xf numFmtId="0" fontId="53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 shrinkToFit="1"/>
    </xf>
    <xf numFmtId="0" fontId="32" fillId="0" borderId="6" xfId="0" applyFont="1" applyBorder="1" applyAlignment="1">
      <alignment horizontal="center" vertical="center" shrinkToFit="1"/>
    </xf>
    <xf numFmtId="0" fontId="14" fillId="6" borderId="5" xfId="0" applyFont="1" applyFill="1" applyBorder="1" applyAlignment="1">
      <alignment horizontal="center" vertical="center" shrinkToFit="1"/>
    </xf>
    <xf numFmtId="0" fontId="14" fillId="6" borderId="1" xfId="0" applyFont="1" applyFill="1" applyBorder="1" applyAlignment="1">
      <alignment horizontal="center" vertical="center" shrinkToFit="1"/>
    </xf>
    <xf numFmtId="0" fontId="14" fillId="6" borderId="13" xfId="0" applyFont="1" applyFill="1" applyBorder="1" applyAlignment="1">
      <alignment horizontal="center" vertical="center" shrinkToFit="1"/>
    </xf>
    <xf numFmtId="38" fontId="14" fillId="3" borderId="6" xfId="2" applyFont="1" applyFill="1" applyBorder="1" applyAlignment="1">
      <alignment horizontal="center" vertical="center" shrinkToFit="1"/>
    </xf>
    <xf numFmtId="38" fontId="14" fillId="0" borderId="23" xfId="2" applyFont="1" applyFill="1" applyBorder="1" applyAlignment="1">
      <alignment vertical="center" shrinkToFit="1"/>
    </xf>
    <xf numFmtId="0" fontId="14" fillId="5" borderId="1" xfId="0" applyFont="1" applyFill="1" applyBorder="1" applyAlignment="1">
      <alignment horizontal="center" vertical="center" shrinkToFit="1"/>
    </xf>
    <xf numFmtId="0" fontId="69" fillId="0" borderId="6" xfId="1" applyFont="1" applyBorder="1" applyAlignment="1">
      <alignment horizontal="center" vertical="center" shrinkToFit="1"/>
    </xf>
    <xf numFmtId="0" fontId="70" fillId="0" borderId="0" xfId="0" applyFont="1"/>
    <xf numFmtId="38" fontId="14" fillId="0" borderId="23" xfId="2" applyFont="1" applyFill="1" applyBorder="1" applyAlignment="1">
      <alignment vertical="center" wrapText="1" shrinkToFit="1"/>
    </xf>
    <xf numFmtId="177" fontId="19" fillId="4" borderId="5" xfId="2" applyNumberFormat="1" applyFont="1" applyFill="1" applyBorder="1" applyAlignment="1">
      <alignment vertical="center" wrapText="1" shrinkToFit="1"/>
    </xf>
    <xf numFmtId="38" fontId="14" fillId="3" borderId="1" xfId="2" applyFont="1" applyFill="1" applyBorder="1" applyAlignment="1">
      <alignment horizontal="center" vertical="center" shrinkToFit="1"/>
    </xf>
    <xf numFmtId="0" fontId="14" fillId="3" borderId="1" xfId="2" applyNumberFormat="1" applyFont="1" applyFill="1" applyBorder="1" applyAlignment="1">
      <alignment horizontal="center" vertical="center" shrinkToFit="1"/>
    </xf>
    <xf numFmtId="0" fontId="14" fillId="3" borderId="6" xfId="2" applyNumberFormat="1" applyFont="1" applyFill="1" applyBorder="1" applyAlignment="1">
      <alignment horizontal="center" vertical="center" shrinkToFit="1"/>
    </xf>
    <xf numFmtId="0" fontId="17" fillId="4" borderId="5" xfId="1" applyFont="1" applyFill="1" applyBorder="1" applyAlignment="1">
      <alignment vertical="center" shrinkToFit="1"/>
    </xf>
    <xf numFmtId="0" fontId="14" fillId="6" borderId="1" xfId="1" applyFont="1" applyFill="1" applyBorder="1" applyAlignment="1">
      <alignment horizontal="center" vertical="center"/>
    </xf>
    <xf numFmtId="0" fontId="14" fillId="6" borderId="23" xfId="1" applyFont="1" applyFill="1" applyBorder="1" applyAlignment="1">
      <alignment horizontal="center" vertical="center"/>
    </xf>
    <xf numFmtId="0" fontId="14" fillId="6" borderId="6" xfId="1" applyFont="1" applyFill="1" applyBorder="1" applyAlignment="1">
      <alignment horizontal="center" vertical="center"/>
    </xf>
    <xf numFmtId="0" fontId="53" fillId="0" borderId="48" xfId="0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 shrinkToFit="1"/>
    </xf>
    <xf numFmtId="0" fontId="14" fillId="0" borderId="11" xfId="1" applyFont="1" applyBorder="1" applyAlignment="1">
      <alignment horizontal="center" vertical="center" shrinkToFit="1"/>
    </xf>
    <xf numFmtId="0" fontId="14" fillId="0" borderId="10" xfId="1" applyFont="1" applyBorder="1" applyAlignment="1">
      <alignment horizontal="left" vertical="center" shrinkToFit="1"/>
    </xf>
    <xf numFmtId="0" fontId="14" fillId="0" borderId="12" xfId="1" applyFont="1" applyBorder="1" applyAlignment="1">
      <alignment horizontal="left" vertical="center" shrinkToFit="1"/>
    </xf>
    <xf numFmtId="0" fontId="14" fillId="0" borderId="11" xfId="1" applyFont="1" applyBorder="1" applyAlignment="1">
      <alignment horizontal="left" vertical="center" shrinkToFit="1"/>
    </xf>
    <xf numFmtId="0" fontId="16" fillId="0" borderId="12" xfId="1" applyFont="1" applyBorder="1" applyAlignment="1">
      <alignment horizontal="center" vertical="center" shrinkToFit="1"/>
    </xf>
    <xf numFmtId="0" fontId="16" fillId="0" borderId="11" xfId="1" applyFont="1" applyBorder="1" applyAlignment="1">
      <alignment horizontal="center" vertical="center" shrinkToFit="1"/>
    </xf>
    <xf numFmtId="38" fontId="14" fillId="3" borderId="1" xfId="2" applyFont="1" applyFill="1" applyBorder="1" applyAlignment="1">
      <alignment vertical="center" wrapText="1" shrinkToFit="1"/>
    </xf>
    <xf numFmtId="38" fontId="14" fillId="3" borderId="23" xfId="2" applyFont="1" applyFill="1" applyBorder="1" applyAlignment="1">
      <alignment vertical="center" wrapText="1" shrinkToFit="1"/>
    </xf>
    <xf numFmtId="38" fontId="14" fillId="3" borderId="6" xfId="2" applyFont="1" applyFill="1" applyBorder="1" applyAlignment="1">
      <alignment vertical="center" wrapText="1" shrinkToFit="1"/>
    </xf>
    <xf numFmtId="38" fontId="35" fillId="4" borderId="1" xfId="2" applyFont="1" applyFill="1" applyBorder="1" applyAlignment="1">
      <alignment vertical="center" wrapText="1" shrinkToFit="1"/>
    </xf>
    <xf numFmtId="38" fontId="53" fillId="4" borderId="23" xfId="2" applyFont="1" applyFill="1" applyBorder="1" applyAlignment="1">
      <alignment vertical="center" wrapText="1" shrinkToFit="1"/>
    </xf>
    <xf numFmtId="38" fontId="53" fillId="4" borderId="6" xfId="2" applyFont="1" applyFill="1" applyBorder="1" applyAlignment="1">
      <alignment vertical="center" wrapText="1" shrinkToFit="1"/>
    </xf>
    <xf numFmtId="0" fontId="16" fillId="0" borderId="24" xfId="1" applyFont="1" applyBorder="1" applyAlignment="1">
      <alignment horizontal="center" vertical="center" shrinkToFit="1"/>
    </xf>
    <xf numFmtId="0" fontId="16" fillId="0" borderId="0" xfId="1" applyFont="1" applyAlignment="1">
      <alignment horizontal="center" vertical="center" shrinkToFit="1"/>
    </xf>
    <xf numFmtId="0" fontId="16" fillId="0" borderId="25" xfId="1" applyFont="1" applyBorder="1" applyAlignment="1">
      <alignment horizontal="center" vertical="center" shrinkToFit="1"/>
    </xf>
    <xf numFmtId="0" fontId="16" fillId="0" borderId="7" xfId="1" applyFont="1" applyBorder="1" applyAlignment="1">
      <alignment horizontal="center" vertical="center" shrinkToFit="1"/>
    </xf>
    <xf numFmtId="0" fontId="16" fillId="0" borderId="9" xfId="1" applyFont="1" applyBorder="1" applyAlignment="1">
      <alignment horizontal="center" vertical="center" shrinkToFit="1"/>
    </xf>
    <xf numFmtId="0" fontId="16" fillId="0" borderId="8" xfId="1" applyFont="1" applyBorder="1" applyAlignment="1">
      <alignment horizontal="center" vertical="center" shrinkToFit="1"/>
    </xf>
    <xf numFmtId="0" fontId="14" fillId="3" borderId="6" xfId="1" applyFont="1" applyFill="1" applyBorder="1" applyAlignment="1">
      <alignment horizontal="center" vertical="center" shrinkToFit="1"/>
    </xf>
    <xf numFmtId="0" fontId="14" fillId="3" borderId="7" xfId="1" applyFont="1" applyFill="1" applyBorder="1" applyAlignment="1">
      <alignment horizontal="center" vertical="center" shrinkToFit="1"/>
    </xf>
    <xf numFmtId="0" fontId="14" fillId="3" borderId="8" xfId="1" applyFont="1" applyFill="1" applyBorder="1" applyAlignment="1">
      <alignment horizontal="center" vertical="center" shrinkToFit="1"/>
    </xf>
    <xf numFmtId="0" fontId="53" fillId="0" borderId="42" xfId="0" applyFont="1" applyBorder="1" applyAlignment="1">
      <alignment horizontal="center" vertical="center" textRotation="255"/>
    </xf>
    <xf numFmtId="0" fontId="53" fillId="0" borderId="44" xfId="0" applyFont="1" applyBorder="1" applyAlignment="1">
      <alignment horizontal="center" vertical="center" textRotation="255"/>
    </xf>
    <xf numFmtId="0" fontId="53" fillId="0" borderId="46" xfId="0" applyFont="1" applyBorder="1" applyAlignment="1">
      <alignment horizontal="center" vertical="center" textRotation="255"/>
    </xf>
    <xf numFmtId="0" fontId="53" fillId="0" borderId="47" xfId="0" applyFont="1" applyBorder="1" applyAlignment="1">
      <alignment horizontal="center" vertical="center" textRotation="255"/>
    </xf>
    <xf numFmtId="0" fontId="53" fillId="0" borderId="41" xfId="0" applyFont="1" applyBorder="1" applyAlignment="1">
      <alignment horizontal="center" vertical="center"/>
    </xf>
    <xf numFmtId="14" fontId="53" fillId="0" borderId="5" xfId="0" applyNumberFormat="1" applyFont="1" applyBorder="1" applyAlignment="1">
      <alignment horizontal="center" vertical="center"/>
    </xf>
    <xf numFmtId="0" fontId="53" fillId="0" borderId="5" xfId="0" applyFont="1" applyBorder="1" applyAlignment="1">
      <alignment horizontal="center" vertical="center"/>
    </xf>
    <xf numFmtId="14" fontId="53" fillId="0" borderId="48" xfId="0" applyNumberFormat="1" applyFont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 shrinkToFit="1"/>
    </xf>
    <xf numFmtId="0" fontId="14" fillId="3" borderId="5" xfId="0" applyFont="1" applyFill="1" applyBorder="1" applyAlignment="1">
      <alignment horizontal="left" vertical="center" shrinkToFit="1"/>
    </xf>
    <xf numFmtId="0" fontId="14" fillId="0" borderId="5" xfId="1" applyFont="1" applyBorder="1" applyAlignment="1">
      <alignment horizontal="center" vertical="center" shrinkToFit="1"/>
    </xf>
    <xf numFmtId="0" fontId="14" fillId="0" borderId="5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center" vertical="center" shrinkToFit="1"/>
    </xf>
    <xf numFmtId="0" fontId="14" fillId="3" borderId="6" xfId="1" applyFont="1" applyFill="1" applyBorder="1" applyAlignment="1">
      <alignment horizontal="left" vertical="center" shrinkToFit="1"/>
    </xf>
    <xf numFmtId="0" fontId="22" fillId="3" borderId="1" xfId="1" applyFont="1" applyFill="1" applyBorder="1" applyAlignment="1">
      <alignment vertical="center" shrinkToFit="1"/>
    </xf>
    <xf numFmtId="0" fontId="22" fillId="3" borderId="6" xfId="1" applyFont="1" applyFill="1" applyBorder="1" applyAlignment="1">
      <alignment vertical="center" shrinkToFit="1"/>
    </xf>
    <xf numFmtId="0" fontId="16" fillId="0" borderId="2" xfId="1" applyFont="1" applyBorder="1" applyAlignment="1">
      <alignment horizontal="center" vertical="center" shrinkToFit="1"/>
    </xf>
    <xf numFmtId="0" fontId="16" fillId="0" borderId="4" xfId="1" applyFont="1" applyBorder="1" applyAlignment="1">
      <alignment horizontal="center" vertical="center" shrinkToFit="1"/>
    </xf>
    <xf numFmtId="0" fontId="16" fillId="0" borderId="3" xfId="1" applyFont="1" applyBorder="1" applyAlignment="1">
      <alignment horizontal="center" vertical="center" shrinkToFit="1"/>
    </xf>
    <xf numFmtId="0" fontId="14" fillId="3" borderId="5" xfId="1" applyFont="1" applyFill="1" applyBorder="1" applyAlignment="1">
      <alignment horizontal="left" vertical="center" shrinkToFit="1"/>
    </xf>
    <xf numFmtId="0" fontId="16" fillId="0" borderId="5" xfId="1" applyFont="1" applyBorder="1" applyAlignment="1">
      <alignment horizontal="center" vertical="center" shrinkToFit="1"/>
    </xf>
    <xf numFmtId="0" fontId="14" fillId="3" borderId="5" xfId="1" applyFont="1" applyFill="1" applyBorder="1" applyAlignment="1">
      <alignment horizontal="center" vertical="center" shrinkToFit="1"/>
    </xf>
    <xf numFmtId="0" fontId="14" fillId="3" borderId="10" xfId="1" applyFont="1" applyFill="1" applyBorder="1" applyAlignment="1">
      <alignment vertical="center" shrinkToFit="1"/>
    </xf>
    <xf numFmtId="0" fontId="14" fillId="3" borderId="12" xfId="1" applyFont="1" applyFill="1" applyBorder="1" applyAlignment="1">
      <alignment vertical="center" shrinkToFit="1"/>
    </xf>
    <xf numFmtId="0" fontId="14" fillId="6" borderId="23" xfId="1" applyFont="1" applyFill="1" applyBorder="1" applyAlignment="1">
      <alignment horizontal="center" vertical="center" shrinkToFit="1"/>
    </xf>
    <xf numFmtId="0" fontId="14" fillId="6" borderId="6" xfId="1" applyFont="1" applyFill="1" applyBorder="1" applyAlignment="1">
      <alignment horizontal="center" vertical="center" shrinkToFit="1"/>
    </xf>
    <xf numFmtId="0" fontId="14" fillId="3" borderId="7" xfId="1" applyFont="1" applyFill="1" applyBorder="1" applyAlignment="1">
      <alignment vertical="center" shrinkToFit="1"/>
    </xf>
    <xf numFmtId="0" fontId="14" fillId="3" borderId="9" xfId="1" applyFont="1" applyFill="1" applyBorder="1" applyAlignment="1">
      <alignment vertical="center" shrinkToFit="1"/>
    </xf>
    <xf numFmtId="38" fontId="19" fillId="3" borderId="1" xfId="2" applyFont="1" applyFill="1" applyBorder="1" applyAlignment="1">
      <alignment vertical="center" wrapText="1"/>
    </xf>
    <xf numFmtId="38" fontId="19" fillId="3" borderId="23" xfId="2" applyFont="1" applyFill="1" applyBorder="1" applyAlignment="1">
      <alignment vertical="center" wrapText="1"/>
    </xf>
    <xf numFmtId="38" fontId="19" fillId="3" borderId="6" xfId="2" applyFont="1" applyFill="1" applyBorder="1" applyAlignment="1">
      <alignment vertical="center" wrapText="1"/>
    </xf>
    <xf numFmtId="0" fontId="14" fillId="4" borderId="3" xfId="1" applyFont="1" applyFill="1" applyBorder="1" applyAlignment="1">
      <alignment vertical="center" wrapText="1" shrinkToFit="1"/>
    </xf>
    <xf numFmtId="0" fontId="22" fillId="4" borderId="25" xfId="1" applyFont="1" applyFill="1" applyBorder="1" applyAlignment="1">
      <alignment vertical="center" shrinkToFit="1"/>
    </xf>
    <xf numFmtId="0" fontId="22" fillId="4" borderId="8" xfId="1" applyFont="1" applyFill="1" applyBorder="1" applyAlignment="1">
      <alignment vertical="center" shrinkToFit="1"/>
    </xf>
    <xf numFmtId="0" fontId="22" fillId="0" borderId="10" xfId="1" applyFont="1" applyBorder="1" applyAlignment="1">
      <alignment horizontal="center" vertical="center" shrinkToFit="1"/>
    </xf>
    <xf numFmtId="0" fontId="22" fillId="0" borderId="12" xfId="1" applyFont="1" applyBorder="1" applyAlignment="1">
      <alignment horizontal="center" vertical="center" shrinkToFit="1"/>
    </xf>
    <xf numFmtId="0" fontId="22" fillId="0" borderId="11" xfId="1" applyFont="1" applyBorder="1" applyAlignment="1">
      <alignment horizontal="center" vertical="center" shrinkToFit="1"/>
    </xf>
    <xf numFmtId="38" fontId="14" fillId="3" borderId="17" xfId="2" applyFont="1" applyFill="1" applyBorder="1" applyAlignment="1">
      <alignment vertical="center" wrapText="1" shrinkToFit="1"/>
    </xf>
    <xf numFmtId="38" fontId="35" fillId="4" borderId="17" xfId="2" applyFont="1" applyFill="1" applyBorder="1" applyAlignment="1">
      <alignment vertical="center" wrapText="1" shrinkToFit="1"/>
    </xf>
    <xf numFmtId="176" fontId="14" fillId="0" borderId="10" xfId="1" applyNumberFormat="1" applyFont="1" applyBorder="1" applyAlignment="1">
      <alignment horizontal="center" vertical="center" shrinkToFit="1"/>
    </xf>
    <xf numFmtId="176" fontId="14" fillId="0" borderId="11" xfId="1" applyNumberFormat="1" applyFont="1" applyBorder="1" applyAlignment="1">
      <alignment horizontal="center" vertical="center" shrinkToFit="1"/>
    </xf>
    <xf numFmtId="176" fontId="14" fillId="0" borderId="10" xfId="1" applyNumberFormat="1" applyFont="1" applyBorder="1" applyAlignment="1">
      <alignment horizontal="left" vertical="center" shrinkToFit="1"/>
    </xf>
    <xf numFmtId="176" fontId="14" fillId="0" borderId="12" xfId="1" applyNumberFormat="1" applyFont="1" applyBorder="1" applyAlignment="1">
      <alignment horizontal="left" vertical="center" shrinkToFit="1"/>
    </xf>
    <xf numFmtId="176" fontId="14" fillId="0" borderId="11" xfId="1" applyNumberFormat="1" applyFont="1" applyBorder="1" applyAlignment="1">
      <alignment horizontal="left" vertical="center" shrinkToFit="1"/>
    </xf>
    <xf numFmtId="0" fontId="14" fillId="6" borderId="26" xfId="1" applyFont="1" applyFill="1" applyBorder="1" applyAlignment="1">
      <alignment horizontal="center" vertical="center"/>
    </xf>
    <xf numFmtId="38" fontId="14" fillId="3" borderId="1" xfId="2" applyFont="1" applyFill="1" applyBorder="1" applyAlignment="1">
      <alignment vertical="center" shrinkToFit="1"/>
    </xf>
    <xf numFmtId="38" fontId="14" fillId="3" borderId="6" xfId="2" applyFont="1" applyFill="1" applyBorder="1" applyAlignment="1">
      <alignment vertical="center" shrinkToFit="1"/>
    </xf>
    <xf numFmtId="38" fontId="14" fillId="4" borderId="1" xfId="2" applyFont="1" applyFill="1" applyBorder="1" applyAlignment="1">
      <alignment vertical="center" shrinkToFit="1"/>
    </xf>
    <xf numFmtId="38" fontId="14" fillId="4" borderId="26" xfId="2" applyFont="1" applyFill="1" applyBorder="1" applyAlignment="1">
      <alignment vertical="center" shrinkToFit="1"/>
    </xf>
    <xf numFmtId="38" fontId="14" fillId="3" borderId="23" xfId="2" applyFont="1" applyFill="1" applyBorder="1" applyAlignment="1">
      <alignment vertical="center" shrinkToFit="1"/>
    </xf>
    <xf numFmtId="0" fontId="17" fillId="0" borderId="23" xfId="1" applyFont="1" applyBorder="1" applyAlignment="1">
      <alignment horizontal="left" vertical="center" shrinkToFit="1"/>
    </xf>
    <xf numFmtId="0" fontId="17" fillId="0" borderId="6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center" vertical="center" shrinkToFit="1"/>
    </xf>
    <xf numFmtId="0" fontId="14" fillId="3" borderId="14" xfId="1" applyFont="1" applyFill="1" applyBorder="1" applyAlignment="1">
      <alignment horizontal="center" vertical="center" shrinkToFit="1"/>
    </xf>
    <xf numFmtId="0" fontId="14" fillId="3" borderId="15" xfId="1" applyFont="1" applyFill="1" applyBorder="1" applyAlignment="1">
      <alignment horizontal="center" vertical="center" shrinkToFit="1"/>
    </xf>
    <xf numFmtId="0" fontId="14" fillId="3" borderId="13" xfId="1" applyFont="1" applyFill="1" applyBorder="1" applyAlignment="1">
      <alignment horizontal="left" vertical="center" shrinkToFit="1"/>
    </xf>
    <xf numFmtId="0" fontId="14" fillId="0" borderId="1" xfId="1" applyFont="1" applyBorder="1" applyAlignment="1">
      <alignment horizontal="center" vertical="center" shrinkToFit="1"/>
    </xf>
    <xf numFmtId="0" fontId="14" fillId="0" borderId="1" xfId="1" applyFont="1" applyBorder="1" applyAlignment="1">
      <alignment horizontal="left" vertical="center" shrinkToFit="1"/>
    </xf>
    <xf numFmtId="0" fontId="16" fillId="0" borderId="1" xfId="1" applyFont="1" applyBorder="1" applyAlignment="1">
      <alignment horizontal="center" vertical="center" shrinkToFit="1"/>
    </xf>
    <xf numFmtId="0" fontId="14" fillId="3" borderId="5" xfId="1" applyFont="1" applyFill="1" applyBorder="1" applyAlignment="1">
      <alignment vertical="center" shrinkToFit="1"/>
    </xf>
    <xf numFmtId="0" fontId="14" fillId="3" borderId="10" xfId="1" applyFont="1" applyFill="1" applyBorder="1" applyAlignment="1">
      <alignment horizontal="center" vertical="center" shrinkToFit="1"/>
    </xf>
    <xf numFmtId="0" fontId="14" fillId="3" borderId="11" xfId="1" applyFont="1" applyFill="1" applyBorder="1" applyAlignment="1">
      <alignment horizontal="center" vertical="center" shrinkToFit="1"/>
    </xf>
    <xf numFmtId="0" fontId="17" fillId="0" borderId="1" xfId="1" applyFont="1" applyBorder="1" applyAlignment="1">
      <alignment horizontal="left" vertical="center" shrinkToFit="1"/>
    </xf>
    <xf numFmtId="0" fontId="22" fillId="4" borderId="3" xfId="1" applyFont="1" applyFill="1" applyBorder="1" applyAlignment="1">
      <alignment vertical="center" shrinkToFit="1"/>
    </xf>
    <xf numFmtId="0" fontId="17" fillId="4" borderId="3" xfId="1" applyFont="1" applyFill="1" applyBorder="1" applyAlignment="1">
      <alignment vertical="center" shrinkToFit="1"/>
    </xf>
    <xf numFmtId="0" fontId="17" fillId="4" borderId="8" xfId="1" applyFont="1" applyFill="1" applyBorder="1" applyAlignment="1">
      <alignment vertical="center" shrinkToFit="1"/>
    </xf>
    <xf numFmtId="0" fontId="14" fillId="0" borderId="6" xfId="1" applyFont="1" applyBorder="1" applyAlignment="1">
      <alignment horizontal="center" vertical="center" shrinkToFit="1"/>
    </xf>
    <xf numFmtId="0" fontId="14" fillId="0" borderId="6" xfId="1" applyFont="1" applyBorder="1" applyAlignment="1">
      <alignment horizontal="left" vertical="center" shrinkToFit="1"/>
    </xf>
    <xf numFmtId="0" fontId="16" fillId="0" borderId="6" xfId="1" applyFont="1" applyBorder="1" applyAlignment="1">
      <alignment horizontal="center" vertical="center" shrinkToFit="1"/>
    </xf>
    <xf numFmtId="0" fontId="24" fillId="0" borderId="9" xfId="1" applyFont="1" applyBorder="1" applyAlignment="1">
      <alignment horizontal="right" vertical="center"/>
    </xf>
    <xf numFmtId="0" fontId="14" fillId="0" borderId="5" xfId="1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/>
    </xf>
    <xf numFmtId="176" fontId="14" fillId="0" borderId="5" xfId="1" applyNumberFormat="1" applyFont="1" applyBorder="1" applyAlignment="1">
      <alignment horizontal="center" vertical="center" shrinkToFit="1"/>
    </xf>
    <xf numFmtId="176" fontId="14" fillId="0" borderId="1" xfId="1" applyNumberFormat="1" applyFont="1" applyBorder="1" applyAlignment="1">
      <alignment horizontal="center" vertical="center" shrinkToFit="1"/>
    </xf>
    <xf numFmtId="176" fontId="14" fillId="0" borderId="6" xfId="1" applyNumberFormat="1" applyFont="1" applyBorder="1" applyAlignment="1">
      <alignment horizontal="center" vertical="center" shrinkToFit="1"/>
    </xf>
    <xf numFmtId="0" fontId="22" fillId="0" borderId="5" xfId="1" applyFont="1" applyBorder="1" applyAlignment="1">
      <alignment horizontal="center" vertical="center" shrinkToFit="1"/>
    </xf>
    <xf numFmtId="0" fontId="14" fillId="0" borderId="1" xfId="7" applyNumberFormat="1" applyFont="1" applyFill="1" applyBorder="1" applyAlignment="1" applyProtection="1">
      <alignment horizontal="right" vertical="center" shrinkToFit="1"/>
    </xf>
    <xf numFmtId="0" fontId="14" fillId="0" borderId="6" xfId="1" applyFont="1" applyBorder="1" applyAlignment="1">
      <alignment horizontal="right" vertical="center" shrinkToFit="1"/>
    </xf>
    <xf numFmtId="0" fontId="14" fillId="6" borderId="1" xfId="1" applyFont="1" applyFill="1" applyBorder="1" applyAlignment="1">
      <alignment horizontal="center" vertical="center" shrinkToFit="1"/>
    </xf>
    <xf numFmtId="38" fontId="17" fillId="3" borderId="1" xfId="2" applyFont="1" applyFill="1" applyBorder="1" applyAlignment="1">
      <alignment vertical="center" wrapText="1" shrinkToFit="1"/>
    </xf>
    <xf numFmtId="38" fontId="17" fillId="3" borderId="6" xfId="2" applyFont="1" applyFill="1" applyBorder="1" applyAlignment="1">
      <alignment vertical="center" wrapText="1" shrinkToFit="1"/>
    </xf>
    <xf numFmtId="38" fontId="53" fillId="4" borderId="1" xfId="2" applyFont="1" applyFill="1" applyBorder="1" applyAlignment="1">
      <alignment vertical="center" wrapText="1" shrinkToFit="1"/>
    </xf>
    <xf numFmtId="38" fontId="14" fillId="3" borderId="1" xfId="2" applyFont="1" applyFill="1" applyBorder="1" applyAlignment="1">
      <alignment horizontal="center" vertical="center" shrinkToFit="1"/>
    </xf>
    <xf numFmtId="38" fontId="14" fillId="3" borderId="6" xfId="2" applyFont="1" applyFill="1" applyBorder="1" applyAlignment="1">
      <alignment horizontal="center" vertical="center" shrinkToFit="1"/>
    </xf>
    <xf numFmtId="0" fontId="14" fillId="3" borderId="1" xfId="2" applyNumberFormat="1" applyFont="1" applyFill="1" applyBorder="1" applyAlignment="1">
      <alignment vertical="center" shrinkToFit="1"/>
    </xf>
    <xf numFmtId="0" fontId="14" fillId="3" borderId="6" xfId="2" applyNumberFormat="1" applyFont="1" applyFill="1" applyBorder="1" applyAlignment="1">
      <alignment vertical="center" shrinkToFit="1"/>
    </xf>
    <xf numFmtId="38" fontId="14" fillId="4" borderId="6" xfId="2" applyFont="1" applyFill="1" applyBorder="1" applyAlignment="1">
      <alignment vertical="center" shrinkToFit="1"/>
    </xf>
    <xf numFmtId="0" fontId="14" fillId="0" borderId="13" xfId="1" applyFont="1" applyBorder="1" applyAlignment="1">
      <alignment horizontal="center" vertical="center" shrinkToFit="1"/>
    </xf>
    <xf numFmtId="0" fontId="14" fillId="0" borderId="13" xfId="1" applyFont="1" applyBorder="1" applyAlignment="1">
      <alignment horizontal="left" vertical="center" shrinkToFit="1"/>
    </xf>
    <xf numFmtId="0" fontId="14" fillId="6" borderId="17" xfId="1" applyFont="1" applyFill="1" applyBorder="1" applyAlignment="1">
      <alignment horizontal="center" vertical="center"/>
    </xf>
    <xf numFmtId="0" fontId="14" fillId="3" borderId="27" xfId="1" applyFont="1" applyFill="1" applyBorder="1" applyAlignment="1">
      <alignment horizontal="center" vertical="center" shrinkToFit="1"/>
    </xf>
    <xf numFmtId="0" fontId="14" fillId="3" borderId="27" xfId="1" applyFont="1" applyFill="1" applyBorder="1" applyAlignment="1">
      <alignment horizontal="left" vertical="center" shrinkToFit="1"/>
    </xf>
    <xf numFmtId="0" fontId="16" fillId="0" borderId="21" xfId="1" applyFont="1" applyBorder="1" applyAlignment="1">
      <alignment horizontal="center" vertical="center" shrinkToFit="1"/>
    </xf>
    <xf numFmtId="0" fontId="16" fillId="0" borderId="30" xfId="1" applyFont="1" applyBorder="1" applyAlignment="1">
      <alignment horizontal="center" vertical="center" shrinkToFit="1"/>
    </xf>
    <xf numFmtId="0" fontId="16" fillId="0" borderId="22" xfId="1" applyFont="1" applyBorder="1" applyAlignment="1">
      <alignment horizontal="center" vertical="center" shrinkToFit="1"/>
    </xf>
    <xf numFmtId="38" fontId="14" fillId="3" borderId="1" xfId="2" applyFont="1" applyFill="1" applyBorder="1" applyAlignment="1">
      <alignment vertical="center" wrapText="1"/>
    </xf>
    <xf numFmtId="38" fontId="14" fillId="3" borderId="23" xfId="2" applyFont="1" applyFill="1" applyBorder="1" applyAlignment="1">
      <alignment vertical="center" wrapText="1"/>
    </xf>
    <xf numFmtId="38" fontId="14" fillId="3" borderId="6" xfId="2" applyFont="1" applyFill="1" applyBorder="1" applyAlignment="1">
      <alignment vertical="center" wrapText="1"/>
    </xf>
    <xf numFmtId="0" fontId="17" fillId="4" borderId="3" xfId="1" applyFont="1" applyFill="1" applyBorder="1" applyAlignment="1">
      <alignment vertical="center" wrapText="1" shrinkToFit="1"/>
    </xf>
    <xf numFmtId="0" fontId="14" fillId="6" borderId="5" xfId="1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/>
    <xf numFmtId="0" fontId="0" fillId="0" borderId="6" xfId="0" applyBorder="1"/>
    <xf numFmtId="38" fontId="19" fillId="0" borderId="1" xfId="2" applyFont="1" applyFill="1" applyBorder="1" applyAlignment="1">
      <alignment horizontal="left" vertical="center" wrapText="1" shrinkToFit="1"/>
    </xf>
    <xf numFmtId="38" fontId="19" fillId="0" borderId="6" xfId="2" applyFont="1" applyFill="1" applyBorder="1" applyAlignment="1">
      <alignment horizontal="left" vertical="center" wrapText="1" shrinkToFit="1"/>
    </xf>
    <xf numFmtId="38" fontId="14" fillId="0" borderId="1" xfId="2" applyFont="1" applyFill="1" applyBorder="1" applyAlignment="1">
      <alignment horizontal="left" vertical="center" shrinkToFit="1"/>
    </xf>
    <xf numFmtId="38" fontId="14" fillId="0" borderId="6" xfId="2" applyFont="1" applyFill="1" applyBorder="1" applyAlignment="1">
      <alignment horizontal="left" vertical="center" shrinkToFit="1"/>
    </xf>
    <xf numFmtId="0" fontId="53" fillId="4" borderId="1" xfId="1" applyFont="1" applyFill="1" applyBorder="1" applyAlignment="1">
      <alignment vertical="center" wrapText="1" shrinkToFit="1"/>
    </xf>
    <xf numFmtId="0" fontId="53" fillId="4" borderId="23" xfId="1" applyFont="1" applyFill="1" applyBorder="1" applyAlignment="1">
      <alignment vertical="center" wrapText="1" shrinkToFit="1"/>
    </xf>
    <xf numFmtId="0" fontId="53" fillId="4" borderId="6" xfId="1" applyFont="1" applyFill="1" applyBorder="1" applyAlignment="1">
      <alignment vertical="center" wrapText="1" shrinkToFit="1"/>
    </xf>
    <xf numFmtId="0" fontId="14" fillId="3" borderId="11" xfId="1" applyFont="1" applyFill="1" applyBorder="1" applyAlignment="1">
      <alignment vertical="center" shrinkToFit="1"/>
    </xf>
    <xf numFmtId="0" fontId="40" fillId="4" borderId="1" xfId="1" applyFont="1" applyFill="1" applyBorder="1" applyAlignment="1">
      <alignment vertical="center" wrapText="1" shrinkToFit="1"/>
    </xf>
    <xf numFmtId="0" fontId="40" fillId="4" borderId="23" xfId="1" applyFont="1" applyFill="1" applyBorder="1" applyAlignment="1">
      <alignment vertical="center" wrapText="1" shrinkToFit="1"/>
    </xf>
    <xf numFmtId="0" fontId="40" fillId="4" borderId="6" xfId="1" applyFont="1" applyFill="1" applyBorder="1" applyAlignment="1">
      <alignment vertical="center" wrapText="1" shrinkToFit="1"/>
    </xf>
    <xf numFmtId="0" fontId="14" fillId="0" borderId="1" xfId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176" fontId="14" fillId="0" borderId="2" xfId="1" applyNumberFormat="1" applyFont="1" applyBorder="1" applyAlignment="1">
      <alignment horizontal="center" vertical="center" shrinkToFit="1"/>
    </xf>
    <xf numFmtId="176" fontId="14" fillId="0" borderId="3" xfId="1" applyNumberFormat="1" applyFont="1" applyBorder="1" applyAlignment="1">
      <alignment horizontal="center" vertical="center" shrinkToFit="1"/>
    </xf>
    <xf numFmtId="176" fontId="14" fillId="0" borderId="7" xfId="1" applyNumberFormat="1" applyFont="1" applyBorder="1" applyAlignment="1">
      <alignment horizontal="center" vertical="center" shrinkToFit="1"/>
    </xf>
    <xf numFmtId="176" fontId="14" fillId="0" borderId="8" xfId="1" applyNumberFormat="1" applyFont="1" applyBorder="1" applyAlignment="1">
      <alignment horizontal="center" vertical="center" shrinkToFit="1"/>
    </xf>
    <xf numFmtId="0" fontId="14" fillId="0" borderId="2" xfId="1" applyFont="1" applyBorder="1" applyAlignment="1">
      <alignment horizontal="center" vertical="center" shrinkToFit="1"/>
    </xf>
    <xf numFmtId="0" fontId="14" fillId="0" borderId="3" xfId="1" applyFont="1" applyBorder="1" applyAlignment="1">
      <alignment horizontal="center" vertical="center" shrinkToFit="1"/>
    </xf>
    <xf numFmtId="0" fontId="14" fillId="0" borderId="7" xfId="1" applyFont="1" applyBorder="1" applyAlignment="1">
      <alignment horizontal="center" vertical="center" shrinkToFit="1"/>
    </xf>
    <xf numFmtId="0" fontId="14" fillId="0" borderId="8" xfId="1" applyFont="1" applyBorder="1" applyAlignment="1">
      <alignment horizontal="center" vertical="center" shrinkToFit="1"/>
    </xf>
    <xf numFmtId="176" fontId="14" fillId="0" borderId="4" xfId="1" applyNumberFormat="1" applyFont="1" applyBorder="1" applyAlignment="1">
      <alignment horizontal="center" vertical="center" shrinkToFit="1"/>
    </xf>
    <xf numFmtId="176" fontId="14" fillId="0" borderId="9" xfId="1" applyNumberFormat="1" applyFont="1" applyBorder="1" applyAlignment="1">
      <alignment horizontal="center" vertical="center" shrinkToFit="1"/>
    </xf>
    <xf numFmtId="0" fontId="22" fillId="0" borderId="1" xfId="1" applyFont="1" applyBorder="1" applyAlignment="1">
      <alignment horizontal="center" vertical="center" shrinkToFit="1"/>
    </xf>
    <xf numFmtId="0" fontId="22" fillId="0" borderId="6" xfId="1" applyFont="1" applyBorder="1" applyAlignment="1">
      <alignment horizontal="center" vertical="center" shrinkToFit="1"/>
    </xf>
    <xf numFmtId="0" fontId="14" fillId="0" borderId="1" xfId="1" applyFont="1" applyBorder="1" applyAlignment="1">
      <alignment horizontal="right" vertical="center" shrinkToFit="1"/>
    </xf>
    <xf numFmtId="0" fontId="14" fillId="3" borderId="10" xfId="1" applyFont="1" applyFill="1" applyBorder="1" applyAlignment="1">
      <alignment horizontal="left" vertical="center" shrinkToFit="1"/>
    </xf>
    <xf numFmtId="0" fontId="14" fillId="3" borderId="12" xfId="1" applyFont="1" applyFill="1" applyBorder="1" applyAlignment="1">
      <alignment horizontal="left" vertical="center" shrinkToFit="1"/>
    </xf>
    <xf numFmtId="0" fontId="14" fillId="3" borderId="11" xfId="1" applyFont="1" applyFill="1" applyBorder="1" applyAlignment="1">
      <alignment horizontal="left" vertical="center" shrinkToFit="1"/>
    </xf>
    <xf numFmtId="0" fontId="14" fillId="6" borderId="17" xfId="1" applyFont="1" applyFill="1" applyBorder="1" applyAlignment="1">
      <alignment horizontal="center" vertical="center" shrinkToFit="1"/>
    </xf>
    <xf numFmtId="0" fontId="14" fillId="3" borderId="18" xfId="1" applyFont="1" applyFill="1" applyBorder="1" applyAlignment="1">
      <alignment horizontal="center" vertical="center" shrinkToFit="1"/>
    </xf>
    <xf numFmtId="0" fontId="14" fillId="3" borderId="19" xfId="1" applyFont="1" applyFill="1" applyBorder="1" applyAlignment="1">
      <alignment horizontal="center" vertical="center" shrinkToFit="1"/>
    </xf>
    <xf numFmtId="0" fontId="14" fillId="3" borderId="18" xfId="1" applyFont="1" applyFill="1" applyBorder="1" applyAlignment="1">
      <alignment horizontal="left" vertical="center" shrinkToFit="1"/>
    </xf>
    <xf numFmtId="0" fontId="14" fillId="3" borderId="20" xfId="1" applyFont="1" applyFill="1" applyBorder="1" applyAlignment="1">
      <alignment horizontal="left" vertical="center" shrinkToFit="1"/>
    </xf>
    <xf numFmtId="0" fontId="14" fillId="3" borderId="19" xfId="1" applyFont="1" applyFill="1" applyBorder="1" applyAlignment="1">
      <alignment horizontal="left" vertical="center" shrinkToFit="1"/>
    </xf>
    <xf numFmtId="38" fontId="19" fillId="3" borderId="1" xfId="2" applyFont="1" applyFill="1" applyBorder="1" applyAlignment="1">
      <alignment vertical="center" shrinkToFit="1"/>
    </xf>
    <xf numFmtId="38" fontId="19" fillId="3" borderId="26" xfId="2" applyFont="1" applyFill="1" applyBorder="1" applyAlignment="1">
      <alignment vertical="center" shrinkToFit="1"/>
    </xf>
    <xf numFmtId="0" fontId="16" fillId="0" borderId="35" xfId="1" applyFont="1" applyBorder="1" applyAlignment="1">
      <alignment horizontal="center" vertical="center" shrinkToFit="1"/>
    </xf>
    <xf numFmtId="0" fontId="16" fillId="0" borderId="36" xfId="1" applyFont="1" applyBorder="1" applyAlignment="1">
      <alignment horizontal="center" vertical="center" shrinkToFit="1"/>
    </xf>
    <xf numFmtId="0" fontId="16" fillId="0" borderId="37" xfId="1" applyFont="1" applyBorder="1" applyAlignment="1">
      <alignment horizontal="center" vertical="center" shrinkToFit="1"/>
    </xf>
    <xf numFmtId="0" fontId="14" fillId="3" borderId="14" xfId="1" applyFont="1" applyFill="1" applyBorder="1" applyAlignment="1">
      <alignment horizontal="left" vertical="center" shrinkToFit="1"/>
    </xf>
    <xf numFmtId="0" fontId="14" fillId="3" borderId="16" xfId="1" applyFont="1" applyFill="1" applyBorder="1" applyAlignment="1">
      <alignment horizontal="left" vertical="center" shrinkToFit="1"/>
    </xf>
    <xf numFmtId="0" fontId="14" fillId="3" borderId="15" xfId="1" applyFont="1" applyFill="1" applyBorder="1" applyAlignment="1">
      <alignment horizontal="left" vertical="center" shrinkToFit="1"/>
    </xf>
    <xf numFmtId="38" fontId="19" fillId="3" borderId="23" xfId="2" applyFont="1" applyFill="1" applyBorder="1" applyAlignment="1">
      <alignment vertical="center" wrapText="1" shrinkToFit="1"/>
    </xf>
    <xf numFmtId="38" fontId="19" fillId="3" borderId="6" xfId="2" applyFont="1" applyFill="1" applyBorder="1" applyAlignment="1">
      <alignment vertical="center" wrapText="1" shrinkToFit="1"/>
    </xf>
    <xf numFmtId="38" fontId="27" fillId="4" borderId="17" xfId="2" applyFont="1" applyFill="1" applyBorder="1" applyAlignment="1">
      <alignment vertical="center" wrapText="1" shrinkToFit="1"/>
    </xf>
    <xf numFmtId="38" fontId="14" fillId="4" borderId="23" xfId="2" applyFont="1" applyFill="1" applyBorder="1" applyAlignment="1">
      <alignment vertical="center" wrapText="1" shrinkToFit="1"/>
    </xf>
    <xf numFmtId="38" fontId="14" fillId="4" borderId="6" xfId="2" applyFont="1" applyFill="1" applyBorder="1" applyAlignment="1">
      <alignment vertical="center" wrapText="1" shrinkToFit="1"/>
    </xf>
    <xf numFmtId="0" fontId="37" fillId="0" borderId="21" xfId="1" applyFont="1" applyBorder="1" applyAlignment="1">
      <alignment horizontal="center" vertical="center" wrapText="1" shrinkToFit="1"/>
    </xf>
    <xf numFmtId="0" fontId="37" fillId="0" borderId="30" xfId="1" applyFont="1" applyBorder="1" applyAlignment="1">
      <alignment horizontal="center" vertical="center" wrapText="1" shrinkToFit="1"/>
    </xf>
    <xf numFmtId="0" fontId="37" fillId="0" borderId="22" xfId="1" applyFont="1" applyBorder="1" applyAlignment="1">
      <alignment horizontal="center" vertical="center" wrapText="1" shrinkToFit="1"/>
    </xf>
    <xf numFmtId="0" fontId="37" fillId="0" borderId="24" xfId="1" applyFont="1" applyBorder="1" applyAlignment="1">
      <alignment horizontal="center" vertical="center" wrapText="1" shrinkToFit="1"/>
    </xf>
    <xf numFmtId="0" fontId="37" fillId="0" borderId="0" xfId="1" applyFont="1" applyAlignment="1">
      <alignment horizontal="center" vertical="center" wrapText="1" shrinkToFit="1"/>
    </xf>
    <xf numFmtId="0" fontId="37" fillId="0" borderId="25" xfId="1" applyFont="1" applyBorder="1" applyAlignment="1">
      <alignment horizontal="center" vertical="center" wrapText="1" shrinkToFit="1"/>
    </xf>
    <xf numFmtId="0" fontId="37" fillId="0" borderId="7" xfId="1" applyFont="1" applyBorder="1" applyAlignment="1">
      <alignment horizontal="center" vertical="center" wrapText="1" shrinkToFit="1"/>
    </xf>
    <xf numFmtId="0" fontId="37" fillId="0" borderId="9" xfId="1" applyFont="1" applyBorder="1" applyAlignment="1">
      <alignment horizontal="center" vertical="center" wrapText="1" shrinkToFit="1"/>
    </xf>
    <xf numFmtId="0" fontId="37" fillId="0" borderId="8" xfId="1" applyFont="1" applyBorder="1" applyAlignment="1">
      <alignment horizontal="center" vertical="center" wrapText="1" shrinkToFit="1"/>
    </xf>
    <xf numFmtId="38" fontId="19" fillId="3" borderId="6" xfId="2" applyFont="1" applyFill="1" applyBorder="1" applyAlignment="1">
      <alignment vertical="center" shrinkToFit="1"/>
    </xf>
    <xf numFmtId="38" fontId="19" fillId="3" borderId="1" xfId="2" applyFont="1" applyFill="1" applyBorder="1" applyAlignment="1">
      <alignment vertical="center" wrapText="1" shrinkToFit="1"/>
    </xf>
    <xf numFmtId="0" fontId="22" fillId="4" borderId="1" xfId="1" applyFont="1" applyFill="1" applyBorder="1" applyAlignment="1">
      <alignment vertical="center" shrinkToFit="1"/>
    </xf>
    <xf numFmtId="0" fontId="22" fillId="4" borderId="6" xfId="1" applyFont="1" applyFill="1" applyBorder="1" applyAlignment="1">
      <alignment vertical="center" shrinkToFit="1"/>
    </xf>
    <xf numFmtId="0" fontId="24" fillId="0" borderId="9" xfId="1" applyFont="1" applyBorder="1">
      <alignment vertical="center"/>
    </xf>
    <xf numFmtId="0" fontId="14" fillId="0" borderId="1" xfId="7" applyNumberFormat="1" applyFont="1" applyFill="1" applyBorder="1" applyAlignment="1" applyProtection="1">
      <alignment horizontal="center" vertical="center" shrinkToFit="1"/>
    </xf>
    <xf numFmtId="0" fontId="22" fillId="0" borderId="2" xfId="1" applyFont="1" applyBorder="1" applyAlignment="1">
      <alignment horizontal="center" vertical="center" shrinkToFit="1"/>
    </xf>
    <xf numFmtId="0" fontId="22" fillId="0" borderId="4" xfId="1" applyFont="1" applyBorder="1" applyAlignment="1">
      <alignment horizontal="center" vertical="center" shrinkToFit="1"/>
    </xf>
    <xf numFmtId="0" fontId="22" fillId="0" borderId="3" xfId="1" applyFont="1" applyBorder="1" applyAlignment="1">
      <alignment horizontal="center" vertical="center" shrinkToFit="1"/>
    </xf>
    <xf numFmtId="0" fontId="22" fillId="0" borderId="7" xfId="1" applyFont="1" applyBorder="1" applyAlignment="1">
      <alignment horizontal="center" vertical="center" shrinkToFit="1"/>
    </xf>
    <xf numFmtId="0" fontId="22" fillId="0" borderId="9" xfId="1" applyFont="1" applyBorder="1" applyAlignment="1">
      <alignment horizontal="center" vertical="center" shrinkToFit="1"/>
    </xf>
    <xf numFmtId="0" fontId="22" fillId="0" borderId="8" xfId="1" applyFont="1" applyBorder="1" applyAlignment="1">
      <alignment horizontal="center" vertical="center" shrinkToFit="1"/>
    </xf>
    <xf numFmtId="0" fontId="14" fillId="0" borderId="12" xfId="1" applyFont="1" applyBorder="1" applyAlignment="1">
      <alignment horizontal="center" vertical="center" shrinkToFit="1"/>
    </xf>
    <xf numFmtId="0" fontId="14" fillId="0" borderId="18" xfId="1" applyFont="1" applyBorder="1" applyAlignment="1">
      <alignment horizontal="center" vertical="center" shrinkToFit="1"/>
    </xf>
    <xf numFmtId="0" fontId="14" fillId="0" borderId="19" xfId="1" applyFont="1" applyBorder="1" applyAlignment="1">
      <alignment horizontal="center" vertical="center" shrinkToFit="1"/>
    </xf>
    <xf numFmtId="0" fontId="16" fillId="0" borderId="18" xfId="1" applyFont="1" applyBorder="1" applyAlignment="1">
      <alignment horizontal="center" vertical="center" shrinkToFit="1"/>
    </xf>
    <xf numFmtId="0" fontId="16" fillId="0" borderId="20" xfId="1" applyFont="1" applyBorder="1" applyAlignment="1">
      <alignment horizontal="center" vertical="center" shrinkToFit="1"/>
    </xf>
    <xf numFmtId="0" fontId="16" fillId="0" borderId="19" xfId="1" applyFont="1" applyBorder="1" applyAlignment="1">
      <alignment horizontal="center" vertical="center" shrinkToFit="1"/>
    </xf>
    <xf numFmtId="0" fontId="16" fillId="0" borderId="10" xfId="1" applyFont="1" applyBorder="1" applyAlignment="1">
      <alignment horizontal="center" vertical="center" wrapText="1" shrinkToFit="1"/>
    </xf>
    <xf numFmtId="0" fontId="14" fillId="3" borderId="7" xfId="1" applyFont="1" applyFill="1" applyBorder="1" applyAlignment="1">
      <alignment horizontal="left" vertical="center" shrinkToFit="1"/>
    </xf>
    <xf numFmtId="0" fontId="14" fillId="3" borderId="9" xfId="1" applyFont="1" applyFill="1" applyBorder="1" applyAlignment="1">
      <alignment horizontal="left" vertical="center" shrinkToFit="1"/>
    </xf>
    <xf numFmtId="0" fontId="14" fillId="3" borderId="8" xfId="1" applyFont="1" applyFill="1" applyBorder="1" applyAlignment="1">
      <alignment horizontal="left" vertical="center" shrinkToFit="1"/>
    </xf>
    <xf numFmtId="38" fontId="27" fillId="4" borderId="23" xfId="2" applyFont="1" applyFill="1" applyBorder="1" applyAlignment="1">
      <alignment vertical="center" wrapText="1" shrinkToFit="1"/>
    </xf>
    <xf numFmtId="38" fontId="40" fillId="4" borderId="23" xfId="2" applyFont="1" applyFill="1" applyBorder="1" applyAlignment="1">
      <alignment vertical="center" wrapText="1" shrinkToFit="1"/>
    </xf>
    <xf numFmtId="38" fontId="40" fillId="4" borderId="6" xfId="2" applyFont="1" applyFill="1" applyBorder="1" applyAlignment="1">
      <alignment vertical="center" wrapText="1" shrinkToFit="1"/>
    </xf>
    <xf numFmtId="38" fontId="27" fillId="4" borderId="1" xfId="2" applyFont="1" applyFill="1" applyBorder="1" applyAlignment="1">
      <alignment vertical="center" wrapText="1" shrinkToFit="1"/>
    </xf>
    <xf numFmtId="0" fontId="37" fillId="0" borderId="0" xfId="1" applyFont="1" applyAlignment="1">
      <alignment horizontal="center" vertical="center" shrinkToFit="1"/>
    </xf>
    <xf numFmtId="0" fontId="37" fillId="0" borderId="25" xfId="1" applyFont="1" applyBorder="1" applyAlignment="1">
      <alignment horizontal="center" vertical="center" shrinkToFit="1"/>
    </xf>
    <xf numFmtId="0" fontId="37" fillId="0" borderId="24" xfId="1" applyFont="1" applyBorder="1" applyAlignment="1">
      <alignment horizontal="center" vertical="center" shrinkToFit="1"/>
    </xf>
    <xf numFmtId="0" fontId="37" fillId="0" borderId="7" xfId="1" applyFont="1" applyBorder="1" applyAlignment="1">
      <alignment horizontal="center" vertical="center" shrinkToFit="1"/>
    </xf>
    <xf numFmtId="0" fontId="37" fillId="0" borderId="9" xfId="1" applyFont="1" applyBorder="1" applyAlignment="1">
      <alignment horizontal="center" vertical="center" shrinkToFit="1"/>
    </xf>
    <xf numFmtId="0" fontId="37" fillId="0" borderId="8" xfId="1" applyFont="1" applyBorder="1" applyAlignment="1">
      <alignment horizontal="center" vertical="center" shrinkToFit="1"/>
    </xf>
    <xf numFmtId="0" fontId="53" fillId="0" borderId="50" xfId="0" applyFont="1" applyBorder="1" applyAlignment="1">
      <alignment horizontal="center" vertical="center" textRotation="255"/>
    </xf>
    <xf numFmtId="0" fontId="53" fillId="0" borderId="51" xfId="0" applyFont="1" applyBorder="1" applyAlignment="1">
      <alignment horizontal="center" vertical="center" textRotation="255"/>
    </xf>
    <xf numFmtId="0" fontId="53" fillId="0" borderId="52" xfId="0" applyFont="1" applyBorder="1" applyAlignment="1">
      <alignment horizontal="center" vertical="center" textRotation="255"/>
    </xf>
    <xf numFmtId="0" fontId="53" fillId="0" borderId="53" xfId="0" applyFont="1" applyBorder="1" applyAlignment="1">
      <alignment horizontal="center" vertical="center"/>
    </xf>
    <xf numFmtId="0" fontId="53" fillId="0" borderId="55" xfId="0" applyFont="1" applyBorder="1" applyAlignment="1">
      <alignment horizontal="center" vertical="center"/>
    </xf>
    <xf numFmtId="0" fontId="53" fillId="0" borderId="54" xfId="0" applyFont="1" applyBorder="1" applyAlignment="1">
      <alignment horizontal="center" vertical="center"/>
    </xf>
    <xf numFmtId="0" fontId="50" fillId="0" borderId="5" xfId="1" applyFont="1" applyBorder="1" applyAlignment="1">
      <alignment horizontal="center" vertical="center" shrinkToFit="1"/>
    </xf>
    <xf numFmtId="176" fontId="50" fillId="0" borderId="10" xfId="1" applyNumberFormat="1" applyFont="1" applyBorder="1" applyAlignment="1">
      <alignment horizontal="left" vertical="center" shrinkToFit="1"/>
    </xf>
    <xf numFmtId="176" fontId="50" fillId="0" borderId="12" xfId="1" applyNumberFormat="1" applyFont="1" applyBorder="1" applyAlignment="1">
      <alignment horizontal="left" vertical="center" shrinkToFit="1"/>
    </xf>
    <xf numFmtId="176" fontId="50" fillId="0" borderId="11" xfId="1" applyNumberFormat="1" applyFont="1" applyBorder="1" applyAlignment="1">
      <alignment horizontal="left" vertical="center" shrinkToFit="1"/>
    </xf>
    <xf numFmtId="0" fontId="19" fillId="4" borderId="3" xfId="1" applyFont="1" applyFill="1" applyBorder="1" applyAlignment="1">
      <alignment vertical="center" wrapText="1" shrinkToFit="1"/>
    </xf>
    <xf numFmtId="0" fontId="24" fillId="4" borderId="25" xfId="1" applyFont="1" applyFill="1" applyBorder="1" applyAlignment="1">
      <alignment vertical="center" shrinkToFit="1"/>
    </xf>
    <xf numFmtId="0" fontId="24" fillId="4" borderId="8" xfId="1" applyFont="1" applyFill="1" applyBorder="1" applyAlignment="1">
      <alignment vertical="center" shrinkToFit="1"/>
    </xf>
    <xf numFmtId="38" fontId="35" fillId="4" borderId="23" xfId="2" applyFont="1" applyFill="1" applyBorder="1" applyAlignment="1">
      <alignment vertical="center" wrapText="1" shrinkToFit="1"/>
    </xf>
    <xf numFmtId="38" fontId="19" fillId="4" borderId="1" xfId="2" applyFont="1" applyFill="1" applyBorder="1" applyAlignment="1">
      <alignment vertical="center" shrinkToFit="1"/>
    </xf>
    <xf numFmtId="38" fontId="19" fillId="4" borderId="23" xfId="2" applyFont="1" applyFill="1" applyBorder="1" applyAlignment="1">
      <alignment vertical="center" shrinkToFit="1"/>
    </xf>
    <xf numFmtId="38" fontId="19" fillId="3" borderId="23" xfId="2" applyFont="1" applyFill="1" applyBorder="1" applyAlignment="1">
      <alignment vertical="center" shrinkToFit="1"/>
    </xf>
    <xf numFmtId="0" fontId="14" fillId="0" borderId="7" xfId="1" applyFont="1" applyBorder="1" applyAlignment="1">
      <alignment vertical="center" shrinkToFit="1"/>
    </xf>
    <xf numFmtId="0" fontId="22" fillId="0" borderId="9" xfId="1" applyFont="1" applyBorder="1" applyAlignment="1">
      <alignment vertical="center" shrinkToFit="1"/>
    </xf>
    <xf numFmtId="0" fontId="22" fillId="0" borderId="23" xfId="1" applyFont="1" applyBorder="1" applyAlignment="1">
      <alignment horizontal="left" vertical="center" wrapText="1" shrinkToFit="1"/>
    </xf>
    <xf numFmtId="0" fontId="22" fillId="0" borderId="6" xfId="1" applyFont="1" applyBorder="1" applyAlignment="1">
      <alignment horizontal="left" vertical="center" wrapText="1" shrinkToFit="1"/>
    </xf>
    <xf numFmtId="0" fontId="20" fillId="0" borderId="23" xfId="1" applyFont="1" applyBorder="1" applyAlignment="1">
      <alignment horizontal="left" vertical="center" shrinkToFit="1"/>
    </xf>
    <xf numFmtId="0" fontId="20" fillId="0" borderId="6" xfId="1" applyFont="1" applyBorder="1" applyAlignment="1">
      <alignment horizontal="left" vertical="center" shrinkToFit="1"/>
    </xf>
    <xf numFmtId="0" fontId="16" fillId="0" borderId="34" xfId="1" applyFont="1" applyBorder="1" applyAlignment="1">
      <alignment horizontal="center" vertical="center" shrinkToFit="1"/>
    </xf>
    <xf numFmtId="0" fontId="16" fillId="0" borderId="31" xfId="1" applyFont="1" applyBorder="1" applyAlignment="1">
      <alignment horizontal="center" vertical="center" shrinkToFit="1"/>
    </xf>
    <xf numFmtId="0" fontId="16" fillId="0" borderId="24" xfId="1" applyFont="1" applyBorder="1" applyAlignment="1">
      <alignment horizontal="center" vertical="center" wrapText="1" shrinkToFit="1"/>
    </xf>
    <xf numFmtId="0" fontId="14" fillId="0" borderId="10" xfId="1" applyFont="1" applyBorder="1" applyAlignment="1">
      <alignment vertical="center" shrinkToFit="1"/>
    </xf>
    <xf numFmtId="0" fontId="14" fillId="0" borderId="12" xfId="1" applyFont="1" applyBorder="1" applyAlignment="1">
      <alignment vertical="center" shrinkToFit="1"/>
    </xf>
    <xf numFmtId="0" fontId="14" fillId="0" borderId="11" xfId="1" applyFont="1" applyBorder="1" applyAlignment="1">
      <alignment vertical="center" shrinkToFit="1"/>
    </xf>
    <xf numFmtId="0" fontId="22" fillId="0" borderId="10" xfId="1" applyFont="1" applyBorder="1" applyAlignment="1">
      <alignment horizontal="center" vertical="center"/>
    </xf>
    <xf numFmtId="0" fontId="22" fillId="0" borderId="11" xfId="1" applyFont="1" applyBorder="1" applyAlignment="1">
      <alignment horizontal="center" vertical="center"/>
    </xf>
    <xf numFmtId="0" fontId="53" fillId="3" borderId="1" xfId="1" applyFont="1" applyFill="1" applyBorder="1" applyAlignment="1">
      <alignment horizontal="left" vertical="center" wrapText="1" shrinkToFit="1"/>
    </xf>
    <xf numFmtId="0" fontId="53" fillId="3" borderId="23" xfId="1" applyFont="1" applyFill="1" applyBorder="1" applyAlignment="1">
      <alignment horizontal="left" vertical="center" wrapText="1" shrinkToFit="1"/>
    </xf>
    <xf numFmtId="0" fontId="53" fillId="3" borderId="6" xfId="1" applyFont="1" applyFill="1" applyBorder="1" applyAlignment="1">
      <alignment horizontal="left" vertical="center" wrapText="1" shrinkToFit="1"/>
    </xf>
    <xf numFmtId="0" fontId="20" fillId="0" borderId="1" xfId="1" applyFont="1" applyBorder="1" applyAlignment="1">
      <alignment horizontal="left" vertical="center" shrinkToFit="1"/>
    </xf>
    <xf numFmtId="0" fontId="16" fillId="3" borderId="32" xfId="1" applyFont="1" applyFill="1" applyBorder="1" applyAlignment="1">
      <alignment horizontal="center" vertical="center" shrinkToFit="1"/>
    </xf>
    <xf numFmtId="0" fontId="16" fillId="3" borderId="34" xfId="1" applyFont="1" applyFill="1" applyBorder="1" applyAlignment="1">
      <alignment horizontal="center" vertical="center" shrinkToFit="1"/>
    </xf>
    <xf numFmtId="0" fontId="16" fillId="3" borderId="31" xfId="1" applyFont="1" applyFill="1" applyBorder="1" applyAlignment="1">
      <alignment horizontal="center" vertical="center" shrinkToFit="1"/>
    </xf>
    <xf numFmtId="0" fontId="16" fillId="0" borderId="2" xfId="1" applyFont="1" applyBorder="1" applyAlignment="1">
      <alignment horizontal="center" vertical="center" wrapText="1" shrinkToFit="1"/>
    </xf>
    <xf numFmtId="0" fontId="65" fillId="0" borderId="1" xfId="1" applyFont="1" applyBorder="1" applyAlignment="1">
      <alignment horizontal="left" vertical="center" wrapText="1" shrinkToFit="1"/>
    </xf>
    <xf numFmtId="0" fontId="65" fillId="0" borderId="23" xfId="1" applyFont="1" applyBorder="1" applyAlignment="1">
      <alignment horizontal="left" vertical="center" wrapText="1" shrinkToFit="1"/>
    </xf>
    <xf numFmtId="0" fontId="65" fillId="0" borderId="6" xfId="1" applyFont="1" applyBorder="1" applyAlignment="1">
      <alignment horizontal="left" vertical="center" wrapText="1" shrinkToFit="1"/>
    </xf>
    <xf numFmtId="0" fontId="14" fillId="4" borderId="10" xfId="1" applyFont="1" applyFill="1" applyBorder="1" applyAlignment="1">
      <alignment horizontal="center" vertical="center" shrinkToFit="1"/>
    </xf>
    <xf numFmtId="0" fontId="14" fillId="4" borderId="11" xfId="1" applyFont="1" applyFill="1" applyBorder="1" applyAlignment="1">
      <alignment horizontal="center" vertical="center" shrinkToFit="1"/>
    </xf>
    <xf numFmtId="0" fontId="14" fillId="4" borderId="10" xfId="1" applyFont="1" applyFill="1" applyBorder="1" applyAlignment="1">
      <alignment vertical="center" shrinkToFit="1"/>
    </xf>
    <xf numFmtId="0" fontId="14" fillId="4" borderId="12" xfId="1" applyFont="1" applyFill="1" applyBorder="1" applyAlignment="1">
      <alignment vertical="center" shrinkToFit="1"/>
    </xf>
    <xf numFmtId="0" fontId="14" fillId="4" borderId="11" xfId="1" applyFont="1" applyFill="1" applyBorder="1" applyAlignment="1">
      <alignment vertical="center" shrinkToFit="1"/>
    </xf>
    <xf numFmtId="0" fontId="38" fillId="0" borderId="0" xfId="1" applyFont="1">
      <alignment vertical="center"/>
    </xf>
    <xf numFmtId="0" fontId="14" fillId="0" borderId="14" xfId="1" applyFont="1" applyBorder="1" applyAlignment="1">
      <alignment horizontal="center" vertical="center" shrinkToFit="1"/>
    </xf>
    <xf numFmtId="0" fontId="14" fillId="0" borderId="15" xfId="1" applyFont="1" applyBorder="1" applyAlignment="1">
      <alignment horizontal="center" vertical="center" shrinkToFit="1"/>
    </xf>
    <xf numFmtId="0" fontId="14" fillId="0" borderId="14" xfId="1" applyFont="1" applyBorder="1" applyAlignment="1">
      <alignment vertical="center" shrinkToFit="1"/>
    </xf>
    <xf numFmtId="0" fontId="14" fillId="0" borderId="16" xfId="1" applyFont="1" applyBorder="1" applyAlignment="1">
      <alignment vertical="center" shrinkToFit="1"/>
    </xf>
    <xf numFmtId="0" fontId="14" fillId="0" borderId="15" xfId="1" applyFont="1" applyBorder="1" applyAlignment="1">
      <alignment vertical="center" shrinkToFit="1"/>
    </xf>
    <xf numFmtId="0" fontId="16" fillId="0" borderId="14" xfId="1" applyFont="1" applyBorder="1" applyAlignment="1">
      <alignment horizontal="center" vertical="center" shrinkToFit="1"/>
    </xf>
    <xf numFmtId="0" fontId="16" fillId="0" borderId="15" xfId="1" applyFont="1" applyBorder="1" applyAlignment="1">
      <alignment horizontal="center" vertical="center" shrinkToFit="1"/>
    </xf>
    <xf numFmtId="0" fontId="14" fillId="2" borderId="10" xfId="1" applyFont="1" applyFill="1" applyBorder="1" applyAlignment="1">
      <alignment horizontal="center" vertical="center" shrinkToFit="1"/>
    </xf>
    <xf numFmtId="0" fontId="14" fillId="2" borderId="11" xfId="1" applyFont="1" applyFill="1" applyBorder="1" applyAlignment="1">
      <alignment horizontal="center" vertical="center" shrinkToFit="1"/>
    </xf>
    <xf numFmtId="0" fontId="22" fillId="3" borderId="1" xfId="1" applyFont="1" applyFill="1" applyBorder="1" applyAlignment="1">
      <alignment horizontal="left" vertical="center" wrapText="1" shrinkToFit="1"/>
    </xf>
    <xf numFmtId="0" fontId="22" fillId="3" borderId="6" xfId="1" applyFont="1" applyFill="1" applyBorder="1" applyAlignment="1">
      <alignment horizontal="left" vertical="center" wrapText="1" shrinkToFit="1"/>
    </xf>
    <xf numFmtId="0" fontId="16" fillId="0" borderId="1" xfId="1" applyFont="1" applyBorder="1" applyAlignment="1">
      <alignment horizontal="left" vertical="center" shrinkToFit="1"/>
    </xf>
    <xf numFmtId="0" fontId="16" fillId="0" borderId="6" xfId="1" applyFont="1" applyBorder="1" applyAlignment="1">
      <alignment horizontal="left" vertical="center" shrinkToFit="1"/>
    </xf>
    <xf numFmtId="0" fontId="14" fillId="2" borderId="10" xfId="1" applyFont="1" applyFill="1" applyBorder="1" applyAlignment="1">
      <alignment vertical="center" shrinkToFit="1"/>
    </xf>
    <xf numFmtId="0" fontId="14" fillId="2" borderId="12" xfId="1" applyFont="1" applyFill="1" applyBorder="1" applyAlignment="1">
      <alignment vertical="center" shrinkToFit="1"/>
    </xf>
    <xf numFmtId="0" fontId="14" fillId="2" borderId="11" xfId="1" applyFont="1" applyFill="1" applyBorder="1" applyAlignment="1">
      <alignment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4" borderId="34" xfId="1" applyFont="1" applyFill="1" applyBorder="1" applyAlignment="1">
      <alignment horizontal="center" vertical="center" shrinkToFit="1"/>
    </xf>
    <xf numFmtId="0" fontId="16" fillId="4" borderId="31" xfId="1" applyFont="1" applyFill="1" applyBorder="1" applyAlignment="1">
      <alignment horizontal="center" vertical="center" shrinkToFit="1"/>
    </xf>
    <xf numFmtId="0" fontId="22" fillId="0" borderId="1" xfId="1" applyFont="1" applyBorder="1" applyAlignment="1">
      <alignment horizontal="left" vertical="center" wrapText="1" shrinkToFit="1"/>
    </xf>
    <xf numFmtId="0" fontId="22" fillId="0" borderId="12" xfId="1" applyFont="1" applyBorder="1" applyAlignment="1">
      <alignment vertical="center" shrinkToFit="1"/>
    </xf>
    <xf numFmtId="0" fontId="14" fillId="0" borderId="18" xfId="1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14" fillId="0" borderId="18" xfId="1" applyFont="1" applyBorder="1">
      <alignment vertical="center"/>
    </xf>
    <xf numFmtId="0" fontId="24" fillId="0" borderId="20" xfId="0" applyFont="1" applyBorder="1" applyAlignment="1">
      <alignment vertical="center"/>
    </xf>
    <xf numFmtId="0" fontId="16" fillId="0" borderId="18" xfId="1" applyFont="1" applyBorder="1" applyAlignment="1">
      <alignment horizontal="center" vertical="center"/>
    </xf>
    <xf numFmtId="0" fontId="14" fillId="4" borderId="7" xfId="1" applyFont="1" applyFill="1" applyBorder="1" applyAlignment="1">
      <alignment horizontal="center" vertical="center" shrinkToFit="1"/>
    </xf>
    <xf numFmtId="0" fontId="14" fillId="4" borderId="8" xfId="1" applyFont="1" applyFill="1" applyBorder="1" applyAlignment="1">
      <alignment horizontal="center" vertical="center" shrinkToFit="1"/>
    </xf>
    <xf numFmtId="0" fontId="27" fillId="3" borderId="1" xfId="1" applyFont="1" applyFill="1" applyBorder="1" applyAlignment="1">
      <alignment vertical="center" wrapText="1" shrinkToFit="1"/>
    </xf>
    <xf numFmtId="0" fontId="27" fillId="3" borderId="23" xfId="1" applyFont="1" applyFill="1" applyBorder="1" applyAlignment="1">
      <alignment vertical="center" wrapText="1" shrinkToFit="1"/>
    </xf>
    <xf numFmtId="0" fontId="27" fillId="3" borderId="6" xfId="1" applyFont="1" applyFill="1" applyBorder="1" applyAlignment="1">
      <alignment vertical="center" wrapText="1" shrinkToFit="1"/>
    </xf>
    <xf numFmtId="0" fontId="22" fillId="3" borderId="1" xfId="1" applyFont="1" applyFill="1" applyBorder="1" applyAlignment="1">
      <alignment horizontal="left" vertical="center" shrinkToFit="1"/>
    </xf>
    <xf numFmtId="0" fontId="22" fillId="3" borderId="6" xfId="1" applyFont="1" applyFill="1" applyBorder="1" applyAlignment="1">
      <alignment horizontal="left" vertical="center" shrinkToFit="1"/>
    </xf>
    <xf numFmtId="0" fontId="17" fillId="3" borderId="32" xfId="1" applyFont="1" applyFill="1" applyBorder="1" applyAlignment="1">
      <alignment horizontal="center" vertical="center" shrinkToFit="1"/>
    </xf>
    <xf numFmtId="0" fontId="17" fillId="3" borderId="31" xfId="1" applyFont="1" applyFill="1" applyBorder="1" applyAlignment="1">
      <alignment horizontal="center" vertical="center" shrinkToFit="1"/>
    </xf>
    <xf numFmtId="0" fontId="22" fillId="0" borderId="2" xfId="1" applyFont="1" applyBorder="1" applyAlignment="1">
      <alignment horizontal="center" vertical="center"/>
    </xf>
    <xf numFmtId="0" fontId="22" fillId="0" borderId="3" xfId="1" applyFont="1" applyBorder="1" applyAlignment="1">
      <alignment horizontal="center" vertical="center"/>
    </xf>
    <xf numFmtId="0" fontId="22" fillId="0" borderId="7" xfId="1" applyFont="1" applyBorder="1" applyAlignment="1">
      <alignment horizontal="center" vertical="center"/>
    </xf>
    <xf numFmtId="0" fontId="22" fillId="0" borderId="8" xfId="1" applyFont="1" applyBorder="1" applyAlignment="1">
      <alignment horizontal="center" vertical="center"/>
    </xf>
    <xf numFmtId="0" fontId="14" fillId="2" borderId="5" xfId="1" applyFont="1" applyFill="1" applyBorder="1" applyAlignment="1">
      <alignment horizontal="center" vertical="center" shrinkToFit="1"/>
    </xf>
    <xf numFmtId="0" fontId="16" fillId="3" borderId="32" xfId="1" applyFont="1" applyFill="1" applyBorder="1" applyAlignment="1">
      <alignment horizontal="center" vertical="top" shrinkToFit="1"/>
    </xf>
    <xf numFmtId="0" fontId="16" fillId="3" borderId="31" xfId="1" applyFont="1" applyFill="1" applyBorder="1" applyAlignment="1">
      <alignment horizontal="center" vertical="top" shrinkToFit="1"/>
    </xf>
    <xf numFmtId="176" fontId="14" fillId="0" borderId="2" xfId="1" applyNumberFormat="1" applyFont="1" applyBorder="1" applyAlignment="1">
      <alignment horizontal="center" vertical="center"/>
    </xf>
    <xf numFmtId="176" fontId="14" fillId="0" borderId="3" xfId="1" applyNumberFormat="1" applyFont="1" applyBorder="1" applyAlignment="1">
      <alignment horizontal="center" vertical="center"/>
    </xf>
    <xf numFmtId="176" fontId="14" fillId="0" borderId="7" xfId="1" applyNumberFormat="1" applyFont="1" applyBorder="1" applyAlignment="1">
      <alignment horizontal="center" vertical="center"/>
    </xf>
    <xf numFmtId="176" fontId="14" fillId="0" borderId="8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176" fontId="14" fillId="0" borderId="4" xfId="1" applyNumberFormat="1" applyFont="1" applyBorder="1" applyAlignment="1">
      <alignment horizontal="center" vertical="center"/>
    </xf>
    <xf numFmtId="176" fontId="14" fillId="0" borderId="9" xfId="1" applyNumberFormat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22" fillId="0" borderId="6" xfId="1" applyFont="1" applyBorder="1" applyAlignment="1">
      <alignment horizontal="center" vertical="center"/>
    </xf>
    <xf numFmtId="0" fontId="65" fillId="0" borderId="1" xfId="1" applyFont="1" applyBorder="1" applyAlignment="1">
      <alignment horizontal="left" vertical="center" shrinkToFit="1"/>
    </xf>
    <xf numFmtId="0" fontId="65" fillId="0" borderId="6" xfId="1" applyFont="1" applyBorder="1" applyAlignment="1">
      <alignment horizontal="left" vertical="center" shrinkToFit="1"/>
    </xf>
    <xf numFmtId="0" fontId="22" fillId="3" borderId="26" xfId="1" applyFont="1" applyFill="1" applyBorder="1" applyAlignment="1">
      <alignment horizontal="left" vertical="center" shrinkToFit="1"/>
    </xf>
    <xf numFmtId="0" fontId="20" fillId="0" borderId="26" xfId="1" applyFont="1" applyBorder="1" applyAlignment="1">
      <alignment horizontal="left" vertical="center" shrinkToFit="1"/>
    </xf>
    <xf numFmtId="0" fontId="14" fillId="2" borderId="14" xfId="1" applyFont="1" applyFill="1" applyBorder="1" applyAlignment="1">
      <alignment horizontal="center" vertical="center" shrinkToFit="1"/>
    </xf>
    <xf numFmtId="0" fontId="14" fillId="2" borderId="15" xfId="1" applyFont="1" applyFill="1" applyBorder="1" applyAlignment="1">
      <alignment horizontal="center" vertical="center" shrinkToFit="1"/>
    </xf>
    <xf numFmtId="0" fontId="14" fillId="2" borderId="14" xfId="1" applyFont="1" applyFill="1" applyBorder="1" applyAlignment="1">
      <alignment vertical="center" shrinkToFit="1"/>
    </xf>
    <xf numFmtId="0" fontId="14" fillId="2" borderId="16" xfId="1" applyFont="1" applyFill="1" applyBorder="1" applyAlignment="1">
      <alignment vertical="center" shrinkToFit="1"/>
    </xf>
    <xf numFmtId="0" fontId="14" fillId="2" borderId="15" xfId="1" applyFont="1" applyFill="1" applyBorder="1" applyAlignment="1">
      <alignment vertical="center" shrinkToFit="1"/>
    </xf>
    <xf numFmtId="0" fontId="16" fillId="3" borderId="33" xfId="1" applyFont="1" applyFill="1" applyBorder="1" applyAlignment="1">
      <alignment horizontal="center" vertical="top" shrinkToFit="1"/>
    </xf>
    <xf numFmtId="0" fontId="24" fillId="3" borderId="1" xfId="1" applyFont="1" applyFill="1" applyBorder="1" applyAlignment="1">
      <alignment horizontal="left" vertical="center" shrinkToFit="1"/>
    </xf>
    <xf numFmtId="0" fontId="24" fillId="3" borderId="6" xfId="1" applyFont="1" applyFill="1" applyBorder="1" applyAlignment="1">
      <alignment horizontal="left" vertical="center" shrinkToFit="1"/>
    </xf>
    <xf numFmtId="0" fontId="40" fillId="0" borderId="1" xfId="1" applyFont="1" applyBorder="1" applyAlignment="1">
      <alignment horizontal="left" vertical="top" wrapText="1" shrinkToFit="1"/>
    </xf>
    <xf numFmtId="0" fontId="40" fillId="0" borderId="6" xfId="1" applyFont="1" applyBorder="1" applyAlignment="1">
      <alignment horizontal="left" vertical="top" wrapText="1" shrinkToFit="1"/>
    </xf>
    <xf numFmtId="0" fontId="19" fillId="3" borderId="1" xfId="1" applyFont="1" applyFill="1" applyBorder="1" applyAlignment="1">
      <alignment horizontal="left" vertical="center" wrapText="1" shrinkToFit="1"/>
    </xf>
    <xf numFmtId="0" fontId="19" fillId="3" borderId="23" xfId="1" applyFont="1" applyFill="1" applyBorder="1" applyAlignment="1">
      <alignment horizontal="left" vertical="center" wrapText="1" shrinkToFit="1"/>
    </xf>
    <xf numFmtId="0" fontId="19" fillId="3" borderId="6" xfId="1" applyFont="1" applyFill="1" applyBorder="1" applyAlignment="1">
      <alignment horizontal="left" vertical="center" wrapText="1" shrinkToFit="1"/>
    </xf>
    <xf numFmtId="0" fontId="17" fillId="4" borderId="32" xfId="1" applyFont="1" applyFill="1" applyBorder="1" applyAlignment="1">
      <alignment horizontal="center" vertical="center" shrinkToFit="1"/>
    </xf>
    <xf numFmtId="0" fontId="17" fillId="4" borderId="31" xfId="1" applyFont="1" applyFill="1" applyBorder="1" applyAlignment="1">
      <alignment horizontal="center" vertical="center" shrinkToFit="1"/>
    </xf>
    <xf numFmtId="0" fontId="24" fillId="3" borderId="26" xfId="1" applyFont="1" applyFill="1" applyBorder="1" applyAlignment="1">
      <alignment horizontal="left" vertical="center" shrinkToFit="1"/>
    </xf>
    <xf numFmtId="0" fontId="22" fillId="3" borderId="12" xfId="1" applyFont="1" applyFill="1" applyBorder="1" applyAlignment="1">
      <alignment vertical="center" shrinkToFit="1"/>
    </xf>
    <xf numFmtId="177" fontId="14" fillId="3" borderId="1" xfId="2" applyNumberFormat="1" applyFont="1" applyFill="1" applyBorder="1" applyAlignment="1">
      <alignment vertical="center" shrinkToFit="1"/>
    </xf>
    <xf numFmtId="177" fontId="14" fillId="3" borderId="6" xfId="2" applyNumberFormat="1" applyFont="1" applyFill="1" applyBorder="1" applyAlignment="1">
      <alignment vertical="center" shrinkToFit="1"/>
    </xf>
    <xf numFmtId="177" fontId="14" fillId="4" borderId="1" xfId="2" applyNumberFormat="1" applyFont="1" applyFill="1" applyBorder="1" applyAlignment="1">
      <alignment vertical="center" shrinkToFit="1"/>
    </xf>
    <xf numFmtId="177" fontId="14" fillId="4" borderId="6" xfId="2" applyNumberFormat="1" applyFont="1" applyFill="1" applyBorder="1" applyAlignment="1">
      <alignment vertical="center" shrinkToFit="1"/>
    </xf>
    <xf numFmtId="177" fontId="14" fillId="3" borderId="1" xfId="2" applyNumberFormat="1" applyFont="1" applyFill="1" applyBorder="1" applyAlignment="1">
      <alignment vertical="center" wrapText="1" shrinkToFit="1"/>
    </xf>
    <xf numFmtId="177" fontId="14" fillId="3" borderId="6" xfId="2" applyNumberFormat="1" applyFont="1" applyFill="1" applyBorder="1" applyAlignment="1">
      <alignment vertical="center" wrapText="1" shrinkToFit="1"/>
    </xf>
    <xf numFmtId="177" fontId="53" fillId="4" borderId="1" xfId="2" applyNumberFormat="1" applyFont="1" applyFill="1" applyBorder="1" applyAlignment="1">
      <alignment vertical="center" wrapText="1" shrinkToFit="1"/>
    </xf>
    <xf numFmtId="177" fontId="53" fillId="4" borderId="6" xfId="2" applyNumberFormat="1" applyFont="1" applyFill="1" applyBorder="1" applyAlignment="1">
      <alignment vertical="center" wrapText="1" shrinkToFit="1"/>
    </xf>
    <xf numFmtId="177" fontId="14" fillId="3" borderId="23" xfId="2" applyNumberFormat="1" applyFont="1" applyFill="1" applyBorder="1" applyAlignment="1">
      <alignment vertical="center" wrapText="1" shrinkToFit="1"/>
    </xf>
    <xf numFmtId="177" fontId="14" fillId="4" borderId="1" xfId="2" applyNumberFormat="1" applyFont="1" applyFill="1" applyBorder="1" applyAlignment="1">
      <alignment vertical="center" wrapText="1" shrinkToFit="1"/>
    </xf>
    <xf numFmtId="177" fontId="14" fillId="4" borderId="23" xfId="2" applyNumberFormat="1" applyFont="1" applyFill="1" applyBorder="1" applyAlignment="1">
      <alignment vertical="center" wrapText="1" shrinkToFit="1"/>
    </xf>
    <xf numFmtId="177" fontId="14" fillId="4" borderId="6" xfId="2" applyNumberFormat="1" applyFont="1" applyFill="1" applyBorder="1" applyAlignment="1">
      <alignment vertical="center" wrapText="1" shrinkToFit="1"/>
    </xf>
    <xf numFmtId="0" fontId="16" fillId="0" borderId="0" xfId="1" applyFont="1" applyAlignment="1">
      <alignment horizontal="center" vertical="center" wrapText="1" shrinkToFit="1"/>
    </xf>
    <xf numFmtId="0" fontId="16" fillId="0" borderId="25" xfId="1" applyFont="1" applyBorder="1" applyAlignment="1">
      <alignment horizontal="center" vertical="center" wrapText="1" shrinkToFit="1"/>
    </xf>
    <xf numFmtId="0" fontId="16" fillId="0" borderId="7" xfId="1" applyFont="1" applyBorder="1" applyAlignment="1">
      <alignment horizontal="center" vertical="center" wrapText="1" shrinkToFit="1"/>
    </xf>
    <xf numFmtId="0" fontId="16" fillId="0" borderId="9" xfId="1" applyFont="1" applyBorder="1" applyAlignment="1">
      <alignment horizontal="center" vertical="center" wrapText="1" shrinkToFit="1"/>
    </xf>
    <xf numFmtId="0" fontId="16" fillId="0" borderId="8" xfId="1" applyFont="1" applyBorder="1" applyAlignment="1">
      <alignment horizontal="center" vertical="center" wrapText="1" shrinkToFit="1"/>
    </xf>
    <xf numFmtId="177" fontId="14" fillId="4" borderId="17" xfId="2" applyNumberFormat="1" applyFont="1" applyFill="1" applyBorder="1" applyAlignment="1">
      <alignment vertical="center" wrapText="1" shrinkToFit="1"/>
    </xf>
    <xf numFmtId="0" fontId="14" fillId="6" borderId="5" xfId="1" applyFont="1" applyFill="1" applyBorder="1" applyAlignment="1">
      <alignment horizontal="center" vertical="center" shrinkToFit="1"/>
    </xf>
    <xf numFmtId="0" fontId="14" fillId="3" borderId="18" xfId="1" applyFont="1" applyFill="1" applyBorder="1" applyAlignment="1">
      <alignment vertical="center" shrinkToFit="1"/>
    </xf>
    <xf numFmtId="0" fontId="22" fillId="0" borderId="20" xfId="1" applyFont="1" applyBorder="1" applyAlignment="1">
      <alignment vertical="center" shrinkToFit="1"/>
    </xf>
    <xf numFmtId="177" fontId="14" fillId="3" borderId="17" xfId="2" applyNumberFormat="1" applyFont="1" applyFill="1" applyBorder="1" applyAlignment="1">
      <alignment vertical="center" shrinkToFit="1"/>
    </xf>
    <xf numFmtId="177" fontId="14" fillId="3" borderId="23" xfId="2" applyNumberFormat="1" applyFont="1" applyFill="1" applyBorder="1" applyAlignment="1">
      <alignment vertical="center" shrinkToFit="1"/>
    </xf>
    <xf numFmtId="0" fontId="22" fillId="0" borderId="11" xfId="1" applyFont="1" applyBorder="1" applyAlignment="1">
      <alignment vertical="center" shrinkToFit="1"/>
    </xf>
    <xf numFmtId="0" fontId="14" fillId="3" borderId="13" xfId="1" applyFont="1" applyFill="1" applyBorder="1" applyAlignment="1">
      <alignment horizontal="center" vertical="center" shrinkToFit="1"/>
    </xf>
    <xf numFmtId="0" fontId="16" fillId="0" borderId="5" xfId="1" applyFont="1" applyBorder="1" applyAlignment="1">
      <alignment horizontal="center" vertical="center" wrapText="1" shrinkToFit="1"/>
    </xf>
    <xf numFmtId="177" fontId="14" fillId="0" borderId="1" xfId="2" applyNumberFormat="1" applyFont="1" applyBorder="1" applyAlignment="1">
      <alignment vertical="center" wrapText="1" shrinkToFit="1"/>
    </xf>
    <xf numFmtId="177" fontId="14" fillId="0" borderId="6" xfId="2" applyNumberFormat="1" applyFont="1" applyBorder="1" applyAlignment="1">
      <alignment vertical="center" wrapText="1" shrinkToFit="1"/>
    </xf>
    <xf numFmtId="177" fontId="17" fillId="4" borderId="1" xfId="2" applyNumberFormat="1" applyFont="1" applyFill="1" applyBorder="1" applyAlignment="1">
      <alignment vertical="center" wrapText="1" shrinkToFit="1"/>
    </xf>
    <xf numFmtId="177" fontId="17" fillId="4" borderId="6" xfId="2" applyNumberFormat="1" applyFont="1" applyFill="1" applyBorder="1" applyAlignment="1">
      <alignment vertical="center" wrapText="1" shrinkToFit="1"/>
    </xf>
    <xf numFmtId="177" fontId="14" fillId="3" borderId="1" xfId="2" applyNumberFormat="1" applyFont="1" applyFill="1" applyBorder="1" applyAlignment="1">
      <alignment vertical="center" wrapText="1"/>
    </xf>
    <xf numFmtId="177" fontId="14" fillId="3" borderId="6" xfId="2" applyNumberFormat="1" applyFont="1" applyFill="1" applyBorder="1" applyAlignment="1">
      <alignment vertical="center" wrapText="1"/>
    </xf>
    <xf numFmtId="0" fontId="14" fillId="0" borderId="1" xfId="1" applyFont="1" applyBorder="1" applyAlignment="1">
      <alignment horizontal="left" vertical="top" wrapText="1" shrinkToFit="1"/>
    </xf>
    <xf numFmtId="0" fontId="14" fillId="0" borderId="6" xfId="1" applyFont="1" applyBorder="1" applyAlignment="1">
      <alignment horizontal="left" vertical="top" wrapText="1" shrinkToFit="1"/>
    </xf>
    <xf numFmtId="0" fontId="14" fillId="0" borderId="5" xfId="1" applyFont="1" applyBorder="1" applyAlignment="1">
      <alignment horizontal="center" vertical="center" wrapText="1" shrinkToFit="1"/>
    </xf>
    <xf numFmtId="0" fontId="14" fillId="0" borderId="10" xfId="1" applyFont="1" applyBorder="1" applyAlignment="1">
      <alignment vertical="center" wrapText="1" shrinkToFit="1"/>
    </xf>
    <xf numFmtId="0" fontId="22" fillId="0" borderId="12" xfId="1" applyFont="1" applyBorder="1" applyAlignment="1">
      <alignment vertical="center" wrapText="1" shrinkToFit="1"/>
    </xf>
    <xf numFmtId="177" fontId="19" fillId="4" borderId="1" xfId="2" applyNumberFormat="1" applyFont="1" applyFill="1" applyBorder="1" applyAlignment="1">
      <alignment vertical="center" wrapText="1" shrinkToFit="1"/>
    </xf>
    <xf numFmtId="177" fontId="19" fillId="4" borderId="6" xfId="2" applyNumberFormat="1" applyFont="1" applyFill="1" applyBorder="1" applyAlignment="1">
      <alignment vertical="center" wrapText="1" shrinkToFit="1"/>
    </xf>
    <xf numFmtId="177" fontId="19" fillId="3" borderId="1" xfId="2" applyNumberFormat="1" applyFont="1" applyFill="1" applyBorder="1" applyAlignment="1">
      <alignment vertical="center" wrapText="1" shrinkToFit="1"/>
    </xf>
    <xf numFmtId="177" fontId="19" fillId="3" borderId="6" xfId="2" applyNumberFormat="1" applyFont="1" applyFill="1" applyBorder="1" applyAlignment="1">
      <alignment vertical="center" wrapText="1" shrinkToFit="1"/>
    </xf>
    <xf numFmtId="177" fontId="14" fillId="4" borderId="23" xfId="2" applyNumberFormat="1" applyFont="1" applyFill="1" applyBorder="1" applyAlignment="1">
      <alignment vertical="center" shrinkToFit="1"/>
    </xf>
    <xf numFmtId="0" fontId="22" fillId="0" borderId="16" xfId="1" applyFont="1" applyBorder="1" applyAlignment="1">
      <alignment vertical="center" shrinkToFit="1"/>
    </xf>
    <xf numFmtId="177" fontId="14" fillId="4" borderId="17" xfId="2" applyNumberFormat="1" applyFont="1" applyFill="1" applyBorder="1" applyAlignment="1">
      <alignment vertical="center" shrinkToFit="1"/>
    </xf>
    <xf numFmtId="177" fontId="14" fillId="0" borderId="1" xfId="2" applyNumberFormat="1" applyFont="1" applyBorder="1" applyAlignment="1">
      <alignment vertical="center" shrinkToFit="1"/>
    </xf>
    <xf numFmtId="177" fontId="14" fillId="0" borderId="6" xfId="2" applyNumberFormat="1" applyFont="1" applyBorder="1" applyAlignment="1">
      <alignment vertical="center" shrinkToFit="1"/>
    </xf>
    <xf numFmtId="14" fontId="53" fillId="0" borderId="10" xfId="0" applyNumberFormat="1" applyFont="1" applyBorder="1" applyAlignment="1">
      <alignment horizontal="center" vertical="center"/>
    </xf>
    <xf numFmtId="14" fontId="53" fillId="0" borderId="11" xfId="0" applyNumberFormat="1" applyFont="1" applyBorder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53" fillId="0" borderId="12" xfId="0" applyFont="1" applyBorder="1" applyAlignment="1">
      <alignment horizontal="center" vertical="center"/>
    </xf>
    <xf numFmtId="0" fontId="53" fillId="0" borderId="11" xfId="0" applyFont="1" applyBorder="1" applyAlignment="1">
      <alignment horizontal="center" vertical="center"/>
    </xf>
    <xf numFmtId="0" fontId="16" fillId="4" borderId="10" xfId="1" applyFont="1" applyFill="1" applyBorder="1" applyAlignment="1">
      <alignment horizontal="center" vertical="center" shrinkToFit="1"/>
    </xf>
    <xf numFmtId="0" fontId="16" fillId="4" borderId="12" xfId="1" applyFont="1" applyFill="1" applyBorder="1" applyAlignment="1">
      <alignment horizontal="center" vertical="center" shrinkToFit="1"/>
    </xf>
    <xf numFmtId="0" fontId="16" fillId="4" borderId="11" xfId="1" applyFont="1" applyFill="1" applyBorder="1" applyAlignment="1">
      <alignment horizontal="center" vertical="center" shrinkToFit="1"/>
    </xf>
    <xf numFmtId="0" fontId="14" fillId="4" borderId="10" xfId="1" applyFont="1" applyFill="1" applyBorder="1" applyAlignment="1">
      <alignment horizontal="center" vertical="center"/>
    </xf>
    <xf numFmtId="0" fontId="14" fillId="4" borderId="11" xfId="1" applyFont="1" applyFill="1" applyBorder="1" applyAlignment="1">
      <alignment horizontal="center" vertical="center"/>
    </xf>
    <xf numFmtId="0" fontId="14" fillId="4" borderId="10" xfId="1" applyFont="1" applyFill="1" applyBorder="1" applyAlignment="1">
      <alignment horizontal="left" vertical="center" shrinkToFit="1"/>
    </xf>
    <xf numFmtId="0" fontId="14" fillId="4" borderId="12" xfId="1" applyFont="1" applyFill="1" applyBorder="1" applyAlignment="1">
      <alignment horizontal="left" vertical="center" shrinkToFit="1"/>
    </xf>
    <xf numFmtId="0" fontId="14" fillId="4" borderId="11" xfId="1" applyFont="1" applyFill="1" applyBorder="1" applyAlignment="1">
      <alignment horizontal="left" vertical="center" shrinkToFit="1"/>
    </xf>
    <xf numFmtId="0" fontId="24" fillId="4" borderId="3" xfId="1" applyFont="1" applyFill="1" applyBorder="1" applyAlignment="1">
      <alignment vertical="center" shrinkToFit="1"/>
    </xf>
    <xf numFmtId="38" fontId="19" fillId="4" borderId="26" xfId="2" applyFont="1" applyFill="1" applyBorder="1" applyAlignment="1">
      <alignment vertical="center" shrinkToFit="1"/>
    </xf>
    <xf numFmtId="38" fontId="35" fillId="4" borderId="6" xfId="2" applyFont="1" applyFill="1" applyBorder="1" applyAlignment="1">
      <alignment vertical="center" wrapText="1" shrinkToFit="1"/>
    </xf>
    <xf numFmtId="0" fontId="19" fillId="4" borderId="1" xfId="1" applyFont="1" applyFill="1" applyBorder="1" applyAlignment="1">
      <alignment vertical="center" wrapText="1" shrinkToFit="1"/>
    </xf>
    <xf numFmtId="0" fontId="19" fillId="4" borderId="23" xfId="1" applyFont="1" applyFill="1" applyBorder="1" applyAlignment="1">
      <alignment vertical="center" wrapText="1" shrinkToFit="1"/>
    </xf>
    <xf numFmtId="0" fontId="19" fillId="4" borderId="6" xfId="1" applyFont="1" applyFill="1" applyBorder="1" applyAlignment="1">
      <alignment vertical="center" wrapText="1" shrinkToFit="1"/>
    </xf>
    <xf numFmtId="0" fontId="22" fillId="4" borderId="3" xfId="1" applyFont="1" applyFill="1" applyBorder="1" applyAlignment="1">
      <alignment vertical="center" wrapText="1" shrinkToFit="1"/>
    </xf>
    <xf numFmtId="38" fontId="27" fillId="4" borderId="6" xfId="2" applyFont="1" applyFill="1" applyBorder="1" applyAlignment="1">
      <alignment vertical="center" wrapText="1" shrinkToFit="1"/>
    </xf>
    <xf numFmtId="0" fontId="14" fillId="0" borderId="23" xfId="1" applyFont="1" applyBorder="1" applyAlignment="1">
      <alignment horizontal="left" vertical="center" shrinkToFit="1"/>
    </xf>
    <xf numFmtId="0" fontId="22" fillId="4" borderId="1" xfId="1" applyFont="1" applyFill="1" applyBorder="1" applyAlignment="1">
      <alignment vertical="center" wrapText="1" shrinkToFit="1"/>
    </xf>
    <xf numFmtId="0" fontId="22" fillId="4" borderId="23" xfId="1" applyFont="1" applyFill="1" applyBorder="1" applyAlignment="1">
      <alignment vertical="center" wrapText="1" shrinkToFit="1"/>
    </xf>
    <xf numFmtId="0" fontId="22" fillId="4" borderId="6" xfId="1" applyFont="1" applyFill="1" applyBorder="1" applyAlignment="1">
      <alignment vertical="center" wrapText="1" shrinkToFit="1"/>
    </xf>
    <xf numFmtId="38" fontId="14" fillId="3" borderId="26" xfId="2" applyFont="1" applyFill="1" applyBorder="1" applyAlignment="1">
      <alignment vertical="center" shrinkToFit="1"/>
    </xf>
    <xf numFmtId="0" fontId="17" fillId="4" borderId="1" xfId="1" applyFont="1" applyFill="1" applyBorder="1" applyAlignment="1">
      <alignment vertical="center" shrinkToFit="1"/>
    </xf>
    <xf numFmtId="0" fontId="17" fillId="4" borderId="6" xfId="1" applyFont="1" applyFill="1" applyBorder="1" applyAlignment="1">
      <alignment vertical="center" shrinkToFit="1"/>
    </xf>
    <xf numFmtId="0" fontId="14" fillId="0" borderId="6" xfId="7" applyNumberFormat="1" applyFont="1" applyFill="1" applyBorder="1" applyAlignment="1" applyProtection="1">
      <alignment horizontal="center" vertical="center" shrinkToFit="1"/>
    </xf>
    <xf numFmtId="0" fontId="14" fillId="5" borderId="23" xfId="0" applyFont="1" applyFill="1" applyBorder="1" applyAlignment="1">
      <alignment horizontal="center" vertical="center" shrinkToFit="1"/>
    </xf>
    <xf numFmtId="0" fontId="14" fillId="5" borderId="6" xfId="0" applyFont="1" applyFill="1" applyBorder="1" applyAlignment="1">
      <alignment horizontal="center" vertical="center" shrinkToFit="1"/>
    </xf>
    <xf numFmtId="0" fontId="14" fillId="5" borderId="5" xfId="0" applyFont="1" applyFill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0" fontId="20" fillId="0" borderId="24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25" xfId="0" applyFont="1" applyBorder="1" applyAlignment="1">
      <alignment horizontal="center" vertical="center" shrinkToFit="1"/>
    </xf>
    <xf numFmtId="0" fontId="20" fillId="0" borderId="7" xfId="0" applyFont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8" xfId="0" applyFont="1" applyBorder="1" applyAlignment="1">
      <alignment horizontal="center" vertical="center" shrinkToFit="1"/>
    </xf>
    <xf numFmtId="0" fontId="19" fillId="0" borderId="14" xfId="0" applyFont="1" applyBorder="1" applyAlignment="1">
      <alignment horizontal="center" vertical="center" shrinkToFit="1"/>
    </xf>
    <xf numFmtId="0" fontId="19" fillId="0" borderId="16" xfId="0" applyFont="1" applyBorder="1" applyAlignment="1">
      <alignment horizontal="center" vertical="center" shrinkToFit="1"/>
    </xf>
    <xf numFmtId="0" fontId="19" fillId="0" borderId="15" xfId="0" applyFont="1" applyBorder="1" applyAlignment="1">
      <alignment horizontal="center" vertical="center" shrinkToFit="1"/>
    </xf>
    <xf numFmtId="0" fontId="20" fillId="0" borderId="5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left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3" borderId="6" xfId="0" applyFont="1" applyFill="1" applyBorder="1" applyAlignment="1">
      <alignment horizontal="center" vertical="center" shrinkToFit="1"/>
    </xf>
    <xf numFmtId="0" fontId="14" fillId="3" borderId="10" xfId="0" applyFont="1" applyFill="1" applyBorder="1" applyAlignment="1">
      <alignment horizontal="left" vertical="center" shrinkToFit="1"/>
    </xf>
    <xf numFmtId="0" fontId="14" fillId="3" borderId="12" xfId="0" applyFont="1" applyFill="1" applyBorder="1" applyAlignment="1">
      <alignment horizontal="left" vertical="center" shrinkToFit="1"/>
    </xf>
    <xf numFmtId="0" fontId="14" fillId="3" borderId="11" xfId="0" applyFont="1" applyFill="1" applyBorder="1" applyAlignment="1">
      <alignment horizontal="left" vertical="center" shrinkToFit="1"/>
    </xf>
    <xf numFmtId="0" fontId="14" fillId="3" borderId="10" xfId="0" applyFont="1" applyFill="1" applyBorder="1" applyAlignment="1">
      <alignment horizontal="center" vertical="center" shrinkToFit="1"/>
    </xf>
    <xf numFmtId="0" fontId="14" fillId="3" borderId="11" xfId="0" applyFont="1" applyFill="1" applyBorder="1" applyAlignment="1">
      <alignment horizontal="center" vertical="center" shrinkToFit="1"/>
    </xf>
    <xf numFmtId="0" fontId="53" fillId="0" borderId="0" xfId="0" applyFont="1" applyAlignment="1">
      <alignment horizontal="center" vertical="center" textRotation="255"/>
    </xf>
    <xf numFmtId="0" fontId="53" fillId="0" borderId="0" xfId="0" applyFont="1" applyAlignment="1">
      <alignment horizontal="center" vertical="center"/>
    </xf>
    <xf numFmtId="14" fontId="53" fillId="0" borderId="0" xfId="0" applyNumberFormat="1" applyFont="1" applyAlignment="1">
      <alignment horizontal="center" vertical="center"/>
    </xf>
    <xf numFmtId="0" fontId="14" fillId="0" borderId="0" xfId="1" applyFont="1" applyAlignment="1">
      <alignment horizontal="center" vertical="center" shrinkToFit="1"/>
    </xf>
    <xf numFmtId="0" fontId="14" fillId="0" borderId="0" xfId="1" applyFont="1" applyAlignment="1">
      <alignment vertical="center" shrinkToFit="1"/>
    </xf>
    <xf numFmtId="0" fontId="14" fillId="0" borderId="14" xfId="0" applyFont="1" applyBorder="1" applyAlignment="1">
      <alignment horizontal="center" vertical="center" shrinkToFit="1"/>
    </xf>
    <xf numFmtId="0" fontId="14" fillId="0" borderId="15" xfId="0" applyFont="1" applyBorder="1" applyAlignment="1">
      <alignment horizontal="center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38" fontId="14" fillId="0" borderId="1" xfId="2" applyFont="1" applyFill="1" applyBorder="1" applyAlignment="1">
      <alignment vertical="center" shrinkToFit="1"/>
    </xf>
    <xf numFmtId="38" fontId="14" fillId="0" borderId="23" xfId="2" applyFont="1" applyFill="1" applyBorder="1" applyAlignment="1">
      <alignment vertical="center" shrinkToFit="1"/>
    </xf>
    <xf numFmtId="0" fontId="14" fillId="6" borderId="23" xfId="0" applyFont="1" applyFill="1" applyBorder="1" applyAlignment="1">
      <alignment horizontal="center" vertical="center" shrinkToFit="1"/>
    </xf>
    <xf numFmtId="0" fontId="14" fillId="6" borderId="6" xfId="0" applyFont="1" applyFill="1" applyBorder="1" applyAlignment="1">
      <alignment horizontal="center" vertical="center" shrinkToFit="1"/>
    </xf>
    <xf numFmtId="0" fontId="14" fillId="6" borderId="1" xfId="0" applyFont="1" applyFill="1" applyBorder="1" applyAlignment="1">
      <alignment horizontal="center" vertical="center" shrinkToFit="1"/>
    </xf>
    <xf numFmtId="0" fontId="14" fillId="3" borderId="5" xfId="0" applyFont="1" applyFill="1" applyBorder="1" applyAlignment="1">
      <alignment vertical="center" shrinkToFit="1"/>
    </xf>
    <xf numFmtId="0" fontId="14" fillId="0" borderId="10" xfId="0" applyFont="1" applyBorder="1" applyAlignment="1">
      <alignment horizontal="center" vertical="center" shrinkToFit="1"/>
    </xf>
    <xf numFmtId="0" fontId="14" fillId="0" borderId="11" xfId="0" applyFont="1" applyBorder="1" applyAlignment="1">
      <alignment horizontal="center" vertical="center" shrinkToFit="1"/>
    </xf>
    <xf numFmtId="0" fontId="19" fillId="0" borderId="10" xfId="0" applyFont="1" applyBorder="1" applyAlignment="1">
      <alignment horizontal="center" vertical="center" shrinkToFit="1"/>
    </xf>
    <xf numFmtId="0" fontId="19" fillId="0" borderId="12" xfId="0" applyFont="1" applyBorder="1" applyAlignment="1">
      <alignment horizontal="center" vertical="center" shrinkToFit="1"/>
    </xf>
    <xf numFmtId="0" fontId="19" fillId="0" borderId="11" xfId="0" applyFont="1" applyBorder="1" applyAlignment="1">
      <alignment horizontal="center" vertical="center" shrinkToFit="1"/>
    </xf>
    <xf numFmtId="0" fontId="14" fillId="5" borderId="1" xfId="0" applyFont="1" applyFill="1" applyBorder="1" applyAlignment="1">
      <alignment horizontal="center" vertical="center" shrinkToFit="1"/>
    </xf>
    <xf numFmtId="0" fontId="22" fillId="0" borderId="1" xfId="1" applyFont="1" applyBorder="1" applyAlignment="1">
      <alignment vertical="center" shrinkToFit="1"/>
    </xf>
    <xf numFmtId="0" fontId="22" fillId="0" borderId="6" xfId="1" applyFont="1" applyBorder="1" applyAlignment="1">
      <alignment vertical="center" shrinkToFit="1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176" fontId="14" fillId="0" borderId="5" xfId="0" applyNumberFormat="1" applyFont="1" applyBorder="1" applyAlignment="1">
      <alignment horizontal="center" vertical="center" shrinkToFit="1"/>
    </xf>
    <xf numFmtId="0" fontId="14" fillId="6" borderId="26" xfId="0" applyFont="1" applyFill="1" applyBorder="1" applyAlignment="1">
      <alignment horizontal="center" vertical="center" shrinkToFit="1"/>
    </xf>
    <xf numFmtId="0" fontId="14" fillId="3" borderId="10" xfId="0" applyFont="1" applyFill="1" applyBorder="1" applyAlignment="1">
      <alignment vertical="center" shrinkToFit="1"/>
    </xf>
    <xf numFmtId="0" fontId="0" fillId="0" borderId="12" xfId="0" applyBorder="1" applyAlignment="1">
      <alignment vertical="center" shrinkToFit="1"/>
    </xf>
    <xf numFmtId="38" fontId="14" fillId="3" borderId="26" xfId="2" applyFont="1" applyFill="1" applyBorder="1" applyAlignment="1">
      <alignment vertical="center" wrapText="1" shrinkToFit="1"/>
    </xf>
    <xf numFmtId="0" fontId="14" fillId="3" borderId="13" xfId="0" applyFont="1" applyFill="1" applyBorder="1" applyAlignment="1">
      <alignment horizontal="center" vertical="center" shrinkToFit="1"/>
    </xf>
    <xf numFmtId="0" fontId="14" fillId="3" borderId="14" xfId="0" applyFont="1" applyFill="1" applyBorder="1" applyAlignment="1">
      <alignment vertical="center" shrinkToFit="1"/>
    </xf>
    <xf numFmtId="0" fontId="14" fillId="3" borderId="16" xfId="0" applyFont="1" applyFill="1" applyBorder="1" applyAlignment="1">
      <alignment vertical="center" shrinkToFit="1"/>
    </xf>
    <xf numFmtId="0" fontId="14" fillId="3" borderId="15" xfId="0" applyFont="1" applyFill="1" applyBorder="1" applyAlignment="1">
      <alignment vertical="center" shrinkToFit="1"/>
    </xf>
    <xf numFmtId="38" fontId="14" fillId="3" borderId="23" xfId="2" applyFont="1" applyFill="1" applyBorder="1" applyAlignment="1">
      <alignment horizontal="center" vertical="center" shrinkToFit="1"/>
    </xf>
    <xf numFmtId="0" fontId="17" fillId="0" borderId="1" xfId="1" applyFont="1" applyBorder="1" applyAlignment="1">
      <alignment horizontal="center" vertical="center" shrinkToFit="1"/>
    </xf>
    <xf numFmtId="0" fontId="17" fillId="0" borderId="23" xfId="1" applyFont="1" applyBorder="1" applyAlignment="1">
      <alignment horizontal="center" vertical="center" shrinkToFit="1"/>
    </xf>
    <xf numFmtId="0" fontId="17" fillId="0" borderId="6" xfId="1" applyFont="1" applyBorder="1" applyAlignment="1">
      <alignment horizontal="center" vertical="center" shrinkToFit="1"/>
    </xf>
    <xf numFmtId="0" fontId="14" fillId="6" borderId="5" xfId="0" applyFont="1" applyFill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3" xfId="0" applyFont="1" applyBorder="1" applyAlignment="1">
      <alignment horizontal="center" vertical="center" shrinkToFit="1"/>
    </xf>
    <xf numFmtId="0" fontId="14" fillId="0" borderId="5" xfId="0" applyFont="1" applyBorder="1" applyAlignment="1">
      <alignment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19" fillId="0" borderId="3" xfId="0" applyFont="1" applyBorder="1" applyAlignment="1">
      <alignment horizontal="center" vertical="center" shrinkToFit="1"/>
    </xf>
    <xf numFmtId="0" fontId="14" fillId="3" borderId="12" xfId="0" applyFont="1" applyFill="1" applyBorder="1" applyAlignment="1">
      <alignment vertical="center" shrinkToFit="1"/>
    </xf>
    <xf numFmtId="0" fontId="14" fillId="3" borderId="11" xfId="0" applyFont="1" applyFill="1" applyBorder="1" applyAlignment="1">
      <alignment vertical="center" shrinkToFit="1"/>
    </xf>
    <xf numFmtId="0" fontId="16" fillId="0" borderId="2" xfId="0" applyFont="1" applyBorder="1" applyAlignment="1">
      <alignment horizontal="center" vertical="center" shrinkToFit="1"/>
    </xf>
    <xf numFmtId="0" fontId="16" fillId="0" borderId="4" xfId="0" applyFont="1" applyBorder="1" applyAlignment="1">
      <alignment horizontal="center" vertical="center" shrinkToFit="1"/>
    </xf>
    <xf numFmtId="0" fontId="16" fillId="0" borderId="3" xfId="0" applyFont="1" applyBorder="1" applyAlignment="1">
      <alignment horizontal="center" vertical="center" shrinkToFit="1"/>
    </xf>
    <xf numFmtId="0" fontId="16" fillId="0" borderId="7" xfId="0" applyFont="1" applyBorder="1" applyAlignment="1">
      <alignment horizontal="center" vertical="center" shrinkToFit="1"/>
    </xf>
    <xf numFmtId="0" fontId="16" fillId="0" borderId="9" xfId="0" applyFont="1" applyBorder="1" applyAlignment="1">
      <alignment horizontal="center" vertical="center" shrinkToFit="1"/>
    </xf>
    <xf numFmtId="0" fontId="16" fillId="0" borderId="8" xfId="0" applyFont="1" applyBorder="1" applyAlignment="1">
      <alignment horizontal="center" vertical="center" shrinkToFit="1"/>
    </xf>
    <xf numFmtId="0" fontId="22" fillId="0" borderId="26" xfId="1" applyFont="1" applyBorder="1" applyAlignment="1">
      <alignment vertical="center" shrinkToFit="1"/>
    </xf>
    <xf numFmtId="0" fontId="20" fillId="0" borderId="13" xfId="0" applyFont="1" applyBorder="1" applyAlignment="1">
      <alignment horizontal="center" vertical="center" shrinkToFit="1"/>
    </xf>
    <xf numFmtId="0" fontId="14" fillId="0" borderId="10" xfId="0" applyFont="1" applyBorder="1" applyAlignment="1">
      <alignment vertical="center" shrinkToFit="1"/>
    </xf>
    <xf numFmtId="0" fontId="14" fillId="0" borderId="12" xfId="0" applyFont="1" applyBorder="1" applyAlignment="1">
      <alignment vertical="center" shrinkToFit="1"/>
    </xf>
    <xf numFmtId="0" fontId="14" fillId="0" borderId="11" xfId="0" applyFont="1" applyBorder="1" applyAlignment="1">
      <alignment vertical="center" shrinkToFit="1"/>
    </xf>
    <xf numFmtId="0" fontId="14" fillId="3" borderId="6" xfId="0" applyFont="1" applyFill="1" applyBorder="1" applyAlignment="1">
      <alignment vertical="center" shrinkToFit="1"/>
    </xf>
    <xf numFmtId="0" fontId="22" fillId="3" borderId="32" xfId="1" applyFont="1" applyFill="1" applyBorder="1" applyAlignment="1">
      <alignment horizontal="center" vertical="center" shrinkToFit="1"/>
    </xf>
    <xf numFmtId="0" fontId="22" fillId="3" borderId="31" xfId="1" applyFont="1" applyFill="1" applyBorder="1" applyAlignment="1">
      <alignment horizontal="center" vertical="center" shrinkToFit="1"/>
    </xf>
    <xf numFmtId="0" fontId="22" fillId="3" borderId="23" xfId="1" applyFont="1" applyFill="1" applyBorder="1" applyAlignment="1">
      <alignment vertical="center" shrinkToFit="1"/>
    </xf>
    <xf numFmtId="0" fontId="22" fillId="4" borderId="23" xfId="1" applyFont="1" applyFill="1" applyBorder="1" applyAlignment="1">
      <alignment vertical="center" shrinkToFit="1"/>
    </xf>
    <xf numFmtId="0" fontId="22" fillId="3" borderId="34" xfId="1" applyFont="1" applyFill="1" applyBorder="1" applyAlignment="1">
      <alignment horizontal="center" vertical="center" shrinkToFit="1"/>
    </xf>
    <xf numFmtId="0" fontId="17" fillId="4" borderId="6" xfId="1" applyFont="1" applyFill="1" applyBorder="1" applyAlignment="1">
      <alignment vertical="center" wrapText="1" shrinkToFit="1"/>
    </xf>
    <xf numFmtId="0" fontId="14" fillId="3" borderId="1" xfId="1" applyFont="1" applyFill="1" applyBorder="1" applyAlignment="1">
      <alignment horizontal="left" vertical="center" shrinkToFit="1"/>
    </xf>
    <xf numFmtId="0" fontId="22" fillId="3" borderId="17" xfId="1" applyFont="1" applyFill="1" applyBorder="1" applyAlignment="1">
      <alignment vertical="center" wrapText="1" shrinkToFit="1"/>
    </xf>
    <xf numFmtId="0" fontId="22" fillId="3" borderId="23" xfId="1" applyFont="1" applyFill="1" applyBorder="1" applyAlignment="1">
      <alignment vertical="center" wrapText="1" shrinkToFit="1"/>
    </xf>
    <xf numFmtId="0" fontId="22" fillId="3" borderId="6" xfId="1" applyFont="1" applyFill="1" applyBorder="1" applyAlignment="1">
      <alignment vertical="center" wrapText="1" shrinkToFit="1"/>
    </xf>
    <xf numFmtId="0" fontId="17" fillId="4" borderId="17" xfId="1" applyFont="1" applyFill="1" applyBorder="1" applyAlignment="1">
      <alignment vertical="center" shrinkToFit="1"/>
    </xf>
    <xf numFmtId="0" fontId="17" fillId="4" borderId="23" xfId="1" applyFont="1" applyFill="1" applyBorder="1" applyAlignment="1">
      <alignment vertical="center" shrinkToFit="1"/>
    </xf>
    <xf numFmtId="0" fontId="22" fillId="3" borderId="38" xfId="1" applyFont="1" applyFill="1" applyBorder="1" applyAlignment="1">
      <alignment horizontal="center" vertical="center" shrinkToFit="1"/>
    </xf>
    <xf numFmtId="0" fontId="14" fillId="6" borderId="13" xfId="1" applyFont="1" applyFill="1" applyBorder="1" applyAlignment="1">
      <alignment horizontal="center" vertical="center" shrinkToFit="1"/>
    </xf>
    <xf numFmtId="0" fontId="22" fillId="3" borderId="26" xfId="1" applyFont="1" applyFill="1" applyBorder="1" applyAlignment="1">
      <alignment vertical="center" shrinkToFit="1"/>
    </xf>
    <xf numFmtId="0" fontId="22" fillId="3" borderId="33" xfId="1" applyFont="1" applyFill="1" applyBorder="1" applyAlignment="1">
      <alignment horizontal="center" vertical="center" shrinkToFit="1"/>
    </xf>
    <xf numFmtId="0" fontId="24" fillId="3" borderId="1" xfId="1" applyFont="1" applyFill="1" applyBorder="1" applyAlignment="1">
      <alignment vertical="center" wrapText="1" shrinkToFit="1"/>
    </xf>
    <xf numFmtId="0" fontId="24" fillId="3" borderId="23" xfId="1" applyFont="1" applyFill="1" applyBorder="1" applyAlignment="1">
      <alignment vertical="center" wrapText="1" shrinkToFit="1"/>
    </xf>
    <xf numFmtId="0" fontId="24" fillId="3" borderId="6" xfId="1" applyFont="1" applyFill="1" applyBorder="1" applyAlignment="1">
      <alignment vertical="center" wrapText="1" shrinkToFit="1"/>
    </xf>
    <xf numFmtId="0" fontId="17" fillId="3" borderId="34" xfId="1" applyFont="1" applyFill="1" applyBorder="1" applyAlignment="1">
      <alignment horizontal="center" vertical="center" shrinkToFit="1"/>
    </xf>
    <xf numFmtId="0" fontId="14" fillId="3" borderId="1" xfId="1" applyFont="1" applyFill="1" applyBorder="1" applyAlignment="1">
      <alignment horizontal="center" vertical="center" shrinkToFit="1"/>
    </xf>
    <xf numFmtId="0" fontId="14" fillId="5" borderId="1" xfId="1" applyFont="1" applyFill="1" applyBorder="1" applyAlignment="1">
      <alignment horizontal="center" vertical="center" shrinkToFit="1"/>
    </xf>
    <xf numFmtId="0" fontId="14" fillId="5" borderId="23" xfId="1" applyFont="1" applyFill="1" applyBorder="1" applyAlignment="1">
      <alignment horizontal="center" vertical="center" shrinkToFit="1"/>
    </xf>
    <xf numFmtId="0" fontId="14" fillId="5" borderId="6" xfId="1" applyFont="1" applyFill="1" applyBorder="1" applyAlignment="1">
      <alignment horizontal="center" vertical="center" shrinkToFit="1"/>
    </xf>
    <xf numFmtId="0" fontId="54" fillId="4" borderId="1" xfId="1" applyFont="1" applyFill="1" applyBorder="1" applyAlignment="1">
      <alignment horizontal="center" vertical="center" wrapText="1" shrinkToFit="1"/>
    </xf>
    <xf numFmtId="0" fontId="54" fillId="4" borderId="6" xfId="1" applyFont="1" applyFill="1" applyBorder="1" applyAlignment="1">
      <alignment horizontal="center" vertical="center" wrapText="1" shrinkToFit="1"/>
    </xf>
    <xf numFmtId="0" fontId="22" fillId="3" borderId="32" xfId="1" applyFont="1" applyFill="1" applyBorder="1" applyAlignment="1">
      <alignment horizontal="center" vertical="center" wrapText="1" shrinkToFit="1"/>
    </xf>
    <xf numFmtId="0" fontId="22" fillId="3" borderId="31" xfId="1" applyFont="1" applyFill="1" applyBorder="1" applyAlignment="1">
      <alignment horizontal="center" vertical="center" wrapText="1" shrinkToFit="1"/>
    </xf>
    <xf numFmtId="0" fontId="27" fillId="4" borderId="1" xfId="1" applyFont="1" applyFill="1" applyBorder="1" applyAlignment="1">
      <alignment horizontal="center" vertical="center" wrapText="1" shrinkToFit="1"/>
    </xf>
    <xf numFmtId="0" fontId="27" fillId="4" borderId="6" xfId="1" applyFont="1" applyFill="1" applyBorder="1" applyAlignment="1">
      <alignment horizontal="center" vertical="center" wrapText="1" shrinkToFit="1"/>
    </xf>
    <xf numFmtId="0" fontId="22" fillId="0" borderId="32" xfId="1" applyFont="1" applyBorder="1" applyAlignment="1">
      <alignment horizontal="center" vertical="center" shrinkToFit="1"/>
    </xf>
    <xf numFmtId="0" fontId="22" fillId="0" borderId="31" xfId="1" applyFont="1" applyBorder="1" applyAlignment="1">
      <alignment horizontal="center" vertical="center" shrinkToFit="1"/>
    </xf>
    <xf numFmtId="0" fontId="19" fillId="3" borderId="1" xfId="1" applyFont="1" applyFill="1" applyBorder="1" applyAlignment="1">
      <alignment vertical="center" wrapText="1" shrinkToFit="1"/>
    </xf>
    <xf numFmtId="0" fontId="19" fillId="3" borderId="23" xfId="1" applyFont="1" applyFill="1" applyBorder="1" applyAlignment="1">
      <alignment vertical="center" wrapText="1" shrinkToFit="1"/>
    </xf>
    <xf numFmtId="0" fontId="19" fillId="3" borderId="6" xfId="1" applyFont="1" applyFill="1" applyBorder="1" applyAlignment="1">
      <alignment vertical="center" wrapText="1" shrinkToFit="1"/>
    </xf>
    <xf numFmtId="0" fontId="14" fillId="4" borderId="1" xfId="1" applyFont="1" applyFill="1" applyBorder="1" applyAlignment="1">
      <alignment vertical="center" shrinkToFit="1"/>
    </xf>
    <xf numFmtId="0" fontId="14" fillId="4" borderId="23" xfId="1" applyFont="1" applyFill="1" applyBorder="1" applyAlignment="1">
      <alignment vertical="center" shrinkToFit="1"/>
    </xf>
    <xf numFmtId="0" fontId="14" fillId="4" borderId="6" xfId="1" applyFont="1" applyFill="1" applyBorder="1" applyAlignment="1">
      <alignment vertical="center" shrinkToFit="1"/>
    </xf>
    <xf numFmtId="0" fontId="14" fillId="3" borderId="32" xfId="1" applyFont="1" applyFill="1" applyBorder="1" applyAlignment="1">
      <alignment horizontal="center" vertical="center" shrinkToFit="1"/>
    </xf>
    <xf numFmtId="0" fontId="14" fillId="3" borderId="34" xfId="1" applyFont="1" applyFill="1" applyBorder="1" applyAlignment="1">
      <alignment horizontal="center" vertical="center" shrinkToFit="1"/>
    </xf>
    <xf numFmtId="0" fontId="14" fillId="3" borderId="31" xfId="1" applyFont="1" applyFill="1" applyBorder="1" applyAlignment="1">
      <alignment horizontal="center" vertical="center" shrinkToFit="1"/>
    </xf>
    <xf numFmtId="0" fontId="16" fillId="0" borderId="18" xfId="1" applyFont="1" applyBorder="1" applyAlignment="1">
      <alignment horizontal="center" vertical="center" wrapText="1" shrinkToFit="1"/>
    </xf>
    <xf numFmtId="0" fontId="24" fillId="0" borderId="10" xfId="1" applyFont="1" applyBorder="1" applyAlignment="1">
      <alignment horizontal="center" vertical="center"/>
    </xf>
    <xf numFmtId="0" fontId="24" fillId="0" borderId="11" xfId="1" applyFont="1" applyBorder="1" applyAlignment="1">
      <alignment horizontal="center" vertical="center"/>
    </xf>
    <xf numFmtId="0" fontId="16" fillId="0" borderId="23" xfId="1" applyFont="1" applyBorder="1" applyAlignment="1">
      <alignment horizontal="left" vertical="center" wrapText="1" shrinkToFit="1"/>
    </xf>
    <xf numFmtId="0" fontId="16" fillId="0" borderId="6" xfId="1" applyFont="1" applyBorder="1" applyAlignment="1">
      <alignment horizontal="left" vertical="center" wrapText="1" shrinkToFit="1"/>
    </xf>
    <xf numFmtId="0" fontId="14" fillId="5" borderId="5" xfId="1" applyFont="1" applyFill="1" applyBorder="1" applyAlignment="1">
      <alignment horizontal="center" vertical="center" shrinkToFit="1"/>
    </xf>
    <xf numFmtId="0" fontId="14" fillId="5" borderId="13" xfId="1" applyFont="1" applyFill="1" applyBorder="1" applyAlignment="1">
      <alignment horizontal="center" vertical="center" shrinkToFit="1"/>
    </xf>
    <xf numFmtId="0" fontId="22" fillId="4" borderId="1" xfId="1" applyFont="1" applyFill="1" applyBorder="1" applyAlignment="1">
      <alignment horizontal="left" vertical="center" wrapText="1" shrinkToFit="1"/>
    </xf>
    <xf numFmtId="0" fontId="22" fillId="4" borderId="26" xfId="1" applyFont="1" applyFill="1" applyBorder="1" applyAlignment="1">
      <alignment horizontal="left" vertical="center" wrapText="1" shrinkToFit="1"/>
    </xf>
    <xf numFmtId="0" fontId="14" fillId="2" borderId="13" xfId="1" applyFont="1" applyFill="1" applyBorder="1" applyAlignment="1">
      <alignment horizontal="center" vertical="center" shrinkToFit="1"/>
    </xf>
    <xf numFmtId="0" fontId="35" fillId="3" borderId="1" xfId="1" applyFont="1" applyFill="1" applyBorder="1" applyAlignment="1">
      <alignment vertical="center" wrapText="1" shrinkToFit="1"/>
    </xf>
    <xf numFmtId="0" fontId="35" fillId="3" borderId="6" xfId="1" applyFont="1" applyFill="1" applyBorder="1" applyAlignment="1">
      <alignment vertical="center" wrapText="1" shrinkToFit="1"/>
    </xf>
    <xf numFmtId="0" fontId="16" fillId="0" borderId="17" xfId="1" applyFont="1" applyBorder="1" applyAlignment="1">
      <alignment horizontal="left" vertical="center" shrinkToFit="1"/>
    </xf>
    <xf numFmtId="0" fontId="14" fillId="3" borderId="1" xfId="1" applyFont="1" applyFill="1" applyBorder="1" applyAlignment="1">
      <alignment vertical="center" wrapText="1" shrinkToFit="1"/>
    </xf>
    <xf numFmtId="0" fontId="14" fillId="3" borderId="23" xfId="1" applyFont="1" applyFill="1" applyBorder="1" applyAlignment="1">
      <alignment vertical="center" wrapText="1" shrinkToFit="1"/>
    </xf>
    <xf numFmtId="0" fontId="14" fillId="3" borderId="6" xfId="1" applyFont="1" applyFill="1" applyBorder="1" applyAlignment="1">
      <alignment vertical="center" wrapText="1" shrinkToFit="1"/>
    </xf>
    <xf numFmtId="0" fontId="14" fillId="3" borderId="1" xfId="1" applyFont="1" applyFill="1" applyBorder="1" applyAlignment="1">
      <alignment vertical="center" shrinkToFit="1"/>
    </xf>
    <xf numFmtId="0" fontId="14" fillId="3" borderId="23" xfId="1" applyFont="1" applyFill="1" applyBorder="1" applyAlignment="1">
      <alignment vertical="center" shrinkToFit="1"/>
    </xf>
    <xf numFmtId="0" fontId="14" fillId="3" borderId="6" xfId="1" applyFont="1" applyFill="1" applyBorder="1" applyAlignment="1">
      <alignment vertical="center" shrinkToFit="1"/>
    </xf>
    <xf numFmtId="0" fontId="35" fillId="4" borderId="1" xfId="1" applyFont="1" applyFill="1" applyBorder="1" applyAlignment="1">
      <alignment horizontal="left" vertical="center" wrapText="1" shrinkToFit="1"/>
    </xf>
    <xf numFmtId="0" fontId="35" fillId="4" borderId="26" xfId="1" applyFont="1" applyFill="1" applyBorder="1" applyAlignment="1">
      <alignment horizontal="left" vertical="center" wrapText="1" shrinkToFit="1"/>
    </xf>
    <xf numFmtId="0" fontId="16" fillId="3" borderId="38" xfId="1" applyFont="1" applyFill="1" applyBorder="1" applyAlignment="1">
      <alignment horizontal="center" vertical="center" shrinkToFit="1"/>
    </xf>
    <xf numFmtId="0" fontId="41" fillId="0" borderId="1" xfId="1" applyFont="1" applyBorder="1" applyAlignment="1">
      <alignment horizontal="left" vertical="center" shrinkToFit="1"/>
    </xf>
    <xf numFmtId="0" fontId="41" fillId="0" borderId="6" xfId="1" applyFont="1" applyBorder="1" applyAlignment="1">
      <alignment horizontal="left" vertical="center" shrinkToFit="1"/>
    </xf>
    <xf numFmtId="0" fontId="27" fillId="4" borderId="1" xfId="1" applyFont="1" applyFill="1" applyBorder="1" applyAlignment="1">
      <alignment horizontal="left" vertical="center" wrapText="1" shrinkToFit="1"/>
    </xf>
    <xf numFmtId="0" fontId="27" fillId="4" borderId="26" xfId="1" applyFont="1" applyFill="1" applyBorder="1" applyAlignment="1">
      <alignment horizontal="left" vertical="center" wrapText="1" shrinkToFit="1"/>
    </xf>
    <xf numFmtId="0" fontId="22" fillId="3" borderId="1" xfId="1" applyFont="1" applyFill="1" applyBorder="1" applyAlignment="1">
      <alignment vertical="center" wrapText="1" shrinkToFit="1"/>
    </xf>
    <xf numFmtId="0" fontId="16" fillId="0" borderId="3" xfId="1" applyFont="1" applyBorder="1" applyAlignment="1">
      <alignment horizontal="center" vertical="center" wrapText="1" shrinkToFit="1"/>
    </xf>
    <xf numFmtId="0" fontId="16" fillId="0" borderId="35" xfId="1" applyFont="1" applyBorder="1" applyAlignment="1">
      <alignment horizontal="center" vertical="center" wrapText="1" shrinkToFit="1"/>
    </xf>
    <xf numFmtId="0" fontId="16" fillId="0" borderId="37" xfId="1" applyFont="1" applyBorder="1" applyAlignment="1">
      <alignment horizontal="center" vertical="center" wrapText="1" shrinkToFit="1"/>
    </xf>
    <xf numFmtId="0" fontId="14" fillId="0" borderId="5" xfId="1" applyFont="1" applyBorder="1" applyAlignment="1">
      <alignment vertical="center" shrinkToFit="1"/>
    </xf>
    <xf numFmtId="0" fontId="22" fillId="0" borderId="5" xfId="1" applyFont="1" applyBorder="1" applyAlignment="1">
      <alignment vertical="center" shrinkToFit="1"/>
    </xf>
    <xf numFmtId="0" fontId="14" fillId="0" borderId="24" xfId="1" applyFont="1" applyBorder="1" applyAlignment="1">
      <alignment horizontal="center" vertical="center" shrinkToFit="1"/>
    </xf>
    <xf numFmtId="0" fontId="14" fillId="0" borderId="25" xfId="1" applyFont="1" applyBorder="1" applyAlignment="1">
      <alignment horizontal="center" vertical="center" shrinkToFit="1"/>
    </xf>
    <xf numFmtId="0" fontId="14" fillId="0" borderId="2" xfId="1" applyFont="1" applyBorder="1" applyAlignment="1">
      <alignment vertical="center" shrinkToFit="1"/>
    </xf>
    <xf numFmtId="0" fontId="22" fillId="0" borderId="4" xfId="1" applyFont="1" applyBorder="1" applyAlignment="1">
      <alignment vertical="center" shrinkToFit="1"/>
    </xf>
    <xf numFmtId="0" fontId="22" fillId="0" borderId="3" xfId="1" applyFont="1" applyBorder="1" applyAlignment="1">
      <alignment vertical="center" shrinkToFit="1"/>
    </xf>
    <xf numFmtId="0" fontId="14" fillId="3" borderId="8" xfId="1" applyFont="1" applyFill="1" applyBorder="1" applyAlignment="1">
      <alignment vertical="center" shrinkToFit="1"/>
    </xf>
    <xf numFmtId="0" fontId="14" fillId="2" borderId="7" xfId="1" applyFont="1" applyFill="1" applyBorder="1" applyAlignment="1">
      <alignment horizontal="center" vertical="center" shrinkToFit="1"/>
    </xf>
    <xf numFmtId="0" fontId="14" fillId="2" borderId="8" xfId="1" applyFont="1" applyFill="1" applyBorder="1" applyAlignment="1">
      <alignment horizontal="center" vertical="center" shrinkToFit="1"/>
    </xf>
    <xf numFmtId="0" fontId="14" fillId="2" borderId="7" xfId="1" applyFont="1" applyFill="1" applyBorder="1" applyAlignment="1">
      <alignment vertical="center" shrinkToFit="1"/>
    </xf>
    <xf numFmtId="0" fontId="14" fillId="2" borderId="9" xfId="1" applyFont="1" applyFill="1" applyBorder="1" applyAlignment="1">
      <alignment vertical="center" shrinkToFit="1"/>
    </xf>
    <xf numFmtId="0" fontId="14" fillId="2" borderId="8" xfId="1" applyFont="1" applyFill="1" applyBorder="1" applyAlignment="1">
      <alignment vertical="center" shrinkToFit="1"/>
    </xf>
    <xf numFmtId="0" fontId="22" fillId="3" borderId="23" xfId="1" applyFont="1" applyFill="1" applyBorder="1" applyAlignment="1">
      <alignment horizontal="left" vertical="center" wrapText="1" shrinkToFit="1"/>
    </xf>
    <xf numFmtId="0" fontId="14" fillId="4" borderId="2" xfId="1" applyFont="1" applyFill="1" applyBorder="1" applyAlignment="1">
      <alignment horizontal="center" vertical="center" shrinkToFit="1"/>
    </xf>
    <xf numFmtId="0" fontId="14" fillId="4" borderId="3" xfId="1" applyFont="1" applyFill="1" applyBorder="1" applyAlignment="1">
      <alignment horizontal="center" vertical="center" shrinkToFit="1"/>
    </xf>
    <xf numFmtId="0" fontId="24" fillId="0" borderId="11" xfId="0" applyFont="1" applyBorder="1" applyAlignment="1">
      <alignment horizontal="center" vertical="center" shrinkToFit="1"/>
    </xf>
    <xf numFmtId="0" fontId="14" fillId="4" borderId="14" xfId="1" applyFont="1" applyFill="1" applyBorder="1" applyAlignment="1">
      <alignment horizontal="center" vertical="center" shrinkToFit="1"/>
    </xf>
    <xf numFmtId="0" fontId="14" fillId="4" borderId="15" xfId="1" applyFont="1" applyFill="1" applyBorder="1" applyAlignment="1">
      <alignment horizontal="center" vertical="center" shrinkToFit="1"/>
    </xf>
    <xf numFmtId="0" fontId="22" fillId="0" borderId="15" xfId="1" applyFont="1" applyBorder="1" applyAlignment="1">
      <alignment vertical="center" shrinkToFit="1"/>
    </xf>
    <xf numFmtId="0" fontId="16" fillId="0" borderId="14" xfId="1" applyFont="1" applyBorder="1" applyAlignment="1">
      <alignment horizontal="center" vertical="center" wrapText="1" shrinkToFit="1"/>
    </xf>
    <xf numFmtId="0" fontId="22" fillId="3" borderId="32" xfId="1" applyFont="1" applyFill="1" applyBorder="1" applyAlignment="1">
      <alignment vertical="center" shrinkToFit="1"/>
    </xf>
    <xf numFmtId="0" fontId="24" fillId="0" borderId="31" xfId="0" applyFont="1" applyBorder="1" applyAlignment="1">
      <alignment vertical="center" shrinkToFit="1"/>
    </xf>
    <xf numFmtId="0" fontId="24" fillId="0" borderId="33" xfId="0" applyFont="1" applyBorder="1" applyAlignment="1">
      <alignment vertical="center" shrinkToFit="1"/>
    </xf>
    <xf numFmtId="0" fontId="22" fillId="3" borderId="34" xfId="1" applyFont="1" applyFill="1" applyBorder="1">
      <alignment vertical="center"/>
    </xf>
    <xf numFmtId="0" fontId="24" fillId="0" borderId="31" xfId="0" applyFont="1" applyBorder="1" applyAlignment="1">
      <alignment vertical="center"/>
    </xf>
    <xf numFmtId="0" fontId="24" fillId="0" borderId="6" xfId="0" applyFont="1" applyBorder="1" applyAlignment="1">
      <alignment vertical="center" shrinkToFit="1"/>
    </xf>
    <xf numFmtId="0" fontId="24" fillId="0" borderId="26" xfId="0" applyFont="1" applyBorder="1" applyAlignment="1">
      <alignment vertical="center" shrinkToFit="1"/>
    </xf>
    <xf numFmtId="0" fontId="22" fillId="3" borderId="17" xfId="1" applyFont="1" applyFill="1" applyBorder="1">
      <alignment vertical="center"/>
    </xf>
    <xf numFmtId="0" fontId="24" fillId="0" borderId="6" xfId="0" applyFont="1" applyBorder="1" applyAlignment="1">
      <alignment vertical="center"/>
    </xf>
    <xf numFmtId="0" fontId="22" fillId="3" borderId="1" xfId="1" applyFont="1" applyFill="1" applyBorder="1" applyAlignment="1">
      <alignment horizontal="center" vertical="center" shrinkToFit="1"/>
    </xf>
    <xf numFmtId="0" fontId="24" fillId="0" borderId="6" xfId="0" applyFont="1" applyBorder="1" applyAlignment="1">
      <alignment horizontal="center" vertical="center" shrinkToFit="1"/>
    </xf>
    <xf numFmtId="0" fontId="22" fillId="3" borderId="1" xfId="1" applyFont="1" applyFill="1" applyBorder="1">
      <alignment vertical="center"/>
    </xf>
    <xf numFmtId="0" fontId="22" fillId="3" borderId="6" xfId="1" applyFont="1" applyFill="1" applyBorder="1">
      <alignment vertical="center"/>
    </xf>
    <xf numFmtId="0" fontId="22" fillId="3" borderId="17" xfId="1" applyFont="1" applyFill="1" applyBorder="1" applyAlignment="1">
      <alignment vertical="center" shrinkToFit="1"/>
    </xf>
    <xf numFmtId="0" fontId="22" fillId="4" borderId="17" xfId="1" applyFont="1" applyFill="1" applyBorder="1" applyAlignment="1">
      <alignment vertical="center" shrinkToFit="1"/>
    </xf>
    <xf numFmtId="0" fontId="22" fillId="4" borderId="26" xfId="1" applyFont="1" applyFill="1" applyBorder="1" applyAlignment="1">
      <alignment vertical="center" shrinkToFit="1"/>
    </xf>
    <xf numFmtId="0" fontId="24" fillId="0" borderId="26" xfId="0" applyFont="1" applyBorder="1" applyAlignment="1">
      <alignment horizontal="center" vertical="center" shrinkToFit="1"/>
    </xf>
    <xf numFmtId="0" fontId="22" fillId="3" borderId="17" xfId="1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14" fillId="2" borderId="18" xfId="1" applyFont="1" applyFill="1" applyBorder="1" applyAlignment="1">
      <alignment horizontal="center" vertical="center" shrinkToFit="1"/>
    </xf>
    <xf numFmtId="0" fontId="14" fillId="2" borderId="19" xfId="1" applyFont="1" applyFill="1" applyBorder="1" applyAlignment="1">
      <alignment horizontal="center" vertical="center" shrinkToFit="1"/>
    </xf>
    <xf numFmtId="0" fontId="14" fillId="2" borderId="18" xfId="1" applyFont="1" applyFill="1" applyBorder="1" applyAlignment="1">
      <alignment vertical="center" shrinkToFit="1"/>
    </xf>
    <xf numFmtId="0" fontId="14" fillId="2" borderId="20" xfId="1" applyFont="1" applyFill="1" applyBorder="1" applyAlignment="1">
      <alignment vertical="center" shrinkToFit="1"/>
    </xf>
    <xf numFmtId="0" fontId="14" fillId="2" borderId="19" xfId="1" applyFont="1" applyFill="1" applyBorder="1" applyAlignment="1">
      <alignment vertical="center" shrinkToFit="1"/>
    </xf>
    <xf numFmtId="0" fontId="24" fillId="0" borderId="22" xfId="0" applyFont="1" applyBorder="1" applyAlignment="1">
      <alignment horizontal="center" vertical="center" shrinkToFit="1"/>
    </xf>
    <xf numFmtId="0" fontId="24" fillId="0" borderId="7" xfId="0" applyFont="1" applyBorder="1" applyAlignment="1">
      <alignment horizontal="center" vertical="center" shrinkToFit="1"/>
    </xf>
    <xf numFmtId="0" fontId="24" fillId="0" borderId="8" xfId="0" applyFont="1" applyBorder="1" applyAlignment="1">
      <alignment horizontal="center" vertical="center" shrinkToFit="1"/>
    </xf>
    <xf numFmtId="0" fontId="14" fillId="5" borderId="1" xfId="1" applyFont="1" applyFill="1" applyBorder="1" applyAlignment="1">
      <alignment horizontal="center" vertical="center"/>
    </xf>
    <xf numFmtId="0" fontId="14" fillId="5" borderId="6" xfId="1" applyFont="1" applyFill="1" applyBorder="1" applyAlignment="1">
      <alignment horizontal="center" vertical="center"/>
    </xf>
    <xf numFmtId="0" fontId="22" fillId="4" borderId="6" xfId="1" applyFont="1" applyFill="1" applyBorder="1" applyAlignment="1">
      <alignment horizontal="left" vertical="center" wrapText="1" shrinkToFit="1"/>
    </xf>
    <xf numFmtId="0" fontId="14" fillId="0" borderId="18" xfId="1" applyFont="1" applyBorder="1" applyAlignment="1">
      <alignment horizontal="left" vertical="center" shrinkToFit="1"/>
    </xf>
    <xf numFmtId="0" fontId="14" fillId="0" borderId="20" xfId="1" applyFont="1" applyBorder="1" applyAlignment="1">
      <alignment horizontal="left" vertical="center" shrinkToFit="1"/>
    </xf>
    <xf numFmtId="0" fontId="14" fillId="0" borderId="19" xfId="1" applyFont="1" applyBorder="1" applyAlignment="1">
      <alignment horizontal="left" vertical="center" shrinkToFit="1"/>
    </xf>
    <xf numFmtId="0" fontId="14" fillId="0" borderId="6" xfId="7" applyNumberFormat="1" applyFont="1" applyFill="1" applyBorder="1" applyAlignment="1" applyProtection="1">
      <alignment horizontal="right" vertical="center" shrinkToFit="1"/>
    </xf>
    <xf numFmtId="0" fontId="17" fillId="0" borderId="2" xfId="1" applyFont="1" applyBorder="1" applyAlignment="1">
      <alignment horizontal="left" vertical="center" shrinkToFit="1"/>
    </xf>
    <xf numFmtId="0" fontId="17" fillId="0" borderId="7" xfId="1" applyFont="1" applyBorder="1" applyAlignment="1">
      <alignment horizontal="left" vertical="center" shrinkToFit="1"/>
    </xf>
    <xf numFmtId="38" fontId="14" fillId="4" borderId="2" xfId="2" applyFont="1" applyFill="1" applyBorder="1" applyAlignment="1">
      <alignment vertical="center" shrinkToFit="1"/>
    </xf>
    <xf numFmtId="38" fontId="14" fillId="4" borderId="24" xfId="2" applyFont="1" applyFill="1" applyBorder="1" applyAlignment="1">
      <alignment vertical="center" shrinkToFit="1"/>
    </xf>
    <xf numFmtId="38" fontId="40" fillId="3" borderId="23" xfId="2" applyFont="1" applyFill="1" applyBorder="1" applyAlignment="1">
      <alignment vertical="center" wrapText="1"/>
    </xf>
    <xf numFmtId="38" fontId="40" fillId="3" borderId="6" xfId="2" applyFont="1" applyFill="1" applyBorder="1" applyAlignment="1">
      <alignment vertical="center" wrapText="1"/>
    </xf>
    <xf numFmtId="0" fontId="17" fillId="4" borderId="4" xfId="1" applyFont="1" applyFill="1" applyBorder="1" applyAlignment="1">
      <alignment vertical="center" shrinkToFit="1"/>
    </xf>
    <xf numFmtId="0" fontId="14" fillId="4" borderId="2" xfId="1" applyFont="1" applyFill="1" applyBorder="1" applyAlignment="1">
      <alignment vertical="center" wrapText="1" shrinkToFit="1"/>
    </xf>
    <xf numFmtId="0" fontId="14" fillId="4" borderId="24" xfId="1" applyFont="1" applyFill="1" applyBorder="1" applyAlignment="1">
      <alignment vertical="center" wrapText="1" shrinkToFit="1"/>
    </xf>
    <xf numFmtId="0" fontId="14" fillId="4" borderId="7" xfId="1" applyFont="1" applyFill="1" applyBorder="1" applyAlignment="1">
      <alignment vertical="center" wrapText="1" shrinkToFit="1"/>
    </xf>
    <xf numFmtId="0" fontId="14" fillId="8" borderId="10" xfId="1" applyFont="1" applyFill="1" applyBorder="1" applyAlignment="1">
      <alignment horizontal="center" vertical="center" shrinkToFit="1"/>
    </xf>
    <xf numFmtId="0" fontId="14" fillId="8" borderId="11" xfId="1" applyFont="1" applyFill="1" applyBorder="1" applyAlignment="1">
      <alignment horizontal="center" vertical="center" shrinkToFit="1"/>
    </xf>
    <xf numFmtId="0" fontId="14" fillId="8" borderId="10" xfId="1" applyFont="1" applyFill="1" applyBorder="1" applyAlignment="1">
      <alignment horizontal="left" vertical="center" shrinkToFit="1"/>
    </xf>
    <xf numFmtId="0" fontId="14" fillId="8" borderId="12" xfId="1" applyFont="1" applyFill="1" applyBorder="1" applyAlignment="1">
      <alignment horizontal="left" vertical="center" shrinkToFit="1"/>
    </xf>
    <xf numFmtId="0" fontId="14" fillId="8" borderId="11" xfId="1" applyFont="1" applyFill="1" applyBorder="1" applyAlignment="1">
      <alignment horizontal="left" vertical="center" shrinkToFit="1"/>
    </xf>
    <xf numFmtId="38" fontId="14" fillId="4" borderId="35" xfId="2" applyFont="1" applyFill="1" applyBorder="1" applyAlignment="1">
      <alignment vertical="center" shrinkToFit="1"/>
    </xf>
    <xf numFmtId="38" fontId="14" fillId="4" borderId="21" xfId="2" applyFont="1" applyFill="1" applyBorder="1" applyAlignment="1">
      <alignment vertical="center" shrinkToFit="1"/>
    </xf>
    <xf numFmtId="38" fontId="14" fillId="4" borderId="7" xfId="2" applyFont="1" applyFill="1" applyBorder="1" applyAlignment="1">
      <alignment vertical="center" shrinkToFit="1"/>
    </xf>
    <xf numFmtId="0" fontId="22" fillId="4" borderId="2" xfId="1" applyFont="1" applyFill="1" applyBorder="1" applyAlignment="1">
      <alignment vertical="center" shrinkToFit="1"/>
    </xf>
    <xf numFmtId="0" fontId="22" fillId="4" borderId="7" xfId="1" applyFont="1" applyFill="1" applyBorder="1" applyAlignment="1">
      <alignment vertical="center" shrinkToFit="1"/>
    </xf>
    <xf numFmtId="0" fontId="33" fillId="0" borderId="1" xfId="7" applyNumberFormat="1" applyFont="1" applyFill="1" applyBorder="1" applyAlignment="1" applyProtection="1">
      <alignment horizontal="right" vertical="center" shrinkToFit="1"/>
    </xf>
    <xf numFmtId="0" fontId="15" fillId="0" borderId="5" xfId="1" applyFont="1" applyBorder="1" applyAlignment="1">
      <alignment horizontal="center" vertical="center" shrinkToFit="1"/>
    </xf>
    <xf numFmtId="38" fontId="14" fillId="4" borderId="17" xfId="2" applyFont="1" applyFill="1" applyBorder="1" applyAlignment="1">
      <alignment vertical="center" shrinkToFit="1"/>
    </xf>
    <xf numFmtId="38" fontId="14" fillId="4" borderId="23" xfId="2" applyFont="1" applyFill="1" applyBorder="1" applyAlignment="1">
      <alignment vertical="center" shrinkToFit="1"/>
    </xf>
    <xf numFmtId="0" fontId="16" fillId="0" borderId="23" xfId="1" applyFont="1" applyBorder="1" applyAlignment="1">
      <alignment horizontal="center" vertical="center" shrinkToFit="1"/>
    </xf>
    <xf numFmtId="0" fontId="14" fillId="4" borderId="1" xfId="1" applyFont="1" applyFill="1" applyBorder="1" applyAlignment="1">
      <alignment vertical="center" wrapText="1" shrinkToFit="1"/>
    </xf>
    <xf numFmtId="0" fontId="14" fillId="4" borderId="23" xfId="1" applyFont="1" applyFill="1" applyBorder="1" applyAlignment="1">
      <alignment vertical="center" wrapText="1" shrinkToFit="1"/>
    </xf>
    <xf numFmtId="0" fontId="14" fillId="4" borderId="6" xfId="1" applyFont="1" applyFill="1" applyBorder="1" applyAlignment="1">
      <alignment vertical="center" wrapText="1" shrinkToFit="1"/>
    </xf>
    <xf numFmtId="38" fontId="40" fillId="3" borderId="1" xfId="2" applyFont="1" applyFill="1" applyBorder="1" applyAlignment="1">
      <alignment vertical="center" wrapText="1" shrinkToFit="1"/>
    </xf>
    <xf numFmtId="38" fontId="40" fillId="3" borderId="6" xfId="2" applyFont="1" applyFill="1" applyBorder="1" applyAlignment="1">
      <alignment vertical="center" wrapText="1" shrinkToFit="1"/>
    </xf>
    <xf numFmtId="0" fontId="36" fillId="4" borderId="3" xfId="1" applyFont="1" applyFill="1" applyBorder="1" applyAlignment="1">
      <alignment vertical="center" shrinkToFit="1"/>
    </xf>
    <xf numFmtId="0" fontId="36" fillId="4" borderId="8" xfId="1" applyFont="1" applyFill="1" applyBorder="1" applyAlignment="1">
      <alignment vertical="center" shrinkToFit="1"/>
    </xf>
    <xf numFmtId="0" fontId="14" fillId="3" borderId="2" xfId="1" applyFont="1" applyFill="1" applyBorder="1" applyAlignment="1">
      <alignment horizontal="center" vertical="center" shrinkToFit="1"/>
    </xf>
    <xf numFmtId="0" fontId="14" fillId="3" borderId="3" xfId="1" applyFont="1" applyFill="1" applyBorder="1" applyAlignment="1">
      <alignment horizontal="center" vertical="center" shrinkToFit="1"/>
    </xf>
    <xf numFmtId="0" fontId="14" fillId="3" borderId="2" xfId="1" applyFont="1" applyFill="1" applyBorder="1" applyAlignment="1">
      <alignment horizontal="left" vertical="center" shrinkToFit="1"/>
    </xf>
    <xf numFmtId="0" fontId="14" fillId="3" borderId="4" xfId="1" applyFont="1" applyFill="1" applyBorder="1" applyAlignment="1">
      <alignment horizontal="left" vertical="center" shrinkToFit="1"/>
    </xf>
    <xf numFmtId="0" fontId="14" fillId="3" borderId="3" xfId="1" applyFont="1" applyFill="1" applyBorder="1" applyAlignment="1">
      <alignment horizontal="left" vertical="center" shrinkToFit="1"/>
    </xf>
    <xf numFmtId="38" fontId="17" fillId="4" borderId="1" xfId="2" applyFont="1" applyFill="1" applyBorder="1" applyAlignment="1">
      <alignment vertical="center" shrinkToFit="1"/>
    </xf>
    <xf numFmtId="38" fontId="17" fillId="4" borderId="6" xfId="2" applyFont="1" applyFill="1" applyBorder="1" applyAlignment="1">
      <alignment vertical="center" shrinkToFit="1"/>
    </xf>
    <xf numFmtId="0" fontId="42" fillId="4" borderId="3" xfId="1" applyFont="1" applyFill="1" applyBorder="1" applyAlignment="1">
      <alignment vertical="center" wrapText="1" shrinkToFit="1"/>
    </xf>
    <xf numFmtId="0" fontId="42" fillId="4" borderId="8" xfId="1" applyFont="1" applyFill="1" applyBorder="1" applyAlignment="1">
      <alignment vertical="center" shrinkToFit="1"/>
    </xf>
    <xf numFmtId="0" fontId="33" fillId="0" borderId="6" xfId="7" applyNumberFormat="1" applyFont="1" applyFill="1" applyBorder="1" applyAlignment="1" applyProtection="1">
      <alignment horizontal="right" vertical="center" shrinkToFit="1"/>
    </xf>
    <xf numFmtId="0" fontId="15" fillId="0" borderId="1" xfId="1" applyFont="1" applyBorder="1" applyAlignment="1">
      <alignment horizontal="center" vertical="center" shrinkToFit="1"/>
    </xf>
    <xf numFmtId="0" fontId="15" fillId="0" borderId="6" xfId="1" applyFont="1" applyBorder="1" applyAlignment="1">
      <alignment horizontal="center" vertical="center" shrinkToFit="1"/>
    </xf>
    <xf numFmtId="0" fontId="16" fillId="0" borderId="6" xfId="3" applyFont="1" applyBorder="1" applyAlignment="1">
      <alignment horizontal="center" vertical="center" shrinkToFit="1"/>
    </xf>
    <xf numFmtId="0" fontId="16" fillId="0" borderId="10" xfId="3" applyFont="1" applyBorder="1" applyAlignment="1">
      <alignment horizontal="center" vertical="center" shrinkToFit="1"/>
    </xf>
    <xf numFmtId="0" fontId="16" fillId="0" borderId="12" xfId="3" applyFont="1" applyBorder="1" applyAlignment="1">
      <alignment horizontal="center" vertical="center" shrinkToFit="1"/>
    </xf>
    <xf numFmtId="0" fontId="16" fillId="0" borderId="11" xfId="3" applyFont="1" applyBorder="1" applyAlignment="1">
      <alignment horizontal="center" vertical="center" shrinkToFit="1"/>
    </xf>
    <xf numFmtId="0" fontId="14" fillId="6" borderId="1" xfId="3" applyFont="1" applyFill="1" applyBorder="1" applyAlignment="1">
      <alignment horizontal="center" vertical="center" shrinkToFit="1"/>
    </xf>
    <xf numFmtId="0" fontId="14" fillId="6" borderId="6" xfId="3" applyFont="1" applyFill="1" applyBorder="1" applyAlignment="1">
      <alignment horizontal="center" vertical="center" shrinkToFit="1"/>
    </xf>
    <xf numFmtId="0" fontId="22" fillId="3" borderId="1" xfId="3" applyFont="1" applyFill="1" applyBorder="1" applyAlignment="1">
      <alignment vertical="center" shrinkToFit="1"/>
    </xf>
    <xf numFmtId="0" fontId="22" fillId="3" borderId="6" xfId="3" applyFont="1" applyFill="1" applyBorder="1" applyAlignment="1">
      <alignment vertical="center" shrinkToFit="1"/>
    </xf>
    <xf numFmtId="0" fontId="22" fillId="4" borderId="1" xfId="3" applyFont="1" applyFill="1" applyBorder="1" applyAlignment="1">
      <alignment vertical="center" shrinkToFit="1"/>
    </xf>
    <xf numFmtId="0" fontId="22" fillId="4" borderId="6" xfId="3" applyFont="1" applyFill="1" applyBorder="1" applyAlignment="1">
      <alignment vertical="center" shrinkToFit="1"/>
    </xf>
    <xf numFmtId="0" fontId="22" fillId="3" borderId="32" xfId="3" applyFont="1" applyFill="1" applyBorder="1" applyAlignment="1">
      <alignment horizontal="center" vertical="center" shrinkToFit="1"/>
    </xf>
    <xf numFmtId="0" fontId="22" fillId="3" borderId="31" xfId="3" applyFont="1" applyFill="1" applyBorder="1" applyAlignment="1">
      <alignment horizontal="center" vertical="center" shrinkToFit="1"/>
    </xf>
    <xf numFmtId="0" fontId="16" fillId="0" borderId="5" xfId="3" applyFont="1" applyBorder="1" applyAlignment="1">
      <alignment horizontal="center" vertical="center" shrinkToFit="1"/>
    </xf>
    <xf numFmtId="0" fontId="14" fillId="6" borderId="5" xfId="3" applyFont="1" applyFill="1" applyBorder="1" applyAlignment="1">
      <alignment horizontal="center" vertical="center" shrinkToFit="1"/>
    </xf>
    <xf numFmtId="0" fontId="16" fillId="0" borderId="13" xfId="3" applyFont="1" applyBorder="1" applyAlignment="1">
      <alignment horizontal="center" vertical="center" shrinkToFit="1"/>
    </xf>
    <xf numFmtId="0" fontId="14" fillId="3" borderId="5" xfId="3" applyFont="1" applyFill="1" applyBorder="1" applyAlignment="1">
      <alignment horizontal="center" vertical="center" shrinkToFit="1"/>
    </xf>
    <xf numFmtId="0" fontId="14" fillId="3" borderId="10" xfId="3" applyFont="1" applyFill="1" applyBorder="1" applyAlignment="1">
      <alignment vertical="center" shrinkToFit="1"/>
    </xf>
    <xf numFmtId="0" fontId="14" fillId="3" borderId="12" xfId="3" applyFont="1" applyFill="1" applyBorder="1" applyAlignment="1">
      <alignment vertical="center" shrinkToFit="1"/>
    </xf>
    <xf numFmtId="0" fontId="14" fillId="3" borderId="11" xfId="3" applyFont="1" applyFill="1" applyBorder="1" applyAlignment="1">
      <alignment vertical="center" shrinkToFit="1"/>
    </xf>
    <xf numFmtId="0" fontId="22" fillId="0" borderId="1" xfId="3" applyFont="1" applyBorder="1" applyAlignment="1">
      <alignment vertical="center" wrapText="1" shrinkToFit="1"/>
    </xf>
    <xf numFmtId="0" fontId="22" fillId="0" borderId="6" xfId="3" applyFont="1" applyBorder="1" applyAlignment="1">
      <alignment vertical="center" wrapText="1" shrinkToFit="1"/>
    </xf>
    <xf numFmtId="0" fontId="49" fillId="0" borderId="1" xfId="3" applyFont="1" applyBorder="1" applyAlignment="1">
      <alignment horizontal="left" vertical="center" wrapText="1" shrinkToFit="1"/>
    </xf>
    <xf numFmtId="0" fontId="49" fillId="0" borderId="6" xfId="3" applyFont="1" applyBorder="1" applyAlignment="1">
      <alignment horizontal="left" vertical="center" wrapText="1" shrinkToFit="1"/>
    </xf>
    <xf numFmtId="0" fontId="27" fillId="4" borderId="32" xfId="3" applyFont="1" applyFill="1" applyBorder="1" applyAlignment="1">
      <alignment horizontal="center" vertical="center" wrapText="1" shrinkToFit="1"/>
    </xf>
    <xf numFmtId="0" fontId="27" fillId="4" borderId="31" xfId="3" applyFont="1" applyFill="1" applyBorder="1" applyAlignment="1">
      <alignment horizontal="center" vertical="center" wrapText="1" shrinkToFit="1"/>
    </xf>
    <xf numFmtId="0" fontId="16" fillId="0" borderId="24" xfId="3" applyFont="1" applyBorder="1" applyAlignment="1">
      <alignment horizontal="center" vertical="center" shrinkToFit="1"/>
    </xf>
    <xf numFmtId="0" fontId="16" fillId="0" borderId="0" xfId="3" applyFont="1" applyAlignment="1">
      <alignment horizontal="center" vertical="center" shrinkToFit="1"/>
    </xf>
    <xf numFmtId="0" fontId="16" fillId="0" borderId="25" xfId="3" applyFont="1" applyBorder="1" applyAlignment="1">
      <alignment horizontal="center" vertical="center" shrinkToFit="1"/>
    </xf>
    <xf numFmtId="0" fontId="16" fillId="0" borderId="7" xfId="3" applyFont="1" applyBorder="1" applyAlignment="1">
      <alignment horizontal="center" vertical="center" shrinkToFit="1"/>
    </xf>
    <xf numFmtId="0" fontId="16" fillId="0" borderId="9" xfId="3" applyFont="1" applyBorder="1" applyAlignment="1">
      <alignment horizontal="center" vertical="center" shrinkToFit="1"/>
    </xf>
    <xf numFmtId="0" fontId="16" fillId="0" borderId="8" xfId="3" applyFont="1" applyBorder="1" applyAlignment="1">
      <alignment horizontal="center" vertical="center" shrinkToFit="1"/>
    </xf>
    <xf numFmtId="0" fontId="14" fillId="0" borderId="6" xfId="3" applyFont="1" applyBorder="1" applyAlignment="1">
      <alignment horizontal="center" vertical="center" shrinkToFit="1"/>
    </xf>
    <xf numFmtId="0" fontId="14" fillId="0" borderId="6" xfId="3" applyFont="1" applyBorder="1" applyAlignment="1">
      <alignment vertical="center" shrinkToFit="1"/>
    </xf>
    <xf numFmtId="0" fontId="14" fillId="0" borderId="13" xfId="3" applyFont="1" applyBorder="1" applyAlignment="1">
      <alignment horizontal="center" vertical="center" shrinkToFit="1"/>
    </xf>
    <xf numFmtId="0" fontId="14" fillId="0" borderId="13" xfId="3" applyFont="1" applyBorder="1" applyAlignment="1">
      <alignment vertical="center" shrinkToFit="1"/>
    </xf>
    <xf numFmtId="0" fontId="14" fillId="0" borderId="5" xfId="3" applyFont="1" applyBorder="1" applyAlignment="1">
      <alignment horizontal="center" vertical="center" shrinkToFit="1"/>
    </xf>
    <xf numFmtId="0" fontId="14" fillId="0" borderId="5" xfId="3" applyFont="1" applyBorder="1" applyAlignment="1">
      <alignment vertical="center" shrinkToFit="1"/>
    </xf>
    <xf numFmtId="0" fontId="14" fillId="0" borderId="7" xfId="3" applyFont="1" applyBorder="1" applyAlignment="1">
      <alignment horizontal="center" vertical="center" shrinkToFit="1"/>
    </xf>
    <xf numFmtId="0" fontId="14" fillId="0" borderId="8" xfId="3" applyFont="1" applyBorder="1" applyAlignment="1">
      <alignment horizontal="center" vertical="center" shrinkToFit="1"/>
    </xf>
    <xf numFmtId="0" fontId="14" fillId="0" borderId="7" xfId="3" applyFont="1" applyBorder="1" applyAlignment="1">
      <alignment vertical="center" shrinkToFit="1"/>
    </xf>
    <xf numFmtId="0" fontId="14" fillId="0" borderId="9" xfId="3" applyFont="1" applyBorder="1" applyAlignment="1">
      <alignment vertical="center" shrinkToFit="1"/>
    </xf>
    <xf numFmtId="0" fontId="14" fillId="0" borderId="8" xfId="3" applyFont="1" applyBorder="1" applyAlignment="1">
      <alignment vertical="center" shrinkToFit="1"/>
    </xf>
    <xf numFmtId="0" fontId="14" fillId="0" borderId="10" xfId="3" applyFont="1" applyBorder="1" applyAlignment="1">
      <alignment horizontal="center" vertical="center" shrinkToFit="1"/>
    </xf>
    <xf numFmtId="0" fontId="14" fillId="0" borderId="11" xfId="3" applyFont="1" applyBorder="1" applyAlignment="1">
      <alignment horizontal="center" vertical="center" shrinkToFit="1"/>
    </xf>
    <xf numFmtId="0" fontId="14" fillId="0" borderId="10" xfId="3" applyFont="1" applyBorder="1" applyAlignment="1">
      <alignment vertical="center" shrinkToFit="1"/>
    </xf>
    <xf numFmtId="0" fontId="14" fillId="0" borderId="12" xfId="3" applyFont="1" applyBorder="1" applyAlignment="1">
      <alignment vertical="center" shrinkToFit="1"/>
    </xf>
    <xf numFmtId="0" fontId="14" fillId="0" borderId="11" xfId="3" applyFont="1" applyBorder="1" applyAlignment="1">
      <alignment vertical="center" shrinkToFit="1"/>
    </xf>
    <xf numFmtId="0" fontId="22" fillId="3" borderId="34" xfId="3" applyFont="1" applyFill="1" applyBorder="1" applyAlignment="1">
      <alignment horizontal="center" vertical="center" shrinkToFit="1"/>
    </xf>
    <xf numFmtId="0" fontId="46" fillId="0" borderId="2" xfId="3" applyFont="1" applyBorder="1" applyAlignment="1">
      <alignment vertical="center" wrapText="1" shrinkToFit="1"/>
    </xf>
    <xf numFmtId="0" fontId="46" fillId="0" borderId="4" xfId="3" applyFont="1" applyBorder="1" applyAlignment="1">
      <alignment vertical="center" wrapText="1" shrinkToFit="1"/>
    </xf>
    <xf numFmtId="0" fontId="46" fillId="0" borderId="3" xfId="3" applyFont="1" applyBorder="1" applyAlignment="1">
      <alignment vertical="center" wrapText="1" shrinkToFit="1"/>
    </xf>
    <xf numFmtId="0" fontId="46" fillId="0" borderId="7" xfId="3" applyFont="1" applyBorder="1" applyAlignment="1">
      <alignment vertical="center" wrapText="1" shrinkToFit="1"/>
    </xf>
    <xf numFmtId="0" fontId="46" fillId="0" borderId="9" xfId="3" applyFont="1" applyBorder="1" applyAlignment="1">
      <alignment vertical="center" wrapText="1" shrinkToFit="1"/>
    </xf>
    <xf numFmtId="0" fontId="46" fillId="0" borderId="8" xfId="3" applyFont="1" applyBorder="1" applyAlignment="1">
      <alignment vertical="center" wrapText="1" shrinkToFit="1"/>
    </xf>
    <xf numFmtId="0" fontId="14" fillId="3" borderId="5" xfId="3" applyFont="1" applyFill="1" applyBorder="1" applyAlignment="1">
      <alignment vertical="center" shrinkToFit="1"/>
    </xf>
    <xf numFmtId="0" fontId="14" fillId="0" borderId="5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/>
    </xf>
    <xf numFmtId="176" fontId="14" fillId="0" borderId="5" xfId="3" applyNumberFormat="1" applyFont="1" applyBorder="1" applyAlignment="1">
      <alignment horizontal="center" vertical="center" shrinkToFit="1"/>
    </xf>
    <xf numFmtId="0" fontId="22" fillId="0" borderId="5" xfId="3" applyFont="1" applyBorder="1" applyAlignment="1">
      <alignment horizontal="center" vertical="center" shrinkToFit="1"/>
    </xf>
    <xf numFmtId="0" fontId="22" fillId="0" borderId="10" xfId="3" applyFont="1" applyBorder="1" applyAlignment="1">
      <alignment horizontal="center" vertical="center" shrinkToFit="1"/>
    </xf>
    <xf numFmtId="0" fontId="22" fillId="0" borderId="12" xfId="3" applyFont="1" applyBorder="1" applyAlignment="1">
      <alignment horizontal="center" vertical="center" shrinkToFit="1"/>
    </xf>
    <xf numFmtId="0" fontId="22" fillId="0" borderId="11" xfId="3" applyFont="1" applyBorder="1" applyAlignment="1">
      <alignment horizontal="center" vertical="center" shrinkToFit="1"/>
    </xf>
    <xf numFmtId="0" fontId="14" fillId="3" borderId="6" xfId="3" applyFont="1" applyFill="1" applyBorder="1" applyAlignment="1">
      <alignment horizontal="center" vertical="center" shrinkToFit="1"/>
    </xf>
    <xf numFmtId="0" fontId="14" fillId="3" borderId="6" xfId="3" applyFont="1" applyFill="1" applyBorder="1" applyAlignment="1">
      <alignment vertical="center" shrinkToFit="1"/>
    </xf>
    <xf numFmtId="0" fontId="14" fillId="6" borderId="23" xfId="3" applyFont="1" applyFill="1" applyBorder="1" applyAlignment="1">
      <alignment horizontal="center" vertical="center" shrinkToFit="1"/>
    </xf>
    <xf numFmtId="0" fontId="16" fillId="0" borderId="2" xfId="3" applyFont="1" applyBorder="1" applyAlignment="1">
      <alignment horizontal="center" vertical="center" wrapText="1" shrinkToFit="1"/>
    </xf>
    <xf numFmtId="0" fontId="16" fillId="0" borderId="4" xfId="3" applyFont="1" applyBorder="1" applyAlignment="1">
      <alignment horizontal="center" vertical="center" wrapText="1" shrinkToFit="1"/>
    </xf>
    <xf numFmtId="0" fontId="16" fillId="0" borderId="3" xfId="3" applyFont="1" applyBorder="1" applyAlignment="1">
      <alignment horizontal="center" vertical="center" wrapText="1" shrinkToFit="1"/>
    </xf>
    <xf numFmtId="0" fontId="16" fillId="0" borderId="24" xfId="3" applyFont="1" applyBorder="1" applyAlignment="1">
      <alignment horizontal="center" vertical="center" wrapText="1" shrinkToFit="1"/>
    </xf>
    <xf numFmtId="0" fontId="16" fillId="0" borderId="0" xfId="3" applyFont="1" applyAlignment="1">
      <alignment horizontal="center" vertical="center" wrapText="1" shrinkToFit="1"/>
    </xf>
    <xf numFmtId="0" fontId="16" fillId="0" borderId="25" xfId="3" applyFont="1" applyBorder="1" applyAlignment="1">
      <alignment horizontal="center" vertical="center" wrapText="1" shrinkToFit="1"/>
    </xf>
    <xf numFmtId="0" fontId="16" fillId="0" borderId="7" xfId="3" applyFont="1" applyBorder="1" applyAlignment="1">
      <alignment horizontal="center" vertical="center" wrapText="1" shrinkToFit="1"/>
    </xf>
    <xf numFmtId="0" fontId="16" fillId="0" borderId="9" xfId="3" applyFont="1" applyBorder="1" applyAlignment="1">
      <alignment horizontal="center" vertical="center" wrapText="1" shrinkToFit="1"/>
    </xf>
    <xf numFmtId="0" fontId="16" fillId="0" borderId="8" xfId="3" applyFont="1" applyBorder="1" applyAlignment="1">
      <alignment horizontal="center" vertical="center" wrapText="1" shrinkToFit="1"/>
    </xf>
    <xf numFmtId="0" fontId="14" fillId="3" borderId="10" xfId="3" applyFont="1" applyFill="1" applyBorder="1" applyAlignment="1">
      <alignment horizontal="center" vertical="center" shrinkToFit="1"/>
    </xf>
    <xf numFmtId="0" fontId="14" fillId="3" borderId="11" xfId="3" applyFont="1" applyFill="1" applyBorder="1" applyAlignment="1">
      <alignment horizontal="center" vertical="center" shrinkToFit="1"/>
    </xf>
    <xf numFmtId="0" fontId="14" fillId="6" borderId="13" xfId="3" applyFont="1" applyFill="1" applyBorder="1" applyAlignment="1">
      <alignment horizontal="center" vertical="center" shrinkToFit="1"/>
    </xf>
    <xf numFmtId="0" fontId="22" fillId="3" borderId="26" xfId="3" applyFont="1" applyFill="1" applyBorder="1" applyAlignment="1">
      <alignment vertical="center" shrinkToFit="1"/>
    </xf>
    <xf numFmtId="0" fontId="22" fillId="4" borderId="26" xfId="3" applyFont="1" applyFill="1" applyBorder="1" applyAlignment="1">
      <alignment vertical="center" shrinkToFit="1"/>
    </xf>
    <xf numFmtId="0" fontId="22" fillId="3" borderId="33" xfId="3" applyFont="1" applyFill="1" applyBorder="1" applyAlignment="1">
      <alignment horizontal="center" vertical="center" shrinkToFit="1"/>
    </xf>
    <xf numFmtId="0" fontId="14" fillId="3" borderId="13" xfId="3" applyFont="1" applyFill="1" applyBorder="1" applyAlignment="1">
      <alignment horizontal="center" vertical="center" shrinkToFit="1"/>
    </xf>
    <xf numFmtId="0" fontId="14" fillId="3" borderId="13" xfId="3" applyFont="1" applyFill="1" applyBorder="1" applyAlignment="1">
      <alignment vertical="center" shrinkToFit="1"/>
    </xf>
    <xf numFmtId="0" fontId="27" fillId="0" borderId="1" xfId="3" applyFont="1" applyBorder="1" applyAlignment="1">
      <alignment horizontal="left" vertical="center" wrapText="1" shrinkToFit="1"/>
    </xf>
    <xf numFmtId="0" fontId="27" fillId="0" borderId="6" xfId="3" applyFont="1" applyBorder="1" applyAlignment="1">
      <alignment horizontal="left" vertical="center" wrapText="1" shrinkToFit="1"/>
    </xf>
    <xf numFmtId="0" fontId="22" fillId="0" borderId="1" xfId="3" applyFont="1" applyBorder="1" applyAlignment="1">
      <alignment vertical="center" shrinkToFit="1"/>
    </xf>
    <xf numFmtId="0" fontId="22" fillId="0" borderId="6" xfId="3" applyFont="1" applyBorder="1" applyAlignment="1">
      <alignment vertical="center" shrinkToFit="1"/>
    </xf>
    <xf numFmtId="0" fontId="17" fillId="3" borderId="32" xfId="1" applyFont="1" applyFill="1" applyBorder="1" applyAlignment="1">
      <alignment horizontal="left" vertical="center" shrinkToFit="1"/>
    </xf>
    <xf numFmtId="0" fontId="17" fillId="3" borderId="31" xfId="1" applyFont="1" applyFill="1" applyBorder="1" applyAlignment="1">
      <alignment horizontal="left" vertical="center" shrinkToFit="1"/>
    </xf>
    <xf numFmtId="0" fontId="17" fillId="3" borderId="32" xfId="1" applyFont="1" applyFill="1" applyBorder="1" applyAlignment="1">
      <alignment vertical="center" shrinkToFit="1"/>
    </xf>
    <xf numFmtId="0" fontId="17" fillId="3" borderId="31" xfId="1" applyFont="1" applyFill="1" applyBorder="1" applyAlignment="1">
      <alignment vertical="center" shrinkToFit="1"/>
    </xf>
    <xf numFmtId="0" fontId="22" fillId="0" borderId="12" xfId="1" applyFont="1" applyBorder="1" applyAlignment="1">
      <alignment horizontal="center" vertical="center"/>
    </xf>
    <xf numFmtId="0" fontId="22" fillId="3" borderId="31" xfId="1" applyFont="1" applyFill="1" applyBorder="1" applyAlignment="1">
      <alignment vertical="center" shrinkToFit="1"/>
    </xf>
    <xf numFmtId="0" fontId="22" fillId="0" borderId="5" xfId="1" applyFont="1" applyBorder="1" applyAlignment="1">
      <alignment horizontal="center" vertical="center"/>
    </xf>
    <xf numFmtId="176" fontId="14" fillId="0" borderId="5" xfId="1" applyNumberFormat="1" applyFont="1" applyBorder="1" applyAlignment="1">
      <alignment horizontal="center" vertical="center"/>
    </xf>
    <xf numFmtId="0" fontId="22" fillId="3" borderId="32" xfId="1" applyFont="1" applyFill="1" applyBorder="1" applyAlignment="1">
      <alignment vertical="center" wrapText="1" shrinkToFit="1"/>
    </xf>
    <xf numFmtId="0" fontId="22" fillId="3" borderId="31" xfId="1" applyFont="1" applyFill="1" applyBorder="1" applyAlignment="1">
      <alignment vertical="center" wrapText="1" shrinkToFit="1"/>
    </xf>
    <xf numFmtId="0" fontId="22" fillId="3" borderId="1" xfId="1" applyFont="1" applyFill="1" applyBorder="1" applyAlignment="1">
      <alignment vertical="center" wrapText="1"/>
    </xf>
    <xf numFmtId="0" fontId="22" fillId="3" borderId="6" xfId="1" applyFont="1" applyFill="1" applyBorder="1" applyAlignment="1">
      <alignment vertical="center" wrapText="1"/>
    </xf>
    <xf numFmtId="0" fontId="48" fillId="4" borderId="1" xfId="1" applyFont="1" applyFill="1" applyBorder="1" applyAlignment="1">
      <alignment vertical="center" wrapText="1" shrinkToFit="1"/>
    </xf>
    <xf numFmtId="0" fontId="48" fillId="4" borderId="6" xfId="1" applyFont="1" applyFill="1" applyBorder="1" applyAlignment="1">
      <alignment vertical="center" shrinkToFit="1"/>
    </xf>
    <xf numFmtId="0" fontId="41" fillId="4" borderId="1" xfId="1" applyFont="1" applyFill="1" applyBorder="1" applyAlignment="1">
      <alignment vertical="center" shrinkToFit="1"/>
    </xf>
    <xf numFmtId="0" fontId="17" fillId="3" borderId="38" xfId="1" applyFont="1" applyFill="1" applyBorder="1" applyAlignment="1">
      <alignment vertical="center" shrinkToFit="1"/>
    </xf>
    <xf numFmtId="0" fontId="16" fillId="0" borderId="16" xfId="1" applyFont="1" applyBorder="1" applyAlignment="1">
      <alignment horizontal="center" vertical="center" shrinkToFit="1"/>
    </xf>
    <xf numFmtId="0" fontId="22" fillId="3" borderId="17" xfId="1" applyFont="1" applyFill="1" applyBorder="1" applyAlignment="1">
      <alignment vertical="center" wrapText="1"/>
    </xf>
    <xf numFmtId="0" fontId="41" fillId="4" borderId="1" xfId="1" applyFont="1" applyFill="1" applyBorder="1" applyAlignment="1">
      <alignment vertical="center" wrapText="1" shrinkToFit="1"/>
    </xf>
    <xf numFmtId="0" fontId="41" fillId="4" borderId="6" xfId="1" applyFont="1" applyFill="1" applyBorder="1" applyAlignment="1">
      <alignment vertical="center" wrapText="1" shrinkToFit="1"/>
    </xf>
    <xf numFmtId="0" fontId="22" fillId="0" borderId="1" xfId="1" applyFont="1" applyBorder="1" applyAlignment="1">
      <alignment vertical="center" wrapText="1"/>
    </xf>
    <xf numFmtId="0" fontId="22" fillId="0" borderId="6" xfId="1" applyFont="1" applyBorder="1" applyAlignment="1">
      <alignment vertical="center" wrapText="1"/>
    </xf>
    <xf numFmtId="0" fontId="22" fillId="4" borderId="32" xfId="1" applyFont="1" applyFill="1" applyBorder="1" applyAlignment="1">
      <alignment horizontal="center" vertical="center" shrinkToFit="1"/>
    </xf>
    <xf numFmtId="0" fontId="22" fillId="4" borderId="31" xfId="1" applyFont="1" applyFill="1" applyBorder="1" applyAlignment="1">
      <alignment horizontal="center" vertical="center" shrinkToFit="1"/>
    </xf>
    <xf numFmtId="0" fontId="22" fillId="3" borderId="1" xfId="0" applyFont="1" applyFill="1" applyBorder="1" applyAlignment="1">
      <alignment vertical="center"/>
    </xf>
    <xf numFmtId="0" fontId="22" fillId="3" borderId="6" xfId="0" applyFont="1" applyFill="1" applyBorder="1" applyAlignment="1">
      <alignment vertical="center"/>
    </xf>
    <xf numFmtId="0" fontId="22" fillId="4" borderId="1" xfId="0" applyFont="1" applyFill="1" applyBorder="1" applyAlignment="1">
      <alignment vertical="center" shrinkToFit="1"/>
    </xf>
    <xf numFmtId="0" fontId="22" fillId="4" borderId="6" xfId="0" applyFont="1" applyFill="1" applyBorder="1" applyAlignment="1">
      <alignment vertical="center" shrinkToFit="1"/>
    </xf>
    <xf numFmtId="0" fontId="14" fillId="3" borderId="6" xfId="0" applyFont="1" applyFill="1" applyBorder="1" applyAlignment="1">
      <alignment horizontal="left" vertical="center" shrinkToFit="1"/>
    </xf>
    <xf numFmtId="0" fontId="14" fillId="6" borderId="1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 shrinkToFit="1"/>
    </xf>
    <xf numFmtId="0" fontId="14" fillId="6" borderId="5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22" fillId="0" borderId="1" xfId="0" applyFont="1" applyBorder="1" applyAlignment="1">
      <alignment vertical="center" shrinkToFit="1"/>
    </xf>
    <xf numFmtId="0" fontId="22" fillId="0" borderId="6" xfId="0" applyFont="1" applyBorder="1" applyAlignment="1">
      <alignment vertical="center" shrinkToFit="1"/>
    </xf>
    <xf numFmtId="0" fontId="22" fillId="0" borderId="1" xfId="1" applyFont="1" applyBorder="1">
      <alignment vertical="center"/>
    </xf>
    <xf numFmtId="0" fontId="22" fillId="0" borderId="6" xfId="1" applyFont="1" applyBorder="1">
      <alignment vertical="center"/>
    </xf>
    <xf numFmtId="0" fontId="14" fillId="0" borderId="6" xfId="0" applyFont="1" applyBorder="1" applyAlignment="1">
      <alignment horizontal="left" vertical="center" shrinkToFit="1"/>
    </xf>
    <xf numFmtId="0" fontId="16" fillId="0" borderId="6" xfId="0" applyFont="1" applyBorder="1" applyAlignment="1">
      <alignment horizontal="center" vertical="center" shrinkToFit="1"/>
    </xf>
    <xf numFmtId="0" fontId="14" fillId="0" borderId="13" xfId="0" applyFont="1" applyBorder="1" applyAlignment="1">
      <alignment horizontal="center" vertical="center" shrinkToFit="1"/>
    </xf>
    <xf numFmtId="0" fontId="14" fillId="0" borderId="13" xfId="0" applyFont="1" applyBorder="1" applyAlignment="1">
      <alignment horizontal="left" vertical="center" shrinkToFit="1"/>
    </xf>
    <xf numFmtId="0" fontId="16" fillId="0" borderId="13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176" fontId="14" fillId="0" borderId="5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7" fillId="3" borderId="38" xfId="1" applyFont="1" applyFill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3" borderId="32" xfId="0" applyFont="1" applyFill="1" applyBorder="1" applyAlignment="1">
      <alignment horizontal="center" vertical="center" shrinkToFit="1"/>
    </xf>
    <xf numFmtId="0" fontId="22" fillId="3" borderId="31" xfId="0" applyFont="1" applyFill="1" applyBorder="1" applyAlignment="1">
      <alignment horizontal="center" vertical="center" shrinkToFit="1"/>
    </xf>
    <xf numFmtId="0" fontId="22" fillId="4" borderId="4" xfId="1" applyFont="1" applyFill="1" applyBorder="1" applyAlignment="1">
      <alignment vertical="center" shrinkToFit="1"/>
    </xf>
    <xf numFmtId="0" fontId="33" fillId="0" borderId="1" xfId="7" applyNumberFormat="1" applyFont="1" applyFill="1" applyBorder="1" applyAlignment="1" applyProtection="1">
      <alignment horizontal="center" vertical="center" shrinkToFit="1"/>
    </xf>
    <xf numFmtId="0" fontId="15" fillId="0" borderId="2" xfId="1" applyFont="1" applyBorder="1" applyAlignment="1">
      <alignment horizontal="center" vertical="center" shrinkToFit="1"/>
    </xf>
    <xf numFmtId="0" fontId="15" fillId="0" borderId="7" xfId="1" applyFont="1" applyBorder="1" applyAlignment="1">
      <alignment horizontal="center" vertical="center" shrinkToFit="1"/>
    </xf>
    <xf numFmtId="0" fontId="15" fillId="0" borderId="3" xfId="1" applyFont="1" applyBorder="1" applyAlignment="1">
      <alignment horizontal="center" vertical="center" shrinkToFit="1"/>
    </xf>
    <xf numFmtId="0" fontId="15" fillId="0" borderId="8" xfId="1" applyFont="1" applyBorder="1" applyAlignment="1">
      <alignment horizontal="center" vertical="center" shrinkToFit="1"/>
    </xf>
    <xf numFmtId="0" fontId="15" fillId="0" borderId="10" xfId="1" applyFont="1" applyBorder="1" applyAlignment="1">
      <alignment horizontal="center" vertical="center" shrinkToFit="1"/>
    </xf>
    <xf numFmtId="0" fontId="15" fillId="0" borderId="12" xfId="1" applyFont="1" applyBorder="1" applyAlignment="1">
      <alignment horizontal="center" vertical="center" shrinkToFit="1"/>
    </xf>
    <xf numFmtId="0" fontId="15" fillId="0" borderId="11" xfId="1" applyFont="1" applyBorder="1" applyAlignment="1">
      <alignment horizontal="center" vertical="center" shrinkToFit="1"/>
    </xf>
    <xf numFmtId="0" fontId="14" fillId="0" borderId="0" xfId="1" applyFont="1" applyAlignment="1">
      <alignment horizontal="left" vertical="center" shrinkToFit="1"/>
    </xf>
    <xf numFmtId="38" fontId="14" fillId="3" borderId="17" xfId="2" applyFont="1" applyFill="1" applyBorder="1" applyAlignment="1">
      <alignment vertical="center" shrinkToFit="1"/>
    </xf>
    <xf numFmtId="0" fontId="22" fillId="4" borderId="17" xfId="1" applyFont="1" applyFill="1" applyBorder="1" applyAlignment="1">
      <alignment vertical="center" wrapText="1" shrinkToFit="1"/>
    </xf>
    <xf numFmtId="38" fontId="14" fillId="0" borderId="1" xfId="2" applyFont="1" applyBorder="1" applyAlignment="1">
      <alignment vertical="center" shrinkToFit="1"/>
    </xf>
    <xf numFmtId="38" fontId="14" fillId="0" borderId="6" xfId="2" applyFont="1" applyBorder="1" applyAlignment="1">
      <alignment vertical="center" shrinkToFit="1"/>
    </xf>
    <xf numFmtId="0" fontId="14" fillId="0" borderId="2" xfId="1" applyFont="1" applyBorder="1" applyAlignment="1">
      <alignment horizontal="left" vertical="center" shrinkToFit="1"/>
    </xf>
    <xf numFmtId="0" fontId="14" fillId="0" borderId="4" xfId="1" applyFont="1" applyBorder="1" applyAlignment="1">
      <alignment horizontal="left" vertical="center" shrinkToFit="1"/>
    </xf>
    <xf numFmtId="0" fontId="14" fillId="0" borderId="3" xfId="1" applyFont="1" applyBorder="1" applyAlignment="1">
      <alignment horizontal="left" vertical="center" shrinkToFit="1"/>
    </xf>
    <xf numFmtId="0" fontId="14" fillId="0" borderId="7" xfId="1" applyFont="1" applyBorder="1" applyAlignment="1">
      <alignment horizontal="left" vertical="center" shrinkToFit="1"/>
    </xf>
    <xf numFmtId="0" fontId="14" fillId="0" borderId="9" xfId="1" applyFont="1" applyBorder="1" applyAlignment="1">
      <alignment horizontal="left" vertical="center" shrinkToFit="1"/>
    </xf>
    <xf numFmtId="0" fontId="14" fillId="0" borderId="8" xfId="1" applyFont="1" applyBorder="1" applyAlignment="1">
      <alignment horizontal="left" vertical="center" shrinkToFit="1"/>
    </xf>
    <xf numFmtId="38" fontId="14" fillId="0" borderId="1" xfId="2" applyFont="1" applyBorder="1" applyAlignment="1">
      <alignment vertical="center" wrapText="1" shrinkToFit="1"/>
    </xf>
    <xf numFmtId="38" fontId="14" fillId="0" borderId="6" xfId="2" applyFont="1" applyBorder="1" applyAlignment="1">
      <alignment vertical="center" wrapText="1" shrinkToFit="1"/>
    </xf>
    <xf numFmtId="0" fontId="17" fillId="3" borderId="32" xfId="1" applyFont="1" applyFill="1" applyBorder="1" applyAlignment="1">
      <alignment horizontal="center" vertical="center" wrapText="1" shrinkToFit="1"/>
    </xf>
    <xf numFmtId="0" fontId="17" fillId="3" borderId="34" xfId="1" applyFont="1" applyFill="1" applyBorder="1" applyAlignment="1">
      <alignment horizontal="center" vertical="center" wrapText="1" shrinkToFit="1"/>
    </xf>
    <xf numFmtId="0" fontId="17" fillId="3" borderId="31" xfId="1" applyFont="1" applyFill="1" applyBorder="1" applyAlignment="1">
      <alignment horizontal="center" vertical="center" wrapText="1" shrinkToFit="1"/>
    </xf>
    <xf numFmtId="0" fontId="16" fillId="0" borderId="21" xfId="1" applyFont="1" applyBorder="1" applyAlignment="1">
      <alignment horizontal="center" vertical="center" wrapText="1" shrinkToFit="1"/>
    </xf>
    <xf numFmtId="0" fontId="14" fillId="3" borderId="17" xfId="1" applyFont="1" applyFill="1" applyBorder="1" applyAlignment="1">
      <alignment vertical="center" wrapText="1" shrinkToFit="1"/>
    </xf>
    <xf numFmtId="0" fontId="22" fillId="3" borderId="23" xfId="1" applyFont="1" applyFill="1" applyBorder="1" applyAlignment="1">
      <alignment vertical="center" wrapText="1"/>
    </xf>
    <xf numFmtId="0" fontId="22" fillId="4" borderId="22" xfId="1" applyFont="1" applyFill="1" applyBorder="1" applyAlignment="1">
      <alignment vertical="center" shrinkToFit="1"/>
    </xf>
    <xf numFmtId="0" fontId="22" fillId="3" borderId="23" xfId="1" applyFont="1" applyFill="1" applyBorder="1">
      <alignment vertical="center"/>
    </xf>
    <xf numFmtId="0" fontId="10" fillId="0" borderId="5" xfId="1" applyBorder="1" applyAlignment="1">
      <alignment horizontal="center" vertical="center" shrinkToFit="1"/>
    </xf>
    <xf numFmtId="0" fontId="15" fillId="3" borderId="1" xfId="1" applyFont="1" applyFill="1" applyBorder="1" applyAlignment="1">
      <alignment vertical="center" shrinkToFit="1"/>
    </xf>
    <xf numFmtId="0" fontId="15" fillId="3" borderId="6" xfId="1" applyFont="1" applyFill="1" applyBorder="1" applyAlignment="1">
      <alignment vertical="center" shrinkToFit="1"/>
    </xf>
    <xf numFmtId="0" fontId="15" fillId="0" borderId="1" xfId="1" applyFont="1" applyBorder="1" applyAlignment="1">
      <alignment vertical="center" shrinkToFit="1"/>
    </xf>
    <xf numFmtId="0" fontId="15" fillId="0" borderId="6" xfId="1" applyFont="1" applyBorder="1" applyAlignment="1">
      <alignment vertical="center" shrinkToFit="1"/>
    </xf>
    <xf numFmtId="0" fontId="14" fillId="4" borderId="5" xfId="1" applyFont="1" applyFill="1" applyBorder="1" applyAlignment="1">
      <alignment horizontal="center" vertical="center" shrinkToFit="1"/>
    </xf>
    <xf numFmtId="0" fontId="14" fillId="4" borderId="5" xfId="1" applyFont="1" applyFill="1" applyBorder="1" applyAlignment="1">
      <alignment horizontal="left" vertical="center" shrinkToFit="1"/>
    </xf>
    <xf numFmtId="0" fontId="15" fillId="4" borderId="1" xfId="1" applyFont="1" applyFill="1" applyBorder="1" applyAlignment="1">
      <alignment horizontal="center" vertical="center" shrinkToFit="1"/>
    </xf>
    <xf numFmtId="0" fontId="15" fillId="4" borderId="6" xfId="1" applyFont="1" applyFill="1" applyBorder="1" applyAlignment="1">
      <alignment horizontal="center" vertical="center" shrinkToFit="1"/>
    </xf>
    <xf numFmtId="0" fontId="14" fillId="4" borderId="5" xfId="1" applyFont="1" applyFill="1" applyBorder="1" applyAlignment="1">
      <alignment vertical="center" shrinkToFit="1"/>
    </xf>
    <xf numFmtId="0" fontId="14" fillId="5" borderId="26" xfId="1" applyFont="1" applyFill="1" applyBorder="1" applyAlignment="1">
      <alignment horizontal="center" vertical="center" shrinkToFit="1"/>
    </xf>
    <xf numFmtId="0" fontId="15" fillId="3" borderId="23" xfId="1" applyFont="1" applyFill="1" applyBorder="1" applyAlignment="1">
      <alignment vertical="center" shrinkToFit="1"/>
    </xf>
    <xf numFmtId="0" fontId="15" fillId="3" borderId="26" xfId="1" applyFont="1" applyFill="1" applyBorder="1" applyAlignment="1">
      <alignment vertical="center" shrinkToFit="1"/>
    </xf>
    <xf numFmtId="0" fontId="15" fillId="4" borderId="1" xfId="1" applyFont="1" applyFill="1" applyBorder="1" applyAlignment="1">
      <alignment vertical="center" shrinkToFit="1"/>
    </xf>
    <xf numFmtId="0" fontId="15" fillId="4" borderId="23" xfId="1" applyFont="1" applyFill="1" applyBorder="1" applyAlignment="1">
      <alignment vertical="center" shrinkToFit="1"/>
    </xf>
    <xf numFmtId="0" fontId="15" fillId="4" borderId="26" xfId="1" applyFont="1" applyFill="1" applyBorder="1" applyAlignment="1">
      <alignment vertical="center" shrinkToFit="1"/>
    </xf>
    <xf numFmtId="0" fontId="15" fillId="4" borderId="6" xfId="1" applyFont="1" applyFill="1" applyBorder="1" applyAlignment="1">
      <alignment vertical="center" shrinkToFit="1"/>
    </xf>
    <xf numFmtId="0" fontId="14" fillId="4" borderId="27" xfId="1" applyFont="1" applyFill="1" applyBorder="1" applyAlignment="1">
      <alignment horizontal="center" vertical="center" shrinkToFit="1"/>
    </xf>
    <xf numFmtId="0" fontId="14" fillId="4" borderId="27" xfId="1" applyFont="1" applyFill="1" applyBorder="1" applyAlignment="1">
      <alignment horizontal="left" vertical="center" shrinkToFit="1"/>
    </xf>
    <xf numFmtId="0" fontId="31" fillId="4" borderId="1" xfId="1" applyFont="1" applyFill="1" applyBorder="1" applyAlignment="1">
      <alignment vertical="center" shrinkToFit="1"/>
    </xf>
    <xf numFmtId="0" fontId="31" fillId="4" borderId="23" xfId="1" applyFont="1" applyFill="1" applyBorder="1" applyAlignment="1">
      <alignment vertical="center" shrinkToFit="1"/>
    </xf>
    <xf numFmtId="0" fontId="31" fillId="4" borderId="6" xfId="1" applyFont="1" applyFill="1" applyBorder="1" applyAlignment="1">
      <alignment vertical="center" shrinkToFit="1"/>
    </xf>
    <xf numFmtId="0" fontId="14" fillId="6" borderId="13" xfId="1" applyFont="1" applyFill="1" applyBorder="1" applyAlignment="1">
      <alignment horizontal="center" vertical="center"/>
    </xf>
    <xf numFmtId="0" fontId="22" fillId="3" borderId="26" xfId="1" applyFont="1" applyFill="1" applyBorder="1">
      <alignment vertical="center"/>
    </xf>
    <xf numFmtId="0" fontId="22" fillId="4" borderId="32" xfId="1" applyFont="1" applyFill="1" applyBorder="1" applyAlignment="1">
      <alignment horizontal="center" vertical="center" wrapText="1" shrinkToFit="1"/>
    </xf>
    <xf numFmtId="0" fontId="22" fillId="4" borderId="31" xfId="1" applyFont="1" applyFill="1" applyBorder="1" applyAlignment="1">
      <alignment horizontal="center" vertical="center" wrapText="1" shrinkToFit="1"/>
    </xf>
    <xf numFmtId="0" fontId="22" fillId="3" borderId="5" xfId="1" applyFont="1" applyFill="1" applyBorder="1" applyAlignment="1">
      <alignment horizontal="center" vertical="center" shrinkToFit="1"/>
    </xf>
    <xf numFmtId="0" fontId="22" fillId="0" borderId="6" xfId="1" applyFont="1" applyBorder="1" applyAlignment="1">
      <alignment horizontal="left" vertical="center" shrinkToFit="1"/>
    </xf>
    <xf numFmtId="0" fontId="22" fillId="3" borderId="34" xfId="1" applyFont="1" applyFill="1" applyBorder="1" applyAlignment="1">
      <alignment horizontal="center" vertical="center" wrapText="1" shrinkToFit="1"/>
    </xf>
    <xf numFmtId="0" fontId="14" fillId="3" borderId="12" xfId="1" applyFont="1" applyFill="1" applyBorder="1" applyAlignment="1">
      <alignment horizontal="center" vertical="center" shrinkToFit="1"/>
    </xf>
    <xf numFmtId="0" fontId="20" fillId="0" borderId="2" xfId="1" applyFont="1" applyBorder="1" applyAlignment="1">
      <alignment horizontal="center" vertical="center" shrinkToFit="1"/>
    </xf>
    <xf numFmtId="0" fontId="20" fillId="0" borderId="4" xfId="1" applyFont="1" applyBorder="1" applyAlignment="1">
      <alignment horizontal="center" vertical="center" shrinkToFit="1"/>
    </xf>
    <xf numFmtId="0" fontId="20" fillId="0" borderId="3" xfId="1" applyFont="1" applyBorder="1" applyAlignment="1">
      <alignment horizontal="center" vertical="center" shrinkToFit="1"/>
    </xf>
    <xf numFmtId="0" fontId="20" fillId="0" borderId="7" xfId="1" applyFont="1" applyBorder="1" applyAlignment="1">
      <alignment horizontal="center" vertical="center" shrinkToFit="1"/>
    </xf>
    <xf numFmtId="0" fontId="20" fillId="0" borderId="9" xfId="1" applyFont="1" applyBorder="1" applyAlignment="1">
      <alignment horizontal="center" vertical="center" shrinkToFit="1"/>
    </xf>
    <xf numFmtId="0" fontId="20" fillId="0" borderId="8" xfId="1" applyFont="1" applyBorder="1" applyAlignment="1">
      <alignment horizontal="center" vertical="center" shrinkToFit="1"/>
    </xf>
    <xf numFmtId="0" fontId="14" fillId="5" borderId="23" xfId="1" applyFont="1" applyFill="1" applyBorder="1" applyAlignment="1">
      <alignment horizontal="center" vertical="center"/>
    </xf>
    <xf numFmtId="0" fontId="20" fillId="0" borderId="6" xfId="1" applyFont="1" applyBorder="1" applyAlignment="1">
      <alignment horizontal="center" vertical="center" shrinkToFit="1"/>
    </xf>
    <xf numFmtId="0" fontId="20" fillId="0" borderId="24" xfId="1" applyFont="1" applyBorder="1" applyAlignment="1">
      <alignment horizontal="center" vertical="center" shrinkToFit="1"/>
    </xf>
    <xf numFmtId="0" fontId="20" fillId="0" borderId="0" xfId="1" applyFont="1" applyAlignment="1">
      <alignment horizontal="center" vertical="center" shrinkToFit="1"/>
    </xf>
    <xf numFmtId="0" fontId="20" fillId="0" borderId="25" xfId="1" applyFont="1" applyBorder="1" applyAlignment="1">
      <alignment horizontal="center" vertical="center" shrinkToFit="1"/>
    </xf>
    <xf numFmtId="0" fontId="20" fillId="0" borderId="35" xfId="1" applyFont="1" applyBorder="1" applyAlignment="1">
      <alignment horizontal="center" vertical="center" shrinkToFit="1"/>
    </xf>
    <xf numFmtId="0" fontId="20" fillId="0" borderId="36" xfId="1" applyFont="1" applyBorder="1" applyAlignment="1">
      <alignment horizontal="center" vertical="center" shrinkToFit="1"/>
    </xf>
    <xf numFmtId="0" fontId="20" fillId="0" borderId="37" xfId="1" applyFont="1" applyBorder="1" applyAlignment="1">
      <alignment horizontal="center" vertical="center" shrinkToFit="1"/>
    </xf>
    <xf numFmtId="0" fontId="14" fillId="5" borderId="17" xfId="1" applyFont="1" applyFill="1" applyBorder="1" applyAlignment="1">
      <alignment horizontal="center" vertical="center"/>
    </xf>
    <xf numFmtId="0" fontId="20" fillId="0" borderId="21" xfId="1" applyFont="1" applyBorder="1" applyAlignment="1">
      <alignment horizontal="center" vertical="center" shrinkToFit="1"/>
    </xf>
    <xf numFmtId="0" fontId="20" fillId="0" borderId="30" xfId="1" applyFont="1" applyBorder="1" applyAlignment="1">
      <alignment horizontal="center" vertical="center" shrinkToFit="1"/>
    </xf>
    <xf numFmtId="0" fontId="20" fillId="0" borderId="22" xfId="1" applyFont="1" applyBorder="1" applyAlignment="1">
      <alignment horizontal="center" vertical="center" shrinkToFit="1"/>
    </xf>
    <xf numFmtId="0" fontId="14" fillId="5" borderId="26" xfId="1" applyFont="1" applyFill="1" applyBorder="1" applyAlignment="1">
      <alignment horizontal="center" vertical="center"/>
    </xf>
    <xf numFmtId="0" fontId="14" fillId="3" borderId="35" xfId="1" applyFont="1" applyFill="1" applyBorder="1" applyAlignment="1">
      <alignment horizontal="center" vertical="center" shrinkToFit="1"/>
    </xf>
    <xf numFmtId="0" fontId="14" fillId="3" borderId="37" xfId="1" applyFont="1" applyFill="1" applyBorder="1" applyAlignment="1">
      <alignment horizontal="center" vertical="center" shrinkToFit="1"/>
    </xf>
    <xf numFmtId="0" fontId="14" fillId="3" borderId="26" xfId="1" applyFont="1" applyFill="1" applyBorder="1" applyAlignment="1">
      <alignment horizontal="left" vertical="center" shrinkToFit="1"/>
    </xf>
    <xf numFmtId="0" fontId="20" fillId="0" borderId="5" xfId="1" applyFont="1" applyBorder="1" applyAlignment="1">
      <alignment horizontal="center" vertical="center" shrinkToFit="1"/>
    </xf>
    <xf numFmtId="0" fontId="24" fillId="0" borderId="12" xfId="1" applyFont="1" applyBorder="1" applyAlignment="1">
      <alignment horizontal="center" vertical="center"/>
    </xf>
    <xf numFmtId="0" fontId="20" fillId="0" borderId="10" xfId="1" applyFont="1" applyBorder="1" applyAlignment="1">
      <alignment horizontal="center" vertical="center" shrinkToFit="1"/>
    </xf>
    <xf numFmtId="0" fontId="20" fillId="0" borderId="12" xfId="1" applyFont="1" applyBorder="1" applyAlignment="1">
      <alignment horizontal="center" vertical="center" shrinkToFit="1"/>
    </xf>
    <xf numFmtId="0" fontId="20" fillId="0" borderId="11" xfId="1" applyFont="1" applyBorder="1" applyAlignment="1">
      <alignment horizontal="center" vertical="center" shrinkToFit="1"/>
    </xf>
    <xf numFmtId="0" fontId="20" fillId="0" borderId="26" xfId="1" applyFont="1" applyBorder="1" applyAlignment="1">
      <alignment horizontal="center" vertical="center" shrinkToFit="1"/>
    </xf>
    <xf numFmtId="0" fontId="24" fillId="0" borderId="5" xfId="1" applyFont="1" applyBorder="1" applyAlignment="1">
      <alignment horizontal="center" vertical="center"/>
    </xf>
  </cellXfs>
  <cellStyles count="14">
    <cellStyle name="ハイパーリンク" xfId="7" builtinId="8"/>
    <cellStyle name="桁区切り" xfId="13" builtinId="6"/>
    <cellStyle name="桁区切り 2" xfId="2" xr:uid="{A7BC7259-722D-4B1F-9D71-54DFC2BAFD06}"/>
    <cellStyle name="標準" xfId="0" builtinId="0"/>
    <cellStyle name="標準 2" xfId="1" xr:uid="{D08CA2D1-B0F5-4147-B5E2-1B862FA29AAD}"/>
    <cellStyle name="標準 3" xfId="3" xr:uid="{2153F4A9-3165-4122-8E60-7840ADA8B83A}"/>
    <cellStyle name="標準 3 2" xfId="4" xr:uid="{DA7EF715-94A8-406C-86D3-F14ECBDE1FD9}"/>
    <cellStyle name="標準 3 3" xfId="5" xr:uid="{F5EB58B1-1A4A-46A8-A947-66BA1B86302F}"/>
    <cellStyle name="標準 3 3 2" xfId="6" xr:uid="{92D90EFC-48A2-4889-B613-CB4F08527B94}"/>
    <cellStyle name="標準 3 3 2 2" xfId="12" xr:uid="{B94C42EF-C817-4246-8CB7-74306ACED491}"/>
    <cellStyle name="標準 3 3 3" xfId="8" xr:uid="{72764C00-2C38-4453-852A-058216468BAB}"/>
    <cellStyle name="標準 3 3 4" xfId="9" xr:uid="{D7F93D89-915D-4150-A671-CE7267FC7826}"/>
    <cellStyle name="標準 3 3 4 2" xfId="10" xr:uid="{AFA569CE-047B-4C36-8D49-286B8BD87643}"/>
    <cellStyle name="標準 3 4" xfId="11" xr:uid="{52A48AFF-48F9-46BF-9E51-81D41389A5A4}"/>
  </cellStyles>
  <dxfs count="0"/>
  <tableStyles count="0" defaultTableStyle="TableStyleMedium2" defaultPivotStyle="PivotStyleLight16"/>
  <colors>
    <mruColors>
      <color rgb="FF99CCFF"/>
      <color rgb="FF33A2FD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emf"/><Relationship Id="rId1" Type="http://schemas.openxmlformats.org/officeDocument/2006/relationships/image" Target="../media/image31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4" Type="http://schemas.openxmlformats.org/officeDocument/2006/relationships/image" Target="../media/image8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8.emf"/><Relationship Id="rId1" Type="http://schemas.openxmlformats.org/officeDocument/2006/relationships/image" Target="../media/image17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0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2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4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6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8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8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0.emf"/></Relationships>
</file>

<file path=xl/drawings/_rels/vmlDrawing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34.emf"/><Relationship Id="rId1" Type="http://schemas.openxmlformats.org/officeDocument/2006/relationships/image" Target="../media/image33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6.emf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8.e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0.emf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2.emf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1569720</xdr:colOff>
          <xdr:row>33</xdr:row>
          <xdr:rowOff>68580</xdr:rowOff>
        </xdr:from>
        <xdr:to>
          <xdr:col>20</xdr:col>
          <xdr:colOff>327660</xdr:colOff>
          <xdr:row>37</xdr:row>
          <xdr:rowOff>7620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32BA25E2-7B70-AE8E-9FD1-9CD6AAAF7DF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149:$AF$152" spid="_x0000_s9293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183880" y="7955280"/>
              <a:ext cx="4274820" cy="85344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1607820</xdr:colOff>
          <xdr:row>70</xdr:row>
          <xdr:rowOff>30480</xdr:rowOff>
        </xdr:from>
        <xdr:to>
          <xdr:col>20</xdr:col>
          <xdr:colOff>289560</xdr:colOff>
          <xdr:row>73</xdr:row>
          <xdr:rowOff>212271</xdr:rowOff>
        </xdr:to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88764989-B612-42DC-A8B4-1F1E87A71DB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156:$AF$159" spid="_x0000_s9293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215449" y="16718280"/>
              <a:ext cx="4232365" cy="86759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1584960</xdr:colOff>
          <xdr:row>107</xdr:row>
          <xdr:rowOff>0</xdr:rowOff>
        </xdr:from>
        <xdr:to>
          <xdr:col>20</xdr:col>
          <xdr:colOff>335280</xdr:colOff>
          <xdr:row>110</xdr:row>
          <xdr:rowOff>220980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A08320A6-C19A-E6EB-6E20-E70ECACE6FE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163:$AF$166" spid="_x0000_s92937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8199120" y="25488900"/>
              <a:ext cx="4282440" cy="9067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1554480</xdr:colOff>
          <xdr:row>144</xdr:row>
          <xdr:rowOff>38100</xdr:rowOff>
        </xdr:from>
        <xdr:to>
          <xdr:col>20</xdr:col>
          <xdr:colOff>358140</xdr:colOff>
          <xdr:row>147</xdr:row>
          <xdr:rowOff>220980</xdr:rowOff>
        </xdr:to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1100F462-7D4F-C426-1C4F-ADD2B9CF14F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170:$AF$173" spid="_x0000_s92938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168640" y="34328100"/>
              <a:ext cx="4305300" cy="8686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1584960</xdr:colOff>
          <xdr:row>181</xdr:row>
          <xdr:rowOff>30480</xdr:rowOff>
        </xdr:from>
        <xdr:ext cx="4244340" cy="922020"/>
        <xdr:pic>
          <xdr:nvPicPr>
            <xdr:cNvPr id="6" name="図 5">
              <a:extLst>
                <a:ext uri="{FF2B5EF4-FFF2-40B4-BE49-F238E27FC236}">
                  <a16:creationId xmlns:a16="http://schemas.microsoft.com/office/drawing/2014/main" id="{C0E8306A-CDE5-4A5E-B61E-9EEB4330835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156:$AF$159" spid="_x0000_s9293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199120" y="43121580"/>
              <a:ext cx="4244340" cy="9220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xdr:twoCellAnchor>
    <xdr:from>
      <xdr:col>3</xdr:col>
      <xdr:colOff>556260</xdr:colOff>
      <xdr:row>45</xdr:row>
      <xdr:rowOff>30480</xdr:rowOff>
    </xdr:from>
    <xdr:to>
      <xdr:col>10</xdr:col>
      <xdr:colOff>2179320</xdr:colOff>
      <xdr:row>66</xdr:row>
      <xdr:rowOff>30480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D62157E-7C53-40F5-E2C2-75D37E13B414}"/>
            </a:ext>
          </a:extLst>
        </xdr:cNvPr>
        <xdr:cNvSpPr/>
      </xdr:nvSpPr>
      <xdr:spPr>
        <a:xfrm>
          <a:off x="2148840" y="10546080"/>
          <a:ext cx="6644640" cy="52578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5400" kern="1200">
              <a:solidFill>
                <a:srgbClr val="FF0000"/>
              </a:solidFill>
            </a:rPr>
            <a:t>レイアウト変更の為使用停止</a:t>
          </a:r>
          <a:endParaRPr kumimoji="1" lang="en-US" altLang="ja-JP" sz="5400" kern="1200">
            <a:solidFill>
              <a:srgbClr val="FF0000"/>
            </a:solidFill>
          </a:endParaRPr>
        </a:p>
        <a:p>
          <a:pPr algn="l"/>
          <a:endParaRPr kumimoji="1" lang="ja-JP" altLang="en-US" sz="6000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213360</xdr:colOff>
      <xdr:row>148</xdr:row>
      <xdr:rowOff>205740</xdr:rowOff>
    </xdr:from>
    <xdr:to>
      <xdr:col>1</xdr:col>
      <xdr:colOff>541020</xdr:colOff>
      <xdr:row>150</xdr:row>
      <xdr:rowOff>30480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4A23619E-2074-F4D9-661A-9CEDF645080F}"/>
            </a:ext>
          </a:extLst>
        </xdr:cNvPr>
        <xdr:cNvSpPr/>
      </xdr:nvSpPr>
      <xdr:spPr>
        <a:xfrm>
          <a:off x="647700" y="35410140"/>
          <a:ext cx="327660" cy="281940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0</xdr:col>
      <xdr:colOff>281940</xdr:colOff>
      <xdr:row>0</xdr:row>
      <xdr:rowOff>205740</xdr:rowOff>
    </xdr:from>
    <xdr:to>
      <xdr:col>1</xdr:col>
      <xdr:colOff>160020</xdr:colOff>
      <xdr:row>2</xdr:row>
      <xdr:rowOff>30480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213017B3-D007-5DC9-EA42-4B3199659251}"/>
            </a:ext>
          </a:extLst>
        </xdr:cNvPr>
        <xdr:cNvSpPr/>
      </xdr:nvSpPr>
      <xdr:spPr>
        <a:xfrm>
          <a:off x="281940" y="205740"/>
          <a:ext cx="312420" cy="281940"/>
        </a:xfrm>
        <a:prstGeom prst="ellipse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7620</xdr:colOff>
      <xdr:row>29</xdr:row>
      <xdr:rowOff>38100</xdr:rowOff>
    </xdr:from>
    <xdr:to>
      <xdr:col>9</xdr:col>
      <xdr:colOff>205740</xdr:colOff>
      <xdr:row>29</xdr:row>
      <xdr:rowOff>220980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3CE3891C-443B-E7F8-7D11-D81F448F9C5D}"/>
            </a:ext>
          </a:extLst>
        </xdr:cNvPr>
        <xdr:cNvSpPr/>
      </xdr:nvSpPr>
      <xdr:spPr>
        <a:xfrm>
          <a:off x="4533900" y="6705600"/>
          <a:ext cx="198120" cy="18288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7620</xdr:colOff>
      <xdr:row>25</xdr:row>
      <xdr:rowOff>114300</xdr:rowOff>
    </xdr:from>
    <xdr:to>
      <xdr:col>10</xdr:col>
      <xdr:colOff>190500</xdr:colOff>
      <xdr:row>26</xdr:row>
      <xdr:rowOff>53340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02A2C7A6-2D6E-42E6-8DC4-0B52E26A8422}"/>
            </a:ext>
          </a:extLst>
        </xdr:cNvPr>
        <xdr:cNvSpPr/>
      </xdr:nvSpPr>
      <xdr:spPr>
        <a:xfrm>
          <a:off x="6621780" y="5867400"/>
          <a:ext cx="182880" cy="16764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7620</xdr:colOff>
      <xdr:row>101</xdr:row>
      <xdr:rowOff>30480</xdr:rowOff>
    </xdr:from>
    <xdr:to>
      <xdr:col>9</xdr:col>
      <xdr:colOff>205740</xdr:colOff>
      <xdr:row>101</xdr:row>
      <xdr:rowOff>213360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DBBF0B56-100B-4735-ACA6-AF95B2C2411F}"/>
            </a:ext>
          </a:extLst>
        </xdr:cNvPr>
        <xdr:cNvSpPr/>
      </xdr:nvSpPr>
      <xdr:spPr>
        <a:xfrm>
          <a:off x="4533900" y="23995380"/>
          <a:ext cx="198120" cy="18288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104</xdr:row>
      <xdr:rowOff>129540</xdr:rowOff>
    </xdr:from>
    <xdr:to>
      <xdr:col>10</xdr:col>
      <xdr:colOff>182880</xdr:colOff>
      <xdr:row>105</xdr:row>
      <xdr:rowOff>68580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E4E406AD-0C8D-4682-BAEA-EF9B590255F8}"/>
            </a:ext>
          </a:extLst>
        </xdr:cNvPr>
        <xdr:cNvSpPr/>
      </xdr:nvSpPr>
      <xdr:spPr>
        <a:xfrm>
          <a:off x="6614160" y="24932640"/>
          <a:ext cx="182880" cy="16764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7620</xdr:colOff>
      <xdr:row>141</xdr:row>
      <xdr:rowOff>114300</xdr:rowOff>
    </xdr:from>
    <xdr:to>
      <xdr:col>10</xdr:col>
      <xdr:colOff>190500</xdr:colOff>
      <xdr:row>142</xdr:row>
      <xdr:rowOff>53340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194636E8-D70F-4DF1-8AB9-559ECD63E19E}"/>
            </a:ext>
          </a:extLst>
        </xdr:cNvPr>
        <xdr:cNvSpPr/>
      </xdr:nvSpPr>
      <xdr:spPr>
        <a:xfrm>
          <a:off x="6621780" y="33718500"/>
          <a:ext cx="182880" cy="16764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7620</xdr:colOff>
      <xdr:row>178</xdr:row>
      <xdr:rowOff>114300</xdr:rowOff>
    </xdr:from>
    <xdr:to>
      <xdr:col>10</xdr:col>
      <xdr:colOff>190500</xdr:colOff>
      <xdr:row>179</xdr:row>
      <xdr:rowOff>53340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3D782552-5703-48F7-80D0-2D98F2F2C6B0}"/>
            </a:ext>
          </a:extLst>
        </xdr:cNvPr>
        <xdr:cNvSpPr/>
      </xdr:nvSpPr>
      <xdr:spPr>
        <a:xfrm>
          <a:off x="6621780" y="42519600"/>
          <a:ext cx="182880" cy="16764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138</xdr:row>
      <xdr:rowOff>38100</xdr:rowOff>
    </xdr:from>
    <xdr:to>
      <xdr:col>9</xdr:col>
      <xdr:colOff>198120</xdr:colOff>
      <xdr:row>138</xdr:row>
      <xdr:rowOff>220980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CD995A86-B0ED-4904-BB7F-5BBCCC1E5FCE}"/>
            </a:ext>
          </a:extLst>
        </xdr:cNvPr>
        <xdr:cNvSpPr/>
      </xdr:nvSpPr>
      <xdr:spPr>
        <a:xfrm>
          <a:off x="4526280" y="32804100"/>
          <a:ext cx="198120" cy="18288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289560</xdr:colOff>
      <xdr:row>175</xdr:row>
      <xdr:rowOff>45720</xdr:rowOff>
    </xdr:from>
    <xdr:to>
      <xdr:col>9</xdr:col>
      <xdr:colOff>190500</xdr:colOff>
      <xdr:row>175</xdr:row>
      <xdr:rowOff>228600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57333E9C-1E71-4527-8DDE-B9C384A36A0A}"/>
            </a:ext>
          </a:extLst>
        </xdr:cNvPr>
        <xdr:cNvSpPr/>
      </xdr:nvSpPr>
      <xdr:spPr>
        <a:xfrm>
          <a:off x="4518660" y="41612820"/>
          <a:ext cx="198120" cy="18288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1129553</xdr:colOff>
          <xdr:row>35</xdr:row>
          <xdr:rowOff>26895</xdr:rowOff>
        </xdr:from>
        <xdr:to>
          <xdr:col>18</xdr:col>
          <xdr:colOff>8965</xdr:colOff>
          <xdr:row>38</xdr:row>
          <xdr:rowOff>2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6E30A3A5-8691-CACA-86D6-F2AC1AF385E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40:$AF$43" spid="_x0000_s1488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220635" y="8839201"/>
              <a:ext cx="4840942" cy="67235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1120589</xdr:colOff>
          <xdr:row>73</xdr:row>
          <xdr:rowOff>0</xdr:rowOff>
        </xdr:from>
        <xdr:ext cx="4840942" cy="717179"/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07805DBE-8FD4-4CEF-A0EC-DB9100DFF8B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40:$AF$43" spid="_x0000_s1488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211671" y="18279035"/>
              <a:ext cx="4840942" cy="71717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xdr:twoCellAnchor>
    <xdr:from>
      <xdr:col>9</xdr:col>
      <xdr:colOff>510987</xdr:colOff>
      <xdr:row>68</xdr:row>
      <xdr:rowOff>107577</xdr:rowOff>
    </xdr:from>
    <xdr:to>
      <xdr:col>9</xdr:col>
      <xdr:colOff>708987</xdr:colOff>
      <xdr:row>68</xdr:row>
      <xdr:rowOff>305577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CB04182A-38FF-B7BC-6F81-17CB8E7B94F2}"/>
            </a:ext>
          </a:extLst>
        </xdr:cNvPr>
        <xdr:cNvSpPr/>
      </xdr:nvSpPr>
      <xdr:spPr>
        <a:xfrm>
          <a:off x="5262281" y="16970189"/>
          <a:ext cx="198000" cy="1980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1138517</xdr:colOff>
      <xdr:row>66</xdr:row>
      <xdr:rowOff>26895</xdr:rowOff>
    </xdr:from>
    <xdr:to>
      <xdr:col>9</xdr:col>
      <xdr:colOff>1336517</xdr:colOff>
      <xdr:row>66</xdr:row>
      <xdr:rowOff>224895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4EB0F0E1-494A-4241-B718-D66884C6FA8D}"/>
            </a:ext>
          </a:extLst>
        </xdr:cNvPr>
        <xdr:cNvSpPr/>
      </xdr:nvSpPr>
      <xdr:spPr>
        <a:xfrm>
          <a:off x="5889811" y="16423342"/>
          <a:ext cx="198000" cy="1980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8964</xdr:colOff>
      <xdr:row>64</xdr:row>
      <xdr:rowOff>26894</xdr:rowOff>
    </xdr:from>
    <xdr:to>
      <xdr:col>9</xdr:col>
      <xdr:colOff>206964</xdr:colOff>
      <xdr:row>64</xdr:row>
      <xdr:rowOff>224894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4F942075-3E8D-4BB1-9C3C-074182BC6E45}"/>
            </a:ext>
          </a:extLst>
        </xdr:cNvPr>
        <xdr:cNvSpPr/>
      </xdr:nvSpPr>
      <xdr:spPr>
        <a:xfrm>
          <a:off x="4760258" y="15804776"/>
          <a:ext cx="198000" cy="198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8965</xdr:colOff>
      <xdr:row>71</xdr:row>
      <xdr:rowOff>152399</xdr:rowOff>
    </xdr:from>
    <xdr:to>
      <xdr:col>9</xdr:col>
      <xdr:colOff>206965</xdr:colOff>
      <xdr:row>72</xdr:row>
      <xdr:rowOff>117317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8F7AF0D3-75EE-4B06-8C0A-AAAF4963FF18}"/>
            </a:ext>
          </a:extLst>
        </xdr:cNvPr>
        <xdr:cNvSpPr/>
      </xdr:nvSpPr>
      <xdr:spPr>
        <a:xfrm>
          <a:off x="4760259" y="18019058"/>
          <a:ext cx="198000" cy="1980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1264023</xdr:colOff>
      <xdr:row>69</xdr:row>
      <xdr:rowOff>80683</xdr:rowOff>
    </xdr:from>
    <xdr:to>
      <xdr:col>10</xdr:col>
      <xdr:colOff>1390023</xdr:colOff>
      <xdr:row>69</xdr:row>
      <xdr:rowOff>206683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33D6E544-E36E-4958-AD9F-77231A5173A2}"/>
            </a:ext>
          </a:extLst>
        </xdr:cNvPr>
        <xdr:cNvSpPr/>
      </xdr:nvSpPr>
      <xdr:spPr>
        <a:xfrm>
          <a:off x="8355105" y="17328777"/>
          <a:ext cx="126000" cy="126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510989</xdr:colOff>
      <xdr:row>57</xdr:row>
      <xdr:rowOff>107577</xdr:rowOff>
    </xdr:from>
    <xdr:to>
      <xdr:col>9</xdr:col>
      <xdr:colOff>708989</xdr:colOff>
      <xdr:row>57</xdr:row>
      <xdr:rowOff>305577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F83B28BF-18F5-4E33-AC31-3E61A846E03A}"/>
            </a:ext>
          </a:extLst>
        </xdr:cNvPr>
        <xdr:cNvSpPr/>
      </xdr:nvSpPr>
      <xdr:spPr>
        <a:xfrm>
          <a:off x="5262283" y="14101483"/>
          <a:ext cx="198000" cy="1980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268940</xdr:colOff>
      <xdr:row>15</xdr:row>
      <xdr:rowOff>197223</xdr:rowOff>
    </xdr:from>
    <xdr:to>
      <xdr:col>13</xdr:col>
      <xdr:colOff>134469</xdr:colOff>
      <xdr:row>28</xdr:row>
      <xdr:rowOff>62753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37FCE23D-39F3-0AE4-6E92-DA2F058A339E}"/>
            </a:ext>
          </a:extLst>
        </xdr:cNvPr>
        <xdr:cNvSpPr/>
      </xdr:nvSpPr>
      <xdr:spPr>
        <a:xfrm>
          <a:off x="3424516" y="3585882"/>
          <a:ext cx="7153835" cy="33528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4000">
              <a:solidFill>
                <a:sysClr val="windowText" lastClr="000000"/>
              </a:solidFill>
            </a:rPr>
            <a:t>測定番号変更の為</a:t>
          </a:r>
          <a:endParaRPr kumimoji="1" lang="en-US" altLang="ja-JP" sz="40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4000">
              <a:solidFill>
                <a:sysClr val="windowText" lastClr="000000"/>
              </a:solidFill>
            </a:rPr>
            <a:t>使用不可</a:t>
          </a:r>
        </a:p>
      </xdr:txBody>
    </xdr:sp>
    <xdr:clientData/>
  </xdr:twoCellAnchor>
  <xdr:twoCellAnchor>
    <xdr:from>
      <xdr:col>9</xdr:col>
      <xdr:colOff>8965</xdr:colOff>
      <xdr:row>69</xdr:row>
      <xdr:rowOff>116542</xdr:rowOff>
    </xdr:from>
    <xdr:to>
      <xdr:col>9</xdr:col>
      <xdr:colOff>206965</xdr:colOff>
      <xdr:row>69</xdr:row>
      <xdr:rowOff>314542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B842E6B1-F232-4105-AF43-E60532D72820}"/>
            </a:ext>
          </a:extLst>
        </xdr:cNvPr>
        <xdr:cNvSpPr/>
      </xdr:nvSpPr>
      <xdr:spPr>
        <a:xfrm>
          <a:off x="4760259" y="17364636"/>
          <a:ext cx="198000" cy="198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595352</xdr:colOff>
      <xdr:row>18</xdr:row>
      <xdr:rowOff>76602</xdr:rowOff>
    </xdr:from>
    <xdr:to>
      <xdr:col>22</xdr:col>
      <xdr:colOff>462002</xdr:colOff>
      <xdr:row>22</xdr:row>
      <xdr:rowOff>162327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35D957B-9465-A5B1-D1A6-DE48112F07F4}"/>
            </a:ext>
          </a:extLst>
        </xdr:cNvPr>
        <xdr:cNvSpPr/>
      </xdr:nvSpPr>
      <xdr:spPr>
        <a:xfrm>
          <a:off x="14786481" y="4469308"/>
          <a:ext cx="2556062" cy="1018054"/>
        </a:xfrm>
        <a:prstGeom prst="roundRect">
          <a:avLst>
            <a:gd name="adj" fmla="val 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NC</a:t>
          </a:r>
        </a:p>
        <a:p>
          <a:pPr algn="l"/>
          <a:endParaRPr kumimoji="1" lang="en-US" altLang="ja-JP" sz="20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925287</xdr:colOff>
          <xdr:row>34</xdr:row>
          <xdr:rowOff>21772</xdr:rowOff>
        </xdr:from>
        <xdr:to>
          <xdr:col>17</xdr:col>
          <xdr:colOff>838202</xdr:colOff>
          <xdr:row>38</xdr:row>
          <xdr:rowOff>7620</xdr:rowOff>
        </xdr:to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7BC6978B-359C-E447-0701-F02A0F441C7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83:$AF$87" spid="_x0000_s567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01" y="8784772"/>
              <a:ext cx="5834744" cy="94379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9</xdr:col>
      <xdr:colOff>197862</xdr:colOff>
      <xdr:row>50</xdr:row>
      <xdr:rowOff>145356</xdr:rowOff>
    </xdr:from>
    <xdr:to>
      <xdr:col>11</xdr:col>
      <xdr:colOff>108215</xdr:colOff>
      <xdr:row>61</xdr:row>
      <xdr:rowOff>560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73D1704E-B283-421F-B041-5BE07B010A0C}"/>
            </a:ext>
          </a:extLst>
        </xdr:cNvPr>
        <xdr:cNvSpPr/>
      </xdr:nvSpPr>
      <xdr:spPr>
        <a:xfrm>
          <a:off x="5314148" y="12620385"/>
          <a:ext cx="4591210" cy="2794346"/>
        </a:xfrm>
        <a:prstGeom prst="roundRect">
          <a:avLst>
            <a:gd name="adj" fmla="val 0"/>
          </a:avLst>
        </a:prstGeom>
        <a:ln w="28575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レイアウト等注意</a:t>
          </a:r>
          <a:endParaRPr kumimoji="1" lang="en-US" altLang="ja-JP" sz="2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/>
          <a:endParaRPr kumimoji="1" lang="en-US" altLang="ja-JP" sz="2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827316</xdr:colOff>
          <xdr:row>110</xdr:row>
          <xdr:rowOff>32658</xdr:rowOff>
        </xdr:from>
        <xdr:ext cx="5954484" cy="903514"/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4096226B-6DB2-4053-AAA5-AA5F1D5767D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83:$AF$87" spid="_x0000_s56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284030" y="28270201"/>
              <a:ext cx="5954484" cy="90351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xdr:twoCellAnchor>
    <xdr:from>
      <xdr:col>9</xdr:col>
      <xdr:colOff>0</xdr:colOff>
      <xdr:row>20</xdr:row>
      <xdr:rowOff>0</xdr:rowOff>
    </xdr:from>
    <xdr:to>
      <xdr:col>9</xdr:col>
      <xdr:colOff>180000</xdr:colOff>
      <xdr:row>20</xdr:row>
      <xdr:rowOff>180000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661D3BFC-38A5-4D06-8D55-71C956FB3332}"/>
            </a:ext>
          </a:extLst>
        </xdr:cNvPr>
        <xdr:cNvSpPr/>
      </xdr:nvSpPr>
      <xdr:spPr>
        <a:xfrm>
          <a:off x="5116286" y="4942114"/>
          <a:ext cx="180000" cy="180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511629</xdr:colOff>
      <xdr:row>14</xdr:row>
      <xdr:rowOff>21774</xdr:rowOff>
    </xdr:from>
    <xdr:to>
      <xdr:col>10</xdr:col>
      <xdr:colOff>2098382</xdr:colOff>
      <xdr:row>24</xdr:row>
      <xdr:rowOff>279747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28B3FC73-1439-45BC-80C8-52D2E0911216}"/>
            </a:ext>
          </a:extLst>
        </xdr:cNvPr>
        <xdr:cNvSpPr/>
      </xdr:nvSpPr>
      <xdr:spPr>
        <a:xfrm>
          <a:off x="4963886" y="3396345"/>
          <a:ext cx="4591210" cy="2794345"/>
        </a:xfrm>
        <a:prstGeom prst="roundRect">
          <a:avLst>
            <a:gd name="adj" fmla="val 0"/>
          </a:avLst>
        </a:prstGeom>
        <a:ln w="28575"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2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レイアウト・刃物等注意</a:t>
          </a:r>
          <a:endParaRPr kumimoji="1" lang="en-US" altLang="ja-JP" sz="2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/>
          <a:r>
            <a:rPr kumimoji="1" lang="ja-JP" altLang="en-US" sz="2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測定番号注意</a:t>
          </a:r>
          <a:endParaRPr kumimoji="1" lang="en-US" altLang="ja-JP" sz="2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twoCellAnchor>
    <xdr:from>
      <xdr:col>9</xdr:col>
      <xdr:colOff>500743</xdr:colOff>
      <xdr:row>91</xdr:row>
      <xdr:rowOff>87085</xdr:rowOff>
    </xdr:from>
    <xdr:to>
      <xdr:col>9</xdr:col>
      <xdr:colOff>716743</xdr:colOff>
      <xdr:row>91</xdr:row>
      <xdr:rowOff>303085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FCB24E9B-436F-2846-6A45-6C8FF1B0ED2C}"/>
            </a:ext>
          </a:extLst>
        </xdr:cNvPr>
        <xdr:cNvSpPr/>
      </xdr:nvSpPr>
      <xdr:spPr>
        <a:xfrm>
          <a:off x="5617029" y="23164799"/>
          <a:ext cx="216000" cy="2160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653143</xdr:colOff>
      <xdr:row>102</xdr:row>
      <xdr:rowOff>76200</xdr:rowOff>
    </xdr:from>
    <xdr:to>
      <xdr:col>9</xdr:col>
      <xdr:colOff>205114</xdr:colOff>
      <xdr:row>103</xdr:row>
      <xdr:rowOff>52714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6CB3DD5B-FC9D-4147-BB16-489C2C72F7B2}"/>
            </a:ext>
          </a:extLst>
        </xdr:cNvPr>
        <xdr:cNvSpPr/>
      </xdr:nvSpPr>
      <xdr:spPr>
        <a:xfrm>
          <a:off x="5105400" y="26245457"/>
          <a:ext cx="216000" cy="2160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1134675</xdr:colOff>
      <xdr:row>105</xdr:row>
      <xdr:rowOff>28816</xdr:rowOff>
    </xdr:from>
    <xdr:to>
      <xdr:col>9</xdr:col>
      <xdr:colOff>1350675</xdr:colOff>
      <xdr:row>106</xdr:row>
      <xdr:rowOff>11734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E251A106-EFC8-4416-9AFE-42453C918B48}"/>
            </a:ext>
          </a:extLst>
        </xdr:cNvPr>
        <xdr:cNvSpPr/>
      </xdr:nvSpPr>
      <xdr:spPr>
        <a:xfrm>
          <a:off x="6244557" y="26376087"/>
          <a:ext cx="216000" cy="2160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500742</xdr:colOff>
      <xdr:row>101</xdr:row>
      <xdr:rowOff>97972</xdr:rowOff>
    </xdr:from>
    <xdr:to>
      <xdr:col>9</xdr:col>
      <xdr:colOff>716742</xdr:colOff>
      <xdr:row>101</xdr:row>
      <xdr:rowOff>313972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4B4ECAAA-AB12-4857-961C-B2A7CFFB4FF4}"/>
            </a:ext>
          </a:extLst>
        </xdr:cNvPr>
        <xdr:cNvSpPr/>
      </xdr:nvSpPr>
      <xdr:spPr>
        <a:xfrm>
          <a:off x="5617028" y="25875343"/>
          <a:ext cx="216000" cy="2160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653142</xdr:colOff>
      <xdr:row>100</xdr:row>
      <xdr:rowOff>97971</xdr:rowOff>
    </xdr:from>
    <xdr:to>
      <xdr:col>9</xdr:col>
      <xdr:colOff>205113</xdr:colOff>
      <xdr:row>100</xdr:row>
      <xdr:rowOff>313971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98C13D14-D0F6-4633-88F0-56429A52E2EB}"/>
            </a:ext>
          </a:extLst>
        </xdr:cNvPr>
        <xdr:cNvSpPr/>
      </xdr:nvSpPr>
      <xdr:spPr>
        <a:xfrm>
          <a:off x="5105399" y="25483457"/>
          <a:ext cx="216000" cy="216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653142</xdr:colOff>
      <xdr:row>109</xdr:row>
      <xdr:rowOff>1</xdr:rowOff>
    </xdr:from>
    <xdr:to>
      <xdr:col>9</xdr:col>
      <xdr:colOff>205113</xdr:colOff>
      <xdr:row>109</xdr:row>
      <xdr:rowOff>216001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DB206473-1510-44E6-81D7-464B87B10FFC}"/>
            </a:ext>
          </a:extLst>
        </xdr:cNvPr>
        <xdr:cNvSpPr/>
      </xdr:nvSpPr>
      <xdr:spPr>
        <a:xfrm>
          <a:off x="5105399" y="27845658"/>
          <a:ext cx="216000" cy="216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1306286</xdr:colOff>
      <xdr:row>100</xdr:row>
      <xdr:rowOff>65314</xdr:rowOff>
    </xdr:from>
    <xdr:to>
      <xdr:col>10</xdr:col>
      <xdr:colOff>1468286</xdr:colOff>
      <xdr:row>100</xdr:row>
      <xdr:rowOff>227314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EE4DD8C5-E4F0-41C0-A5C8-148372D1156A}"/>
            </a:ext>
          </a:extLst>
        </xdr:cNvPr>
        <xdr:cNvSpPr/>
      </xdr:nvSpPr>
      <xdr:spPr>
        <a:xfrm>
          <a:off x="8763000" y="25450800"/>
          <a:ext cx="162000" cy="162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577423</xdr:colOff>
      <xdr:row>20</xdr:row>
      <xdr:rowOff>85566</xdr:rowOff>
    </xdr:from>
    <xdr:to>
      <xdr:col>22</xdr:col>
      <xdr:colOff>444073</xdr:colOff>
      <xdr:row>24</xdr:row>
      <xdr:rowOff>171291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A802A6A4-E7D1-4CC0-A592-8F6BABE9DF2E}"/>
            </a:ext>
          </a:extLst>
        </xdr:cNvPr>
        <xdr:cNvSpPr/>
      </xdr:nvSpPr>
      <xdr:spPr>
        <a:xfrm>
          <a:off x="14768552" y="4711354"/>
          <a:ext cx="2556062" cy="946337"/>
        </a:xfrm>
        <a:prstGeom prst="roundRect">
          <a:avLst>
            <a:gd name="adj" fmla="val 0"/>
          </a:avLst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32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NC88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925287</xdr:colOff>
          <xdr:row>38</xdr:row>
          <xdr:rowOff>54429</xdr:rowOff>
        </xdr:from>
        <xdr:to>
          <xdr:col>17</xdr:col>
          <xdr:colOff>788894</xdr:colOff>
          <xdr:row>41</xdr:row>
          <xdr:rowOff>224118</xdr:rowOff>
        </xdr:to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A06B36F4-DFE0-4F18-917A-7EF7D6E430B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48:$AF$52" spid="_x0000_s6879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74958" y="8893629"/>
              <a:ext cx="5762383" cy="92272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9</xdr:col>
      <xdr:colOff>430306</xdr:colOff>
      <xdr:row>15</xdr:row>
      <xdr:rowOff>35858</xdr:rowOff>
    </xdr:from>
    <xdr:ext cx="364202" cy="39280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ABD418A-EE4F-384D-7BA0-0F825838702B}"/>
            </a:ext>
          </a:extLst>
        </xdr:cNvPr>
        <xdr:cNvSpPr txBox="1"/>
      </xdr:nvSpPr>
      <xdr:spPr>
        <a:xfrm>
          <a:off x="5540188" y="3415552"/>
          <a:ext cx="364202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/>
            <a:t>○</a:t>
          </a:r>
        </a:p>
      </xdr:txBody>
    </xdr:sp>
    <xdr:clientData/>
  </xdr:oneCellAnchor>
  <xdr:oneCellAnchor>
    <xdr:from>
      <xdr:col>9</xdr:col>
      <xdr:colOff>430306</xdr:colOff>
      <xdr:row>25</xdr:row>
      <xdr:rowOff>35858</xdr:rowOff>
    </xdr:from>
    <xdr:ext cx="364202" cy="39280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6DD3E1D-739F-4891-B032-943CBC7BE24F}"/>
            </a:ext>
          </a:extLst>
        </xdr:cNvPr>
        <xdr:cNvSpPr txBox="1"/>
      </xdr:nvSpPr>
      <xdr:spPr>
        <a:xfrm>
          <a:off x="5540188" y="3415552"/>
          <a:ext cx="364202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/>
            <a:t>○</a:t>
          </a:r>
        </a:p>
      </xdr:txBody>
    </xdr:sp>
    <xdr:clientData/>
  </xdr:oneCellAnchor>
  <xdr:oneCellAnchor>
    <xdr:from>
      <xdr:col>8</xdr:col>
      <xdr:colOff>573741</xdr:colOff>
      <xdr:row>24</xdr:row>
      <xdr:rowOff>35859</xdr:rowOff>
    </xdr:from>
    <xdr:ext cx="364202" cy="39280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FA63B44-9DCF-4098-9C8C-4EC571A8AD67}"/>
            </a:ext>
          </a:extLst>
        </xdr:cNvPr>
        <xdr:cNvSpPr txBox="1"/>
      </xdr:nvSpPr>
      <xdr:spPr>
        <a:xfrm>
          <a:off x="5020235" y="5522259"/>
          <a:ext cx="364202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>
              <a:solidFill>
                <a:srgbClr val="FF0000"/>
              </a:solidFill>
            </a:rPr>
            <a:t>○</a:t>
          </a:r>
        </a:p>
      </xdr:txBody>
    </xdr:sp>
    <xdr:clientData/>
  </xdr:oneCellAnchor>
  <xdr:oneCellAnchor>
    <xdr:from>
      <xdr:col>10</xdr:col>
      <xdr:colOff>1237132</xdr:colOff>
      <xdr:row>23</xdr:row>
      <xdr:rowOff>188260</xdr:rowOff>
    </xdr:from>
    <xdr:ext cx="338554" cy="349776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877A63F9-7BC8-44CB-A787-852FF7ACB904}"/>
            </a:ext>
          </a:extLst>
        </xdr:cNvPr>
        <xdr:cNvSpPr txBox="1"/>
      </xdr:nvSpPr>
      <xdr:spPr>
        <a:xfrm>
          <a:off x="8686803" y="5459507"/>
          <a:ext cx="338554" cy="3497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>
              <a:solidFill>
                <a:srgbClr val="FF0000"/>
              </a:solidFill>
            </a:rPr>
            <a:t>○</a:t>
          </a:r>
        </a:p>
      </xdr:txBody>
    </xdr:sp>
    <xdr:clientData/>
  </xdr:oneCellAnchor>
  <xdr:oneCellAnchor>
    <xdr:from>
      <xdr:col>8</xdr:col>
      <xdr:colOff>564776</xdr:colOff>
      <xdr:row>25</xdr:row>
      <xdr:rowOff>376518</xdr:rowOff>
    </xdr:from>
    <xdr:ext cx="364202" cy="39280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7ADADFE1-16A7-4590-B0C1-F9485FF4A5CC}"/>
            </a:ext>
          </a:extLst>
        </xdr:cNvPr>
        <xdr:cNvSpPr txBox="1"/>
      </xdr:nvSpPr>
      <xdr:spPr>
        <a:xfrm>
          <a:off x="5011270" y="6248400"/>
          <a:ext cx="364202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/>
            <a:t>○</a:t>
          </a:r>
        </a:p>
      </xdr:txBody>
    </xdr:sp>
    <xdr:clientData/>
  </xdr:oneCellAnchor>
  <xdr:oneCellAnchor>
    <xdr:from>
      <xdr:col>9</xdr:col>
      <xdr:colOff>1066800</xdr:colOff>
      <xdr:row>28</xdr:row>
      <xdr:rowOff>170330</xdr:rowOff>
    </xdr:from>
    <xdr:ext cx="364202" cy="39280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902122BB-D58D-4EF2-93AE-C22FBA6628B5}"/>
            </a:ext>
          </a:extLst>
        </xdr:cNvPr>
        <xdr:cNvSpPr txBox="1"/>
      </xdr:nvSpPr>
      <xdr:spPr>
        <a:xfrm>
          <a:off x="6176682" y="6858001"/>
          <a:ext cx="364202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/>
            <a:t>○</a:t>
          </a:r>
        </a:p>
      </xdr:txBody>
    </xdr:sp>
    <xdr:clientData/>
  </xdr:oneCellAnchor>
  <xdr:oneCellAnchor>
    <xdr:from>
      <xdr:col>8</xdr:col>
      <xdr:colOff>573741</xdr:colOff>
      <xdr:row>34</xdr:row>
      <xdr:rowOff>179294</xdr:rowOff>
    </xdr:from>
    <xdr:ext cx="364202" cy="39280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5E55411B-E327-4302-BEAF-E508C4F7A977}"/>
            </a:ext>
          </a:extLst>
        </xdr:cNvPr>
        <xdr:cNvSpPr txBox="1"/>
      </xdr:nvSpPr>
      <xdr:spPr>
        <a:xfrm>
          <a:off x="5020235" y="8157882"/>
          <a:ext cx="364202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400">
              <a:solidFill>
                <a:srgbClr val="FF0000"/>
              </a:solidFill>
            </a:rPr>
            <a:t>○</a:t>
          </a:r>
        </a:p>
      </xdr:txBody>
    </xdr:sp>
    <xdr:clientData/>
  </xdr:oneCellAnchor>
  <xdr:twoCellAnchor>
    <xdr:from>
      <xdr:col>9</xdr:col>
      <xdr:colOff>510987</xdr:colOff>
      <xdr:row>73</xdr:row>
      <xdr:rowOff>107577</xdr:rowOff>
    </xdr:from>
    <xdr:to>
      <xdr:col>9</xdr:col>
      <xdr:colOff>708987</xdr:colOff>
      <xdr:row>73</xdr:row>
      <xdr:rowOff>305577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33DB4C46-374F-471D-83DC-2388E4522082}"/>
            </a:ext>
          </a:extLst>
        </xdr:cNvPr>
        <xdr:cNvSpPr/>
      </xdr:nvSpPr>
      <xdr:spPr>
        <a:xfrm>
          <a:off x="5258247" y="16894437"/>
          <a:ext cx="198000" cy="1980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1138517</xdr:colOff>
      <xdr:row>71</xdr:row>
      <xdr:rowOff>26895</xdr:rowOff>
    </xdr:from>
    <xdr:to>
      <xdr:col>9</xdr:col>
      <xdr:colOff>1336517</xdr:colOff>
      <xdr:row>71</xdr:row>
      <xdr:rowOff>224895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8D44C58E-9F84-4681-896D-51D6D1D162FA}"/>
            </a:ext>
          </a:extLst>
        </xdr:cNvPr>
        <xdr:cNvSpPr/>
      </xdr:nvSpPr>
      <xdr:spPr>
        <a:xfrm>
          <a:off x="5885777" y="16356555"/>
          <a:ext cx="198000" cy="1980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645457</xdr:colOff>
      <xdr:row>68</xdr:row>
      <xdr:rowOff>53789</xdr:rowOff>
    </xdr:from>
    <xdr:to>
      <xdr:col>9</xdr:col>
      <xdr:colOff>180069</xdr:colOff>
      <xdr:row>69</xdr:row>
      <xdr:rowOff>18707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5C82273A-DB73-4B27-9659-BF99FAF542DA}"/>
            </a:ext>
          </a:extLst>
        </xdr:cNvPr>
        <xdr:cNvSpPr/>
      </xdr:nvSpPr>
      <xdr:spPr>
        <a:xfrm>
          <a:off x="5091951" y="16306801"/>
          <a:ext cx="198000" cy="198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8965</xdr:colOff>
      <xdr:row>76</xdr:row>
      <xdr:rowOff>152399</xdr:rowOff>
    </xdr:from>
    <xdr:to>
      <xdr:col>9</xdr:col>
      <xdr:colOff>206965</xdr:colOff>
      <xdr:row>77</xdr:row>
      <xdr:rowOff>117317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3562DC17-DF99-4E61-8C97-DC9C21E27EF3}"/>
            </a:ext>
          </a:extLst>
        </xdr:cNvPr>
        <xdr:cNvSpPr/>
      </xdr:nvSpPr>
      <xdr:spPr>
        <a:xfrm>
          <a:off x="4756225" y="17952719"/>
          <a:ext cx="198000" cy="20113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1264023</xdr:colOff>
      <xdr:row>74</xdr:row>
      <xdr:rowOff>80683</xdr:rowOff>
    </xdr:from>
    <xdr:to>
      <xdr:col>10</xdr:col>
      <xdr:colOff>1390023</xdr:colOff>
      <xdr:row>74</xdr:row>
      <xdr:rowOff>206683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79AFF8E3-EE49-4A42-9E34-10F1364E0FA4}"/>
            </a:ext>
          </a:extLst>
        </xdr:cNvPr>
        <xdr:cNvSpPr/>
      </xdr:nvSpPr>
      <xdr:spPr>
        <a:xfrm>
          <a:off x="8350623" y="17256163"/>
          <a:ext cx="126000" cy="126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510989</xdr:colOff>
      <xdr:row>61</xdr:row>
      <xdr:rowOff>107577</xdr:rowOff>
    </xdr:from>
    <xdr:to>
      <xdr:col>9</xdr:col>
      <xdr:colOff>708989</xdr:colOff>
      <xdr:row>61</xdr:row>
      <xdr:rowOff>305577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240A63E0-57E8-417D-B825-5D127A927282}"/>
            </a:ext>
          </a:extLst>
        </xdr:cNvPr>
        <xdr:cNvSpPr/>
      </xdr:nvSpPr>
      <xdr:spPr>
        <a:xfrm>
          <a:off x="5258249" y="14014077"/>
          <a:ext cx="198000" cy="1980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914400</xdr:colOff>
          <xdr:row>78</xdr:row>
          <xdr:rowOff>188259</xdr:rowOff>
        </xdr:from>
        <xdr:to>
          <xdr:col>17</xdr:col>
          <xdr:colOff>778007</xdr:colOff>
          <xdr:row>82</xdr:row>
          <xdr:rowOff>169689</xdr:rowOff>
        </xdr:to>
        <xdr:pic>
          <xdr:nvPicPr>
            <xdr:cNvPr id="19" name="図 18">
              <a:extLst>
                <a:ext uri="{FF2B5EF4-FFF2-40B4-BE49-F238E27FC236}">
                  <a16:creationId xmlns:a16="http://schemas.microsoft.com/office/drawing/2014/main" id="{1F000129-6449-4AC1-8D0B-18C3C6C3462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48:$AF$52" spid="_x0000_s6879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64071" y="18816918"/>
              <a:ext cx="5762383" cy="92272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9</xdr:col>
      <xdr:colOff>0</xdr:colOff>
      <xdr:row>74</xdr:row>
      <xdr:rowOff>26895</xdr:rowOff>
    </xdr:from>
    <xdr:to>
      <xdr:col>9</xdr:col>
      <xdr:colOff>198000</xdr:colOff>
      <xdr:row>74</xdr:row>
      <xdr:rowOff>224895</xdr:rowOff>
    </xdr:to>
    <xdr:sp macro="" textlink="">
      <xdr:nvSpPr>
        <xdr:cNvPr id="21" name="楕円 20">
          <a:extLst>
            <a:ext uri="{FF2B5EF4-FFF2-40B4-BE49-F238E27FC236}">
              <a16:creationId xmlns:a16="http://schemas.microsoft.com/office/drawing/2014/main" id="{2E7E394C-8D50-4CF1-953C-82A04C2F15A5}"/>
            </a:ext>
          </a:extLst>
        </xdr:cNvPr>
        <xdr:cNvSpPr/>
      </xdr:nvSpPr>
      <xdr:spPr>
        <a:xfrm>
          <a:off x="5109882" y="17812871"/>
          <a:ext cx="198000" cy="198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40</xdr:row>
      <xdr:rowOff>106680</xdr:rowOff>
    </xdr:from>
    <xdr:to>
      <xdr:col>7</xdr:col>
      <xdr:colOff>152400</xdr:colOff>
      <xdr:row>47</xdr:row>
      <xdr:rowOff>106680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6435F5C8-87F0-12BC-D7E6-27A09193E894}"/>
            </a:ext>
          </a:extLst>
        </xdr:cNvPr>
        <xdr:cNvSpPr/>
      </xdr:nvSpPr>
      <xdr:spPr>
        <a:xfrm>
          <a:off x="1013460" y="7635240"/>
          <a:ext cx="3154680" cy="144018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>
              <a:solidFill>
                <a:sysClr val="windowText" lastClr="000000"/>
              </a:solidFill>
            </a:rPr>
            <a:t>NC88</a:t>
          </a:r>
          <a:r>
            <a:rPr kumimoji="1" lang="ja-JP" altLang="en-US" sz="1800">
              <a:solidFill>
                <a:sysClr val="windowText" lastClr="000000"/>
              </a:solidFill>
            </a:rPr>
            <a:t>のシート</a:t>
          </a:r>
          <a:endParaRPr kumimoji="1" lang="en-US" altLang="ja-JP" sz="18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800">
              <a:solidFill>
                <a:sysClr val="windowText" lastClr="000000"/>
              </a:solidFill>
            </a:rPr>
            <a:t>変更箇所　無いか</a:t>
          </a:r>
          <a:endParaRPr kumimoji="1" lang="en-US" altLang="ja-JP" sz="18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800">
              <a:solidFill>
                <a:sysClr val="windowText" lastClr="000000"/>
              </a:solidFill>
            </a:rPr>
            <a:t>確認が必要です。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1066800</xdr:colOff>
          <xdr:row>33</xdr:row>
          <xdr:rowOff>35860</xdr:rowOff>
        </xdr:from>
        <xdr:to>
          <xdr:col>17</xdr:col>
          <xdr:colOff>1129553</xdr:colOff>
          <xdr:row>37</xdr:row>
          <xdr:rowOff>195878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158DE95D-800B-B675-0DAE-253F9BDB6CE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119:$AF$123" spid="_x0000_s1713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34400" y="7646895"/>
              <a:ext cx="4778188" cy="109234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1075765</xdr:colOff>
          <xdr:row>109</xdr:row>
          <xdr:rowOff>26894</xdr:rowOff>
        </xdr:from>
        <xdr:to>
          <xdr:col>17</xdr:col>
          <xdr:colOff>1156447</xdr:colOff>
          <xdr:row>113</xdr:row>
          <xdr:rowOff>204843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5CED9AAA-3FA5-3219-DC82-6905B97A6F7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127:$AF$131" spid="_x0000_s1713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543365" y="25208753"/>
              <a:ext cx="4796117" cy="11102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411439</xdr:colOff>
      <xdr:row>8</xdr:row>
      <xdr:rowOff>169142</xdr:rowOff>
    </xdr:from>
    <xdr:to>
      <xdr:col>10</xdr:col>
      <xdr:colOff>1854270</xdr:colOff>
      <xdr:row>16</xdr:row>
      <xdr:rowOff>82476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14057EA-C3DF-4468-B843-6557675D5C0C}"/>
            </a:ext>
          </a:extLst>
        </xdr:cNvPr>
        <xdr:cNvSpPr/>
      </xdr:nvSpPr>
      <xdr:spPr>
        <a:xfrm>
          <a:off x="2805015" y="1899330"/>
          <a:ext cx="6113443" cy="1777993"/>
        </a:xfrm>
        <a:prstGeom prst="rect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>
              <a:solidFill>
                <a:srgbClr val="FF0000"/>
              </a:solidFill>
            </a:rPr>
            <a:t>NC72</a:t>
          </a:r>
          <a:r>
            <a:rPr kumimoji="1" lang="ja-JP" altLang="en-US" sz="1800">
              <a:solidFill>
                <a:srgbClr val="FF0000"/>
              </a:solidFill>
            </a:rPr>
            <a:t>　測定見直し、まだ改定してない</a:t>
          </a:r>
          <a:endParaRPr kumimoji="1" lang="en-US" altLang="ja-JP" sz="1800">
            <a:solidFill>
              <a:srgbClr val="FF0000"/>
            </a:solidFill>
          </a:endParaRPr>
        </a:p>
        <a:p>
          <a:pPr algn="ctr"/>
          <a:r>
            <a:rPr kumimoji="1" lang="ja-JP" altLang="en-US" sz="1800">
              <a:solidFill>
                <a:srgbClr val="FF0000"/>
              </a:solidFill>
            </a:rPr>
            <a:t>及び、予告、寿命の追記変更まだ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1290918</xdr:colOff>
          <xdr:row>112</xdr:row>
          <xdr:rowOff>45720</xdr:rowOff>
        </xdr:from>
        <xdr:to>
          <xdr:col>17</xdr:col>
          <xdr:colOff>731520</xdr:colOff>
          <xdr:row>116</xdr:row>
          <xdr:rowOff>213361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A66AC371-4CFC-B743-89D9-3D62D1713F3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119:$AF$122" spid="_x0000_s1788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55106" y="24913814"/>
              <a:ext cx="4935967" cy="109997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189604</xdr:colOff>
      <xdr:row>75</xdr:row>
      <xdr:rowOff>203050</xdr:rowOff>
    </xdr:from>
    <xdr:to>
      <xdr:col>1</xdr:col>
      <xdr:colOff>481853</xdr:colOff>
      <xdr:row>77</xdr:row>
      <xdr:rowOff>35410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A60C5553-DE52-DD30-BB30-E615B9E075BB}"/>
            </a:ext>
          </a:extLst>
        </xdr:cNvPr>
        <xdr:cNvSpPr/>
      </xdr:nvSpPr>
      <xdr:spPr>
        <a:xfrm>
          <a:off x="664733" y="16707074"/>
          <a:ext cx="292249" cy="298524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1264023</xdr:colOff>
          <xdr:row>71</xdr:row>
          <xdr:rowOff>8966</xdr:rowOff>
        </xdr:from>
        <xdr:to>
          <xdr:col>17</xdr:col>
          <xdr:colOff>699246</xdr:colOff>
          <xdr:row>74</xdr:row>
          <xdr:rowOff>224119</xdr:rowOff>
        </xdr:to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B74967BA-D1BC-C13D-F7C3-8620B3146D3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119:$AF$122" spid="_x0000_s1788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28211" y="16046825"/>
              <a:ext cx="4930588" cy="9144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580113</xdr:colOff>
      <xdr:row>24</xdr:row>
      <xdr:rowOff>124902</xdr:rowOff>
    </xdr:from>
    <xdr:to>
      <xdr:col>9</xdr:col>
      <xdr:colOff>177910</xdr:colOff>
      <xdr:row>24</xdr:row>
      <xdr:rowOff>290554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589957D9-EAC2-F6A6-2FE8-196B246CB5BF}"/>
            </a:ext>
          </a:extLst>
        </xdr:cNvPr>
        <xdr:cNvSpPr/>
      </xdr:nvSpPr>
      <xdr:spPr>
        <a:xfrm>
          <a:off x="4969233" y="5809422"/>
          <a:ext cx="184537" cy="165652"/>
        </a:xfrm>
        <a:prstGeom prst="ellips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527223</xdr:colOff>
      <xdr:row>25</xdr:row>
      <xdr:rowOff>126246</xdr:rowOff>
    </xdr:from>
    <xdr:to>
      <xdr:col>9</xdr:col>
      <xdr:colOff>712754</xdr:colOff>
      <xdr:row>25</xdr:row>
      <xdr:rowOff>291898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588BFEFC-83DC-FC6F-75DB-050D9316ECDE}"/>
            </a:ext>
          </a:extLst>
        </xdr:cNvPr>
        <xdr:cNvSpPr/>
      </xdr:nvSpPr>
      <xdr:spPr>
        <a:xfrm>
          <a:off x="5475741" y="5998128"/>
          <a:ext cx="185531" cy="165652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518258</xdr:colOff>
      <xdr:row>15</xdr:row>
      <xdr:rowOff>118625</xdr:rowOff>
    </xdr:from>
    <xdr:to>
      <xdr:col>9</xdr:col>
      <xdr:colOff>703789</xdr:colOff>
      <xdr:row>15</xdr:row>
      <xdr:rowOff>284277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C349F271-6F3D-47A7-A540-A4D2C63EBAFB}"/>
            </a:ext>
          </a:extLst>
        </xdr:cNvPr>
        <xdr:cNvSpPr/>
      </xdr:nvSpPr>
      <xdr:spPr>
        <a:xfrm>
          <a:off x="5466776" y="3498319"/>
          <a:ext cx="185531" cy="165652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583759</xdr:colOff>
      <xdr:row>33</xdr:row>
      <xdr:rowOff>37769</xdr:rowOff>
    </xdr:from>
    <xdr:to>
      <xdr:col>9</xdr:col>
      <xdr:colOff>182550</xdr:colOff>
      <xdr:row>33</xdr:row>
      <xdr:rowOff>203421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32321C6D-E520-4A69-9764-CD18E90BB682}"/>
            </a:ext>
          </a:extLst>
        </xdr:cNvPr>
        <xdr:cNvSpPr/>
      </xdr:nvSpPr>
      <xdr:spPr>
        <a:xfrm>
          <a:off x="4972879" y="8084489"/>
          <a:ext cx="185531" cy="165652"/>
        </a:xfrm>
        <a:prstGeom prst="ellips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583759</xdr:colOff>
      <xdr:row>26</xdr:row>
      <xdr:rowOff>77524</xdr:rowOff>
    </xdr:from>
    <xdr:to>
      <xdr:col>9</xdr:col>
      <xdr:colOff>182550</xdr:colOff>
      <xdr:row>27</xdr:row>
      <xdr:rowOff>44394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69F5E72D-BA5D-4D36-B8A4-719D145DFC32}"/>
            </a:ext>
          </a:extLst>
        </xdr:cNvPr>
        <xdr:cNvSpPr/>
      </xdr:nvSpPr>
      <xdr:spPr>
        <a:xfrm>
          <a:off x="4972879" y="6524044"/>
          <a:ext cx="185531" cy="195470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967740</xdr:colOff>
          <xdr:row>35</xdr:row>
          <xdr:rowOff>38100</xdr:rowOff>
        </xdr:from>
        <xdr:to>
          <xdr:col>17</xdr:col>
          <xdr:colOff>647700</xdr:colOff>
          <xdr:row>39</xdr:row>
          <xdr:rowOff>220980</xdr:rowOff>
        </xdr:to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BBF4BEFF-F0AB-8E42-00F0-4A6260C4070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V$44:$AG$48" spid="_x0000_s1904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282940" y="8343900"/>
              <a:ext cx="5227320" cy="10972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0</xdr:col>
      <xdr:colOff>363520</xdr:colOff>
      <xdr:row>0</xdr:row>
      <xdr:rowOff>189155</xdr:rowOff>
    </xdr:from>
    <xdr:to>
      <xdr:col>1</xdr:col>
      <xdr:colOff>291354</xdr:colOff>
      <xdr:row>2</xdr:row>
      <xdr:rowOff>51995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3AE7E77C-CE15-8D65-E4DB-BFC9AF263D91}"/>
            </a:ext>
          </a:extLst>
        </xdr:cNvPr>
        <xdr:cNvSpPr/>
      </xdr:nvSpPr>
      <xdr:spPr>
        <a:xfrm>
          <a:off x="363520" y="189155"/>
          <a:ext cx="358140" cy="329005"/>
        </a:xfrm>
        <a:prstGeom prst="ellipse">
          <a:avLst/>
        </a:prstGeom>
        <a:noFill/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580113</xdr:colOff>
      <xdr:row>64</xdr:row>
      <xdr:rowOff>124902</xdr:rowOff>
    </xdr:from>
    <xdr:to>
      <xdr:col>9</xdr:col>
      <xdr:colOff>177910</xdr:colOff>
      <xdr:row>64</xdr:row>
      <xdr:rowOff>290554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12F89C78-E548-4EE2-85D7-F7D80B1EA5A0}"/>
            </a:ext>
          </a:extLst>
        </xdr:cNvPr>
        <xdr:cNvSpPr/>
      </xdr:nvSpPr>
      <xdr:spPr>
        <a:xfrm>
          <a:off x="4969233" y="5580822"/>
          <a:ext cx="184537" cy="165652"/>
        </a:xfrm>
        <a:prstGeom prst="ellips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527222</xdr:colOff>
      <xdr:row>65</xdr:row>
      <xdr:rowOff>117281</xdr:rowOff>
    </xdr:from>
    <xdr:to>
      <xdr:col>9</xdr:col>
      <xdr:colOff>712753</xdr:colOff>
      <xdr:row>65</xdr:row>
      <xdr:rowOff>282933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2750555A-0E3D-4997-9C57-F24B0CD86689}"/>
            </a:ext>
          </a:extLst>
        </xdr:cNvPr>
        <xdr:cNvSpPr/>
      </xdr:nvSpPr>
      <xdr:spPr>
        <a:xfrm>
          <a:off x="5475740" y="15518646"/>
          <a:ext cx="185531" cy="165652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528567</xdr:colOff>
      <xdr:row>55</xdr:row>
      <xdr:rowOff>108025</xdr:rowOff>
    </xdr:from>
    <xdr:to>
      <xdr:col>9</xdr:col>
      <xdr:colOff>718073</xdr:colOff>
      <xdr:row>55</xdr:row>
      <xdr:rowOff>306145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44739029-2E51-497E-AB6F-B0F4D36FCAFA}"/>
            </a:ext>
          </a:extLst>
        </xdr:cNvPr>
        <xdr:cNvSpPr/>
      </xdr:nvSpPr>
      <xdr:spPr>
        <a:xfrm>
          <a:off x="5477085" y="13017201"/>
          <a:ext cx="189506" cy="198120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583759</xdr:colOff>
      <xdr:row>73</xdr:row>
      <xdr:rowOff>37769</xdr:rowOff>
    </xdr:from>
    <xdr:to>
      <xdr:col>9</xdr:col>
      <xdr:colOff>182550</xdr:colOff>
      <xdr:row>73</xdr:row>
      <xdr:rowOff>203421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E8D66476-DD3A-48E5-9659-9858ACD136CD}"/>
            </a:ext>
          </a:extLst>
        </xdr:cNvPr>
        <xdr:cNvSpPr/>
      </xdr:nvSpPr>
      <xdr:spPr>
        <a:xfrm>
          <a:off x="4972879" y="7749209"/>
          <a:ext cx="185531" cy="165652"/>
        </a:xfrm>
        <a:prstGeom prst="ellips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583759</xdr:colOff>
      <xdr:row>66</xdr:row>
      <xdr:rowOff>77524</xdr:rowOff>
    </xdr:from>
    <xdr:to>
      <xdr:col>9</xdr:col>
      <xdr:colOff>182550</xdr:colOff>
      <xdr:row>67</xdr:row>
      <xdr:rowOff>44394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CC4FEFFB-4670-425F-BC08-2C88AE029855}"/>
            </a:ext>
          </a:extLst>
        </xdr:cNvPr>
        <xdr:cNvSpPr/>
      </xdr:nvSpPr>
      <xdr:spPr>
        <a:xfrm>
          <a:off x="4972879" y="6295444"/>
          <a:ext cx="185531" cy="180230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967740</xdr:colOff>
          <xdr:row>75</xdr:row>
          <xdr:rowOff>38100</xdr:rowOff>
        </xdr:from>
        <xdr:ext cx="5219700" cy="1082040"/>
        <xdr:pic>
          <xdr:nvPicPr>
            <xdr:cNvPr id="14" name="図 13">
              <a:extLst>
                <a:ext uri="{FF2B5EF4-FFF2-40B4-BE49-F238E27FC236}">
                  <a16:creationId xmlns:a16="http://schemas.microsoft.com/office/drawing/2014/main" id="{2330C9D9-0D6E-4F1F-9A65-E980A6F6F5E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V$44:$AG$48" spid="_x0000_s190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282940" y="17625060"/>
              <a:ext cx="5219700" cy="108204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298173</xdr:colOff>
      <xdr:row>24</xdr:row>
      <xdr:rowOff>132522</xdr:rowOff>
    </xdr:from>
    <xdr:to>
      <xdr:col>9</xdr:col>
      <xdr:colOff>185530</xdr:colOff>
      <xdr:row>24</xdr:row>
      <xdr:rowOff>298174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863902C7-CB91-4245-9558-02F6007F43F8}"/>
            </a:ext>
          </a:extLst>
        </xdr:cNvPr>
        <xdr:cNvSpPr/>
      </xdr:nvSpPr>
      <xdr:spPr>
        <a:xfrm>
          <a:off x="4595853" y="5405562"/>
          <a:ext cx="184537" cy="165652"/>
        </a:xfrm>
        <a:prstGeom prst="ellips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519154</xdr:colOff>
      <xdr:row>25</xdr:row>
      <xdr:rowOff>117281</xdr:rowOff>
    </xdr:from>
    <xdr:to>
      <xdr:col>9</xdr:col>
      <xdr:colOff>704685</xdr:colOff>
      <xdr:row>25</xdr:row>
      <xdr:rowOff>282933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0E687178-CD18-4810-ADE4-8824DCAAC091}"/>
            </a:ext>
          </a:extLst>
        </xdr:cNvPr>
        <xdr:cNvSpPr/>
      </xdr:nvSpPr>
      <xdr:spPr>
        <a:xfrm>
          <a:off x="5045434" y="6182801"/>
          <a:ext cx="185531" cy="165652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519154</xdr:colOff>
      <xdr:row>15</xdr:row>
      <xdr:rowOff>124901</xdr:rowOff>
    </xdr:from>
    <xdr:to>
      <xdr:col>9</xdr:col>
      <xdr:colOff>704685</xdr:colOff>
      <xdr:row>15</xdr:row>
      <xdr:rowOff>290553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6C04D20F-853A-46E7-8E92-11C6E3883982}"/>
            </a:ext>
          </a:extLst>
        </xdr:cNvPr>
        <xdr:cNvSpPr/>
      </xdr:nvSpPr>
      <xdr:spPr>
        <a:xfrm>
          <a:off x="5045434" y="3599621"/>
          <a:ext cx="185531" cy="165652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294199</xdr:colOff>
      <xdr:row>33</xdr:row>
      <xdr:rowOff>30149</xdr:rowOff>
    </xdr:from>
    <xdr:to>
      <xdr:col>9</xdr:col>
      <xdr:colOff>182550</xdr:colOff>
      <xdr:row>33</xdr:row>
      <xdr:rowOff>195801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C16EBCAC-A724-64D9-2BCC-3C45333CCCD7}"/>
            </a:ext>
          </a:extLst>
        </xdr:cNvPr>
        <xdr:cNvSpPr/>
      </xdr:nvSpPr>
      <xdr:spPr>
        <a:xfrm>
          <a:off x="4523299" y="8076869"/>
          <a:ext cx="185531" cy="165652"/>
        </a:xfrm>
        <a:prstGeom prst="ellips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294199</xdr:colOff>
      <xdr:row>26</xdr:row>
      <xdr:rowOff>65870</xdr:rowOff>
    </xdr:from>
    <xdr:to>
      <xdr:col>9</xdr:col>
      <xdr:colOff>182550</xdr:colOff>
      <xdr:row>27</xdr:row>
      <xdr:rowOff>32740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4FD5E347-6DD8-8E1B-2C2D-B3D67071DF0C}"/>
            </a:ext>
          </a:extLst>
        </xdr:cNvPr>
        <xdr:cNvSpPr/>
      </xdr:nvSpPr>
      <xdr:spPr>
        <a:xfrm>
          <a:off x="4498646" y="6296341"/>
          <a:ext cx="184186" cy="182023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290553</xdr:colOff>
      <xdr:row>63</xdr:row>
      <xdr:rowOff>124902</xdr:rowOff>
    </xdr:from>
    <xdr:to>
      <xdr:col>9</xdr:col>
      <xdr:colOff>177910</xdr:colOff>
      <xdr:row>63</xdr:row>
      <xdr:rowOff>290554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8E625216-4070-43C7-BE6A-75D561F2B146}"/>
            </a:ext>
          </a:extLst>
        </xdr:cNvPr>
        <xdr:cNvSpPr/>
      </xdr:nvSpPr>
      <xdr:spPr>
        <a:xfrm>
          <a:off x="4519653" y="14823882"/>
          <a:ext cx="184537" cy="165652"/>
        </a:xfrm>
        <a:prstGeom prst="ellips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505901</xdr:colOff>
      <xdr:row>64</xdr:row>
      <xdr:rowOff>105023</xdr:rowOff>
    </xdr:from>
    <xdr:to>
      <xdr:col>9</xdr:col>
      <xdr:colOff>704684</xdr:colOff>
      <xdr:row>64</xdr:row>
      <xdr:rowOff>310432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F0C9909D-EF55-4F58-BF8F-23E24AA0E5CF}"/>
            </a:ext>
          </a:extLst>
        </xdr:cNvPr>
        <xdr:cNvSpPr/>
      </xdr:nvSpPr>
      <xdr:spPr>
        <a:xfrm>
          <a:off x="5032181" y="15185003"/>
          <a:ext cx="198783" cy="205409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526774</xdr:colOff>
      <xdr:row>54</xdr:row>
      <xdr:rowOff>115295</xdr:rowOff>
    </xdr:from>
    <xdr:to>
      <xdr:col>9</xdr:col>
      <xdr:colOff>692425</xdr:colOff>
      <xdr:row>54</xdr:row>
      <xdr:rowOff>274321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26CC93B3-D093-4F33-BD5D-3404DA2FAEC2}"/>
            </a:ext>
          </a:extLst>
        </xdr:cNvPr>
        <xdr:cNvSpPr/>
      </xdr:nvSpPr>
      <xdr:spPr>
        <a:xfrm>
          <a:off x="5053054" y="12604475"/>
          <a:ext cx="165651" cy="159026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12259</xdr:colOff>
      <xdr:row>72</xdr:row>
      <xdr:rowOff>22529</xdr:rowOff>
    </xdr:from>
    <xdr:to>
      <xdr:col>9</xdr:col>
      <xdr:colOff>197790</xdr:colOff>
      <xdr:row>72</xdr:row>
      <xdr:rowOff>188181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A0532558-53EC-4489-AE23-81DC1399D935}"/>
            </a:ext>
          </a:extLst>
        </xdr:cNvPr>
        <xdr:cNvSpPr/>
      </xdr:nvSpPr>
      <xdr:spPr>
        <a:xfrm>
          <a:off x="4538539" y="17083709"/>
          <a:ext cx="185531" cy="165652"/>
        </a:xfrm>
        <a:prstGeom prst="ellips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295193</xdr:colOff>
      <xdr:row>65</xdr:row>
      <xdr:rowOff>79511</xdr:rowOff>
    </xdr:from>
    <xdr:to>
      <xdr:col>9</xdr:col>
      <xdr:colOff>183544</xdr:colOff>
      <xdr:row>66</xdr:row>
      <xdr:rowOff>46381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566BA179-10BC-4CD2-8066-0E767FAF8263}"/>
            </a:ext>
          </a:extLst>
        </xdr:cNvPr>
        <xdr:cNvSpPr/>
      </xdr:nvSpPr>
      <xdr:spPr>
        <a:xfrm>
          <a:off x="4524293" y="15441431"/>
          <a:ext cx="185531" cy="180230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129540</xdr:colOff>
          <xdr:row>35</xdr:row>
          <xdr:rowOff>15240</xdr:rowOff>
        </xdr:from>
        <xdr:to>
          <xdr:col>17</xdr:col>
          <xdr:colOff>800100</xdr:colOff>
          <xdr:row>39</xdr:row>
          <xdr:rowOff>0</xdr:rowOff>
        </xdr:to>
        <xdr:pic>
          <xdr:nvPicPr>
            <xdr:cNvPr id="6" name="図 5">
              <a:extLst>
                <a:ext uri="{FF2B5EF4-FFF2-40B4-BE49-F238E27FC236}">
                  <a16:creationId xmlns:a16="http://schemas.microsoft.com/office/drawing/2014/main" id="{EEC8E580-DAB1-363F-F9C3-B30E3D2860B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81:$AF$84" spid="_x0000_s201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304020" y="8282940"/>
              <a:ext cx="4038600" cy="89916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74</xdr:row>
          <xdr:rowOff>15240</xdr:rowOff>
        </xdr:from>
        <xdr:to>
          <xdr:col>17</xdr:col>
          <xdr:colOff>739140</xdr:colOff>
          <xdr:row>77</xdr:row>
          <xdr:rowOff>220980</xdr:rowOff>
        </xdr:to>
        <xdr:pic>
          <xdr:nvPicPr>
            <xdr:cNvPr id="13" name="図 12">
              <a:extLst>
                <a:ext uri="{FF2B5EF4-FFF2-40B4-BE49-F238E27FC236}">
                  <a16:creationId xmlns:a16="http://schemas.microsoft.com/office/drawing/2014/main" id="{2B318568-F3E0-A940-9EBC-45F0F3FC6C3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88:$AF$91" spid="_x0000_s2019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243060" y="17465040"/>
              <a:ext cx="4038600" cy="89154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151503</xdr:colOff>
      <xdr:row>39</xdr:row>
      <xdr:rowOff>207085</xdr:rowOff>
    </xdr:from>
    <xdr:to>
      <xdr:col>2</xdr:col>
      <xdr:colOff>467509</xdr:colOff>
      <xdr:row>41</xdr:row>
      <xdr:rowOff>62305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3AF90AC4-5B6D-B7E4-531E-DEEA34B2A0BD}"/>
            </a:ext>
          </a:extLst>
        </xdr:cNvPr>
        <xdr:cNvSpPr/>
      </xdr:nvSpPr>
      <xdr:spPr>
        <a:xfrm>
          <a:off x="1164515" y="9476591"/>
          <a:ext cx="316006" cy="321385"/>
        </a:xfrm>
        <a:prstGeom prst="ellipse">
          <a:avLst/>
        </a:prstGeom>
        <a:noFill/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1380565</xdr:colOff>
          <xdr:row>35</xdr:row>
          <xdr:rowOff>44822</xdr:rowOff>
        </xdr:from>
        <xdr:to>
          <xdr:col>17</xdr:col>
          <xdr:colOff>573740</xdr:colOff>
          <xdr:row>37</xdr:row>
          <xdr:rowOff>206188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9DBEE14-7B59-4800-A3F4-DB84FCA9806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40:$AF$43" spid="_x0000_s5149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471647" y="8857128"/>
              <a:ext cx="4571999" cy="63649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9</xdr:col>
      <xdr:colOff>519954</xdr:colOff>
      <xdr:row>19</xdr:row>
      <xdr:rowOff>116541</xdr:rowOff>
    </xdr:from>
    <xdr:to>
      <xdr:col>9</xdr:col>
      <xdr:colOff>705485</xdr:colOff>
      <xdr:row>19</xdr:row>
      <xdr:rowOff>282193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1F8665F6-EBF6-456C-8005-DCC465952E61}"/>
            </a:ext>
          </a:extLst>
        </xdr:cNvPr>
        <xdr:cNvSpPr/>
      </xdr:nvSpPr>
      <xdr:spPr>
        <a:xfrm>
          <a:off x="5271248" y="4589929"/>
          <a:ext cx="185531" cy="165652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8965</xdr:colOff>
      <xdr:row>26</xdr:row>
      <xdr:rowOff>35859</xdr:rowOff>
    </xdr:from>
    <xdr:to>
      <xdr:col>9</xdr:col>
      <xdr:colOff>194496</xdr:colOff>
      <xdr:row>26</xdr:row>
      <xdr:rowOff>201511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EE4C8FC2-143D-4095-9CBC-6F3665A3CD85}"/>
            </a:ext>
          </a:extLst>
        </xdr:cNvPr>
        <xdr:cNvSpPr/>
      </xdr:nvSpPr>
      <xdr:spPr>
        <a:xfrm>
          <a:off x="4760259" y="6293224"/>
          <a:ext cx="185531" cy="165652"/>
        </a:xfrm>
        <a:prstGeom prst="ellips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0</xdr:colOff>
      <xdr:row>31</xdr:row>
      <xdr:rowOff>125506</xdr:rowOff>
    </xdr:from>
    <xdr:to>
      <xdr:col>9</xdr:col>
      <xdr:colOff>185531</xdr:colOff>
      <xdr:row>31</xdr:row>
      <xdr:rowOff>291158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D01B859A-6FC3-4FA3-90A3-8B9C9FBFAE5E}"/>
            </a:ext>
          </a:extLst>
        </xdr:cNvPr>
        <xdr:cNvSpPr/>
      </xdr:nvSpPr>
      <xdr:spPr>
        <a:xfrm>
          <a:off x="4751294" y="7853082"/>
          <a:ext cx="185531" cy="165652"/>
        </a:xfrm>
        <a:prstGeom prst="ellips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>
    <xdr:from>
      <xdr:col>9</xdr:col>
      <xdr:colOff>519953</xdr:colOff>
      <xdr:row>30</xdr:row>
      <xdr:rowOff>125506</xdr:rowOff>
    </xdr:from>
    <xdr:to>
      <xdr:col>9</xdr:col>
      <xdr:colOff>705484</xdr:colOff>
      <xdr:row>30</xdr:row>
      <xdr:rowOff>291158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B3A14293-6C8C-4D4C-81D3-361682CEDF25}"/>
            </a:ext>
          </a:extLst>
        </xdr:cNvPr>
        <xdr:cNvSpPr/>
      </xdr:nvSpPr>
      <xdr:spPr>
        <a:xfrm>
          <a:off x="5271247" y="7467600"/>
          <a:ext cx="185531" cy="165652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1210236</xdr:colOff>
      <xdr:row>31</xdr:row>
      <xdr:rowOff>71718</xdr:rowOff>
    </xdr:from>
    <xdr:to>
      <xdr:col>10</xdr:col>
      <xdr:colOff>1341978</xdr:colOff>
      <xdr:row>31</xdr:row>
      <xdr:rowOff>183581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B8D14FE4-6C0F-41C8-9ED9-146477F00BCF}"/>
            </a:ext>
          </a:extLst>
        </xdr:cNvPr>
        <xdr:cNvSpPr/>
      </xdr:nvSpPr>
      <xdr:spPr>
        <a:xfrm>
          <a:off x="8301318" y="7799294"/>
          <a:ext cx="131742" cy="111863"/>
        </a:xfrm>
        <a:prstGeom prst="ellipse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noFill/>
          </a:endParaRPr>
        </a:p>
      </xdr:txBody>
    </xdr:sp>
    <xdr:clientData/>
  </xdr:twoCellAnchor>
  <xdr:twoCellAnchor>
    <xdr:from>
      <xdr:col>9</xdr:col>
      <xdr:colOff>8965</xdr:colOff>
      <xdr:row>33</xdr:row>
      <xdr:rowOff>161365</xdr:rowOff>
    </xdr:from>
    <xdr:to>
      <xdr:col>9</xdr:col>
      <xdr:colOff>194496</xdr:colOff>
      <xdr:row>34</xdr:row>
      <xdr:rowOff>93934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89E07050-CC4E-4E92-865B-D542EC2EDF0D}"/>
            </a:ext>
          </a:extLst>
        </xdr:cNvPr>
        <xdr:cNvSpPr/>
      </xdr:nvSpPr>
      <xdr:spPr>
        <a:xfrm>
          <a:off x="4760259" y="8507506"/>
          <a:ext cx="185531" cy="165652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693420</xdr:colOff>
          <xdr:row>31</xdr:row>
          <xdr:rowOff>76200</xdr:rowOff>
        </xdr:from>
        <xdr:to>
          <xdr:col>17</xdr:col>
          <xdr:colOff>693420</xdr:colOff>
          <xdr:row>35</xdr:row>
          <xdr:rowOff>99060</xdr:rowOff>
        </xdr:to>
        <xdr:pic>
          <xdr:nvPicPr>
            <xdr:cNvPr id="12" name="図 11">
              <a:extLst>
                <a:ext uri="{FF2B5EF4-FFF2-40B4-BE49-F238E27FC236}">
                  <a16:creationId xmlns:a16="http://schemas.microsoft.com/office/drawing/2014/main" id="{33B8718C-DC9B-4CCD-A700-CEE4B7E5141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37:$AF$40" spid="_x0000_s1117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189220" y="7299960"/>
              <a:ext cx="8046720" cy="9220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693420</xdr:colOff>
          <xdr:row>31</xdr:row>
          <xdr:rowOff>76200</xdr:rowOff>
        </xdr:from>
        <xdr:to>
          <xdr:col>17</xdr:col>
          <xdr:colOff>693420</xdr:colOff>
          <xdr:row>35</xdr:row>
          <xdr:rowOff>99060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72F9E9E1-6E2D-45BD-A728-07858EEEFC2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37:$AF$40" spid="_x0000_s12504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189220" y="7299960"/>
              <a:ext cx="8046720" cy="9220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693420</xdr:colOff>
          <xdr:row>26</xdr:row>
          <xdr:rowOff>76200</xdr:rowOff>
        </xdr:from>
        <xdr:to>
          <xdr:col>17</xdr:col>
          <xdr:colOff>693420</xdr:colOff>
          <xdr:row>30</xdr:row>
          <xdr:rowOff>99060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98919677-2356-46B8-A8AA-CF3B961A748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32:$AF$35" spid="_x0000_s13630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189220" y="7299960"/>
              <a:ext cx="8046720" cy="9220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2976283</xdr:colOff>
          <xdr:row>87</xdr:row>
          <xdr:rowOff>26895</xdr:rowOff>
        </xdr:from>
        <xdr:to>
          <xdr:col>20</xdr:col>
          <xdr:colOff>1</xdr:colOff>
          <xdr:row>92</xdr:row>
          <xdr:rowOff>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F222F35C-3411-8A90-C2BA-E929E65DE3D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X$95:$AI$98" spid="_x0000_s283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539318" y="17812871"/>
              <a:ext cx="6167718" cy="110265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2985248</xdr:colOff>
          <xdr:row>41</xdr:row>
          <xdr:rowOff>17930</xdr:rowOff>
        </xdr:from>
        <xdr:to>
          <xdr:col>19</xdr:col>
          <xdr:colOff>555814</xdr:colOff>
          <xdr:row>45</xdr:row>
          <xdr:rowOff>195880</xdr:rowOff>
        </xdr:to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F051DE47-4B64-2FEF-7C77-4CA02F5215F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X$103:$AI$106" spid="_x0000_s2837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548283" y="8624048"/>
              <a:ext cx="6131860" cy="111027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121920</xdr:colOff>
      <xdr:row>116</xdr:row>
      <xdr:rowOff>121920</xdr:rowOff>
    </xdr:from>
    <xdr:to>
      <xdr:col>12</xdr:col>
      <xdr:colOff>1729740</xdr:colOff>
      <xdr:row>126</xdr:row>
      <xdr:rowOff>190500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9578A2C-1449-4CDC-AE25-97C1EF6E6A1E}"/>
            </a:ext>
          </a:extLst>
        </xdr:cNvPr>
        <xdr:cNvSpPr/>
      </xdr:nvSpPr>
      <xdr:spPr>
        <a:xfrm>
          <a:off x="3131820" y="27942540"/>
          <a:ext cx="5669280" cy="2354580"/>
        </a:xfrm>
        <a:prstGeom prst="rect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>
              <a:solidFill>
                <a:srgbClr val="FF0000"/>
              </a:solidFill>
            </a:rPr>
            <a:t>NC49</a:t>
          </a:r>
          <a:r>
            <a:rPr kumimoji="1" lang="ja-JP" altLang="en-US" sz="1800">
              <a:solidFill>
                <a:srgbClr val="FF0000"/>
              </a:solidFill>
            </a:rPr>
            <a:t>　</a:t>
          </a:r>
          <a:endParaRPr kumimoji="1" lang="en-US" altLang="ja-JP" sz="1800">
            <a:solidFill>
              <a:srgbClr val="FF0000"/>
            </a:solidFill>
          </a:endParaRPr>
        </a:p>
        <a:p>
          <a:pPr algn="ctr"/>
          <a:r>
            <a:rPr kumimoji="1" lang="ja-JP" altLang="en-US" sz="1800">
              <a:solidFill>
                <a:srgbClr val="FF0000"/>
              </a:solidFill>
            </a:rPr>
            <a:t>①測定見直し</a:t>
          </a:r>
          <a:endParaRPr kumimoji="1" lang="en-US" altLang="ja-JP" sz="1800">
            <a:solidFill>
              <a:srgbClr val="FF0000"/>
            </a:solidFill>
          </a:endParaRPr>
        </a:p>
        <a:p>
          <a:pPr algn="ctr"/>
          <a:r>
            <a:rPr kumimoji="1" lang="ja-JP" altLang="en-US" sz="1800">
              <a:solidFill>
                <a:srgbClr val="FF0000"/>
              </a:solidFill>
            </a:rPr>
            <a:t>②寿命と予告追記</a:t>
          </a:r>
          <a:endParaRPr kumimoji="1" lang="en-US" altLang="ja-JP" sz="1800">
            <a:solidFill>
              <a:srgbClr val="FF0000"/>
            </a:solidFill>
          </a:endParaRPr>
        </a:p>
        <a:p>
          <a:pPr algn="ctr"/>
          <a:r>
            <a:rPr kumimoji="1" lang="ja-JP" altLang="en-US" sz="1800">
              <a:solidFill>
                <a:srgbClr val="FF0000"/>
              </a:solidFill>
            </a:rPr>
            <a:t>まだ</a:t>
          </a:r>
        </a:p>
      </xdr:txBody>
    </xdr:sp>
    <xdr:clientData/>
  </xdr:twoCellAnchor>
  <xdr:twoCellAnchor>
    <xdr:from>
      <xdr:col>2</xdr:col>
      <xdr:colOff>266700</xdr:colOff>
      <xdr:row>40</xdr:row>
      <xdr:rowOff>129540</xdr:rowOff>
    </xdr:from>
    <xdr:to>
      <xdr:col>8</xdr:col>
      <xdr:colOff>274320</xdr:colOff>
      <xdr:row>44</xdr:row>
      <xdr:rowOff>129540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063C8AE-6A05-405C-927C-9398CDFC190D}"/>
            </a:ext>
          </a:extLst>
        </xdr:cNvPr>
        <xdr:cNvSpPr/>
      </xdr:nvSpPr>
      <xdr:spPr>
        <a:xfrm>
          <a:off x="1280160" y="9090660"/>
          <a:ext cx="3162300" cy="1143000"/>
        </a:xfrm>
        <a:prstGeom prst="rect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予告、寿命、その他　途中</a:t>
          </a:r>
          <a:endParaRPr kumimoji="1" lang="en-US" altLang="ja-JP" sz="18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0</xdr:colOff>
      <xdr:row>81</xdr:row>
      <xdr:rowOff>0</xdr:rowOff>
    </xdr:from>
    <xdr:to>
      <xdr:col>10</xdr:col>
      <xdr:colOff>281940</xdr:colOff>
      <xdr:row>85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627D9F05-A8F8-470F-925C-88B380F5BE87}"/>
            </a:ext>
          </a:extLst>
        </xdr:cNvPr>
        <xdr:cNvSpPr/>
      </xdr:nvSpPr>
      <xdr:spPr>
        <a:xfrm>
          <a:off x="1592580" y="18089880"/>
          <a:ext cx="3162300" cy="1143000"/>
        </a:xfrm>
        <a:prstGeom prst="rect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予告、寿命、その他　途中</a:t>
          </a:r>
          <a:endParaRPr kumimoji="1" lang="en-US" altLang="ja-JP" sz="1800">
            <a:solidFill>
              <a:srgbClr val="FF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1211580</xdr:colOff>
          <xdr:row>32</xdr:row>
          <xdr:rowOff>30480</xdr:rowOff>
        </xdr:from>
        <xdr:to>
          <xdr:col>20</xdr:col>
          <xdr:colOff>7620</xdr:colOff>
          <xdr:row>37</xdr:row>
          <xdr:rowOff>7620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3CBF71DD-0A11-BE52-91CE-9335D8762EF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W$148:$AH$151" spid="_x0000_s3210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282940" y="7871460"/>
              <a:ext cx="4381500" cy="108204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236220</xdr:colOff>
      <xdr:row>0</xdr:row>
      <xdr:rowOff>228600</xdr:rowOff>
    </xdr:from>
    <xdr:to>
      <xdr:col>1</xdr:col>
      <xdr:colOff>556260</xdr:colOff>
      <xdr:row>2</xdr:row>
      <xdr:rowOff>38100</xdr:rowOff>
    </xdr:to>
    <xdr:sp macro="" textlink="">
      <xdr:nvSpPr>
        <xdr:cNvPr id="6" name="楕円 5">
          <a:extLst>
            <a:ext uri="{FF2B5EF4-FFF2-40B4-BE49-F238E27FC236}">
              <a16:creationId xmlns:a16="http://schemas.microsoft.com/office/drawing/2014/main" id="{93261C0D-BEDB-44B6-AA24-F417280F3C28}"/>
            </a:ext>
          </a:extLst>
        </xdr:cNvPr>
        <xdr:cNvSpPr/>
      </xdr:nvSpPr>
      <xdr:spPr>
        <a:xfrm>
          <a:off x="670560" y="228600"/>
          <a:ext cx="320040" cy="29718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495300</xdr:colOff>
          <xdr:row>23</xdr:row>
          <xdr:rowOff>15240</xdr:rowOff>
        </xdr:from>
        <xdr:to>
          <xdr:col>17</xdr:col>
          <xdr:colOff>1104900</xdr:colOff>
          <xdr:row>28</xdr:row>
          <xdr:rowOff>220980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C35E7D67-6C63-12BE-FE6E-3EC522E27EE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W$40:$AH$44" spid="_x0000_s2713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28660" y="5539740"/>
              <a:ext cx="4945380" cy="13639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495300</xdr:colOff>
          <xdr:row>61</xdr:row>
          <xdr:rowOff>15240</xdr:rowOff>
        </xdr:from>
        <xdr:ext cx="4945380" cy="1143000"/>
        <xdr:pic>
          <xdr:nvPicPr>
            <xdr:cNvPr id="6" name="図 5">
              <a:extLst>
                <a:ext uri="{FF2B5EF4-FFF2-40B4-BE49-F238E27FC236}">
                  <a16:creationId xmlns:a16="http://schemas.microsoft.com/office/drawing/2014/main" id="{F0BD60CE-8FE3-4D73-AB43-42BAF022C17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W$40:$AH$44" spid="_x0000_s2713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28660" y="12451080"/>
              <a:ext cx="4945380" cy="1143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426720</xdr:colOff>
          <xdr:row>28</xdr:row>
          <xdr:rowOff>22860</xdr:rowOff>
        </xdr:from>
        <xdr:to>
          <xdr:col>19</xdr:col>
          <xdr:colOff>0</xdr:colOff>
          <xdr:row>31</xdr:row>
          <xdr:rowOff>205740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C64BC545-A343-ECB3-8014-1B32B18BA82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X$66:$AI$69" spid="_x0000_s6164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94760" y="6316980"/>
              <a:ext cx="7315200" cy="8686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411480</xdr:colOff>
      <xdr:row>0</xdr:row>
      <xdr:rowOff>228600</xdr:rowOff>
    </xdr:from>
    <xdr:to>
      <xdr:col>2</xdr:col>
      <xdr:colOff>205740</xdr:colOff>
      <xdr:row>2</xdr:row>
      <xdr:rowOff>45720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510BF0C1-8B09-E072-EDA6-1A0F0E1A423F}"/>
            </a:ext>
          </a:extLst>
        </xdr:cNvPr>
        <xdr:cNvSpPr/>
      </xdr:nvSpPr>
      <xdr:spPr>
        <a:xfrm>
          <a:off x="868680" y="228600"/>
          <a:ext cx="304800" cy="289560"/>
        </a:xfrm>
        <a:prstGeom prst="ellips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510540</xdr:colOff>
      <xdr:row>40</xdr:row>
      <xdr:rowOff>53340</xdr:rowOff>
    </xdr:from>
    <xdr:to>
      <xdr:col>12</xdr:col>
      <xdr:colOff>68580</xdr:colOff>
      <xdr:row>47</xdr:row>
      <xdr:rowOff>76200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C658C0E2-608A-9225-8058-5EA505ED675F}"/>
            </a:ext>
          </a:extLst>
        </xdr:cNvPr>
        <xdr:cNvSpPr/>
      </xdr:nvSpPr>
      <xdr:spPr>
        <a:xfrm>
          <a:off x="3291840" y="8991600"/>
          <a:ext cx="4191000" cy="162306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旧レイアウト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198120</xdr:colOff>
          <xdr:row>31</xdr:row>
          <xdr:rowOff>30480</xdr:rowOff>
        </xdr:from>
        <xdr:to>
          <xdr:col>18</xdr:col>
          <xdr:colOff>0</xdr:colOff>
          <xdr:row>36</xdr:row>
          <xdr:rowOff>15240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4CDE6CC8-3702-9197-21B5-5611198A74A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39:$AF$42" spid="_x0000_s3823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505700" y="7741920"/>
              <a:ext cx="5143500" cy="9829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118</xdr:row>
      <xdr:rowOff>152400</xdr:rowOff>
    </xdr:from>
    <xdr:to>
      <xdr:col>10</xdr:col>
      <xdr:colOff>1849755</xdr:colOff>
      <xdr:row>141</xdr:row>
      <xdr:rowOff>154471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307A658F-CF87-482D-867A-DEE8EF624102}"/>
            </a:ext>
          </a:extLst>
        </xdr:cNvPr>
        <xdr:cNvSpPr/>
      </xdr:nvSpPr>
      <xdr:spPr>
        <a:xfrm>
          <a:off x="2600325" y="24574500"/>
          <a:ext cx="5593080" cy="4164496"/>
        </a:xfrm>
        <a:prstGeom prst="rect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使用していない</a:t>
          </a:r>
        </a:p>
      </xdr:txBody>
    </xdr:sp>
    <xdr:clientData/>
  </xdr:twoCellAnchor>
  <xdr:twoCellAnchor>
    <xdr:from>
      <xdr:col>6</xdr:col>
      <xdr:colOff>9525</xdr:colOff>
      <xdr:row>201</xdr:row>
      <xdr:rowOff>38100</xdr:rowOff>
    </xdr:from>
    <xdr:to>
      <xdr:col>11</xdr:col>
      <xdr:colOff>154305</xdr:colOff>
      <xdr:row>224</xdr:row>
      <xdr:rowOff>40171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31587C7B-7365-494C-86BD-85F44881EEF7}"/>
            </a:ext>
          </a:extLst>
        </xdr:cNvPr>
        <xdr:cNvSpPr/>
      </xdr:nvSpPr>
      <xdr:spPr>
        <a:xfrm>
          <a:off x="3162300" y="40862250"/>
          <a:ext cx="5593080" cy="4164496"/>
        </a:xfrm>
        <a:prstGeom prst="rect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使用していない</a:t>
          </a:r>
        </a:p>
      </xdr:txBody>
    </xdr:sp>
    <xdr:clientData/>
  </xdr:twoCellAnchor>
  <xdr:twoCellAnchor>
    <xdr:from>
      <xdr:col>5</xdr:col>
      <xdr:colOff>561975</xdr:colOff>
      <xdr:row>239</xdr:row>
      <xdr:rowOff>0</xdr:rowOff>
    </xdr:from>
    <xdr:to>
      <xdr:col>11</xdr:col>
      <xdr:colOff>125730</xdr:colOff>
      <xdr:row>263</xdr:row>
      <xdr:rowOff>49696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3CA35FD9-E4C0-4307-9141-16201A358493}"/>
            </a:ext>
          </a:extLst>
        </xdr:cNvPr>
        <xdr:cNvSpPr/>
      </xdr:nvSpPr>
      <xdr:spPr>
        <a:xfrm>
          <a:off x="3133725" y="47863125"/>
          <a:ext cx="5593080" cy="4164496"/>
        </a:xfrm>
        <a:prstGeom prst="rect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使用していない</a:t>
          </a:r>
        </a:p>
      </xdr:txBody>
    </xdr:sp>
    <xdr:clientData/>
  </xdr:twoCellAnchor>
  <xdr:twoCellAnchor>
    <xdr:from>
      <xdr:col>16</xdr:col>
      <xdr:colOff>266700</xdr:colOff>
      <xdr:row>48</xdr:row>
      <xdr:rowOff>87630</xdr:rowOff>
    </xdr:from>
    <xdr:to>
      <xdr:col>21</xdr:col>
      <xdr:colOff>76200</xdr:colOff>
      <xdr:row>53</xdr:row>
      <xdr:rowOff>64770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0DA6967-4FE8-4E67-9EE2-9041E0CBCAC2}"/>
            </a:ext>
          </a:extLst>
        </xdr:cNvPr>
        <xdr:cNvSpPr/>
      </xdr:nvSpPr>
      <xdr:spPr>
        <a:xfrm>
          <a:off x="12557760" y="10168890"/>
          <a:ext cx="2903220" cy="1043940"/>
        </a:xfrm>
        <a:prstGeom prst="rect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>
              <a:solidFill>
                <a:srgbClr val="FF0000"/>
              </a:solidFill>
            </a:rPr>
            <a:t>NC-88</a:t>
          </a:r>
          <a:endParaRPr kumimoji="1" lang="ja-JP" altLang="en-US" sz="1800">
            <a:solidFill>
              <a:srgbClr val="FF0000"/>
            </a:solidFill>
          </a:endParaRPr>
        </a:p>
      </xdr:txBody>
    </xdr:sp>
    <xdr:clientData/>
  </xdr:twoCellAnchor>
  <xdr:twoCellAnchor>
    <xdr:from>
      <xdr:col>36</xdr:col>
      <xdr:colOff>238125</xdr:colOff>
      <xdr:row>56</xdr:row>
      <xdr:rowOff>219075</xdr:rowOff>
    </xdr:from>
    <xdr:to>
      <xdr:col>40</xdr:col>
      <xdr:colOff>400050</xdr:colOff>
      <xdr:row>61</xdr:row>
      <xdr:rowOff>171450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6ABF4FB-1E81-4D5C-B122-B956E9610AB4}"/>
            </a:ext>
          </a:extLst>
        </xdr:cNvPr>
        <xdr:cNvSpPr/>
      </xdr:nvSpPr>
      <xdr:spPr>
        <a:xfrm>
          <a:off x="27612975" y="12363450"/>
          <a:ext cx="2905125" cy="1143000"/>
        </a:xfrm>
        <a:prstGeom prst="rect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>
              <a:solidFill>
                <a:srgbClr val="FF0000"/>
              </a:solidFill>
            </a:rPr>
            <a:t>NC-84,85</a:t>
          </a:r>
          <a:endParaRPr kumimoji="1" lang="ja-JP" altLang="en-US" sz="1800">
            <a:solidFill>
              <a:srgbClr val="FF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1317812</xdr:colOff>
          <xdr:row>35</xdr:row>
          <xdr:rowOff>26895</xdr:rowOff>
        </xdr:from>
        <xdr:to>
          <xdr:col>15</xdr:col>
          <xdr:colOff>1521311</xdr:colOff>
          <xdr:row>38</xdr:row>
          <xdr:rowOff>225459</xdr:rowOff>
        </xdr:to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8BD34291-3DA4-2AFB-EEA5-F86BD2DCE7F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U$198:$AF$201" spid="_x0000_s392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664824" y="7602071"/>
              <a:ext cx="4658958" cy="89781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14</xdr:col>
      <xdr:colOff>8946</xdr:colOff>
      <xdr:row>21</xdr:row>
      <xdr:rowOff>152400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3427365-8DA0-4FF7-AB03-01FF13F3D37B}"/>
            </a:ext>
          </a:extLst>
        </xdr:cNvPr>
        <xdr:cNvSpPr/>
      </xdr:nvSpPr>
      <xdr:spPr>
        <a:xfrm>
          <a:off x="4346713" y="1298713"/>
          <a:ext cx="5574859" cy="3233530"/>
        </a:xfrm>
        <a:prstGeom prst="rect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>
              <a:solidFill>
                <a:srgbClr val="FF0000"/>
              </a:solidFill>
            </a:rPr>
            <a:t>NC42</a:t>
          </a:r>
          <a:r>
            <a:rPr kumimoji="1" lang="ja-JP" altLang="en-US" sz="1800">
              <a:solidFill>
                <a:srgbClr val="FF0000"/>
              </a:solidFill>
            </a:rPr>
            <a:t>，</a:t>
          </a:r>
          <a:r>
            <a:rPr kumimoji="1" lang="en-US" altLang="ja-JP" sz="1800">
              <a:solidFill>
                <a:srgbClr val="FF0000"/>
              </a:solidFill>
            </a:rPr>
            <a:t>53</a:t>
          </a:r>
          <a:r>
            <a:rPr kumimoji="1" lang="ja-JP" altLang="en-US" sz="1800">
              <a:solidFill>
                <a:srgbClr val="FF0000"/>
              </a:solidFill>
            </a:rPr>
            <a:t>，</a:t>
          </a:r>
          <a:r>
            <a:rPr kumimoji="1" lang="en-US" altLang="ja-JP" sz="1800">
              <a:solidFill>
                <a:srgbClr val="FF0000"/>
              </a:solidFill>
            </a:rPr>
            <a:t>54</a:t>
          </a:r>
          <a:r>
            <a:rPr kumimoji="1" lang="ja-JP" altLang="en-US" sz="1800">
              <a:solidFill>
                <a:srgbClr val="FF0000"/>
              </a:solidFill>
            </a:rPr>
            <a:t>　測定見直し、まだ改定してない</a:t>
          </a:r>
          <a:endParaRPr kumimoji="1" lang="en-US" altLang="ja-JP" sz="1800">
            <a:solidFill>
              <a:srgbClr val="FF0000"/>
            </a:solidFill>
          </a:endParaRPr>
        </a:p>
        <a:p>
          <a:pPr algn="ctr"/>
          <a:r>
            <a:rPr kumimoji="1" lang="ja-JP" altLang="en-US" sz="1800">
              <a:solidFill>
                <a:srgbClr val="FF0000"/>
              </a:solidFill>
            </a:rPr>
            <a:t>及び、予告、寿命の追記変更まだ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350520</xdr:colOff>
      <xdr:row>5</xdr:row>
      <xdr:rowOff>38100</xdr:rowOff>
    </xdr:from>
    <xdr:to>
      <xdr:col>14</xdr:col>
      <xdr:colOff>15240</xdr:colOff>
      <xdr:row>14</xdr:row>
      <xdr:rowOff>91440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A7868F8-F842-4809-919F-C50CEF0C57A1}"/>
            </a:ext>
          </a:extLst>
        </xdr:cNvPr>
        <xdr:cNvSpPr/>
      </xdr:nvSpPr>
      <xdr:spPr>
        <a:xfrm>
          <a:off x="2865120" y="1082040"/>
          <a:ext cx="7132320" cy="1767840"/>
        </a:xfrm>
        <a:prstGeom prst="rect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>
              <a:solidFill>
                <a:srgbClr val="FF0000"/>
              </a:solidFill>
            </a:rPr>
            <a:t>NC64</a:t>
          </a:r>
          <a:r>
            <a:rPr kumimoji="1" lang="ja-JP" altLang="en-US" sz="1800">
              <a:solidFill>
                <a:srgbClr val="FF0000"/>
              </a:solidFill>
            </a:rPr>
            <a:t>、</a:t>
          </a:r>
          <a:r>
            <a:rPr kumimoji="1" lang="en-US" altLang="ja-JP" sz="1800">
              <a:solidFill>
                <a:srgbClr val="FF0000"/>
              </a:solidFill>
            </a:rPr>
            <a:t>65</a:t>
          </a:r>
          <a:r>
            <a:rPr kumimoji="1" lang="ja-JP" altLang="en-US" sz="1800">
              <a:solidFill>
                <a:srgbClr val="FF0000"/>
              </a:solidFill>
            </a:rPr>
            <a:t>　測定見直し、まだ改定してない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30</xdr:row>
      <xdr:rowOff>0</xdr:rowOff>
    </xdr:from>
    <xdr:to>
      <xdr:col>10</xdr:col>
      <xdr:colOff>647700</xdr:colOff>
      <xdr:row>32</xdr:row>
      <xdr:rowOff>121920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2FB7DE3-7CF3-6568-60DA-07CE95C7B9C1}"/>
            </a:ext>
          </a:extLst>
        </xdr:cNvPr>
        <xdr:cNvSpPr/>
      </xdr:nvSpPr>
      <xdr:spPr>
        <a:xfrm>
          <a:off x="586740" y="5875020"/>
          <a:ext cx="4640580" cy="502920"/>
        </a:xfrm>
        <a:prstGeom prst="rect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>
              <a:solidFill>
                <a:srgbClr val="FF0000"/>
              </a:solidFill>
            </a:rPr>
            <a:t>NC66</a:t>
          </a:r>
          <a:r>
            <a:rPr kumimoji="1" lang="ja-JP" altLang="en-US" sz="1800">
              <a:solidFill>
                <a:srgbClr val="FF0000"/>
              </a:solidFill>
            </a:rPr>
            <a:t>　測定見直しの件</a:t>
          </a:r>
          <a:r>
            <a:rPr kumimoji="1" lang="en-US" altLang="ja-JP" sz="1800">
              <a:solidFill>
                <a:srgbClr val="FF0000"/>
              </a:solidFill>
            </a:rPr>
            <a:t>-</a:t>
          </a:r>
          <a:r>
            <a:rPr kumimoji="1" lang="ja-JP" altLang="en-US" sz="1800">
              <a:solidFill>
                <a:srgbClr val="FF0000"/>
              </a:solidFill>
            </a:rPr>
            <a:t>まだ改定してない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318052</xdr:colOff>
      <xdr:row>67</xdr:row>
      <xdr:rowOff>33129</xdr:rowOff>
    </xdr:from>
    <xdr:to>
      <xdr:col>10</xdr:col>
      <xdr:colOff>1976893</xdr:colOff>
      <xdr:row>89</xdr:row>
      <xdr:rowOff>6625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B3A949E-D374-4063-87FE-36E4BB382891}"/>
            </a:ext>
          </a:extLst>
        </xdr:cNvPr>
        <xdr:cNvSpPr/>
      </xdr:nvSpPr>
      <xdr:spPr>
        <a:xfrm>
          <a:off x="2551043" y="13185912"/>
          <a:ext cx="5574859" cy="4200939"/>
        </a:xfrm>
        <a:prstGeom prst="rect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測定見直しの件</a:t>
          </a:r>
          <a:r>
            <a:rPr kumimoji="1" lang="en-US" altLang="ja-JP" sz="1800">
              <a:solidFill>
                <a:srgbClr val="FF0000"/>
              </a:solidFill>
            </a:rPr>
            <a:t>-</a:t>
          </a:r>
          <a:r>
            <a:rPr kumimoji="1" lang="ja-JP" altLang="en-US" sz="1800">
              <a:solidFill>
                <a:srgbClr val="FF0000"/>
              </a:solidFill>
            </a:rPr>
            <a:t>まだ改定してない</a:t>
          </a:r>
        </a:p>
      </xdr:txBody>
    </xdr:sp>
    <xdr:clientData/>
  </xdr:twoCellAnchor>
  <xdr:twoCellAnchor>
    <xdr:from>
      <xdr:col>4</xdr:col>
      <xdr:colOff>318052</xdr:colOff>
      <xdr:row>7</xdr:row>
      <xdr:rowOff>72887</xdr:rowOff>
    </xdr:from>
    <xdr:to>
      <xdr:col>10</xdr:col>
      <xdr:colOff>1976893</xdr:colOff>
      <xdr:row>20</xdr:row>
      <xdr:rowOff>185529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BF68BEE-7F5C-442C-8525-0E486ECEE696}"/>
            </a:ext>
          </a:extLst>
        </xdr:cNvPr>
        <xdr:cNvSpPr/>
      </xdr:nvSpPr>
      <xdr:spPr>
        <a:xfrm>
          <a:off x="2551043" y="1510748"/>
          <a:ext cx="5574859" cy="2610677"/>
        </a:xfrm>
        <a:prstGeom prst="rect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測定見直しの件</a:t>
          </a:r>
          <a:r>
            <a:rPr kumimoji="1" lang="en-US" altLang="ja-JP" sz="1800">
              <a:solidFill>
                <a:srgbClr val="FF0000"/>
              </a:solidFill>
            </a:rPr>
            <a:t>-</a:t>
          </a:r>
          <a:r>
            <a:rPr kumimoji="1" lang="ja-JP" altLang="en-US" sz="1800">
              <a:solidFill>
                <a:srgbClr val="FF0000"/>
              </a:solidFill>
            </a:rPr>
            <a:t>まだ改定してない</a:t>
          </a:r>
        </a:p>
      </xdr:txBody>
    </xdr:sp>
    <xdr:clientData/>
  </xdr:twoCellAnchor>
  <xdr:twoCellAnchor>
    <xdr:from>
      <xdr:col>5</xdr:col>
      <xdr:colOff>251791</xdr:colOff>
      <xdr:row>35</xdr:row>
      <xdr:rowOff>106017</xdr:rowOff>
    </xdr:from>
    <xdr:to>
      <xdr:col>11</xdr:col>
      <xdr:colOff>114963</xdr:colOff>
      <xdr:row>57</xdr:row>
      <xdr:rowOff>132522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7080BF7-72D7-4C2C-A04E-3848977FDCFB}"/>
            </a:ext>
          </a:extLst>
        </xdr:cNvPr>
        <xdr:cNvSpPr/>
      </xdr:nvSpPr>
      <xdr:spPr>
        <a:xfrm>
          <a:off x="2802834" y="7017026"/>
          <a:ext cx="5574859" cy="4253948"/>
        </a:xfrm>
        <a:prstGeom prst="rect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　測定見直しの件</a:t>
          </a:r>
          <a:r>
            <a:rPr kumimoji="1" lang="en-US" altLang="ja-JP" sz="1800">
              <a:solidFill>
                <a:srgbClr val="FF0000"/>
              </a:solidFill>
            </a:rPr>
            <a:t>-</a:t>
          </a:r>
          <a:r>
            <a:rPr kumimoji="1" lang="ja-JP" altLang="en-US" sz="1800">
              <a:solidFill>
                <a:srgbClr val="FF0000"/>
              </a:solidFill>
            </a:rPr>
            <a:t>まだ改定してない</a:t>
          </a:r>
        </a:p>
      </xdr:txBody>
    </xdr:sp>
    <xdr:clientData/>
  </xdr:twoCellAnchor>
  <xdr:twoCellAnchor>
    <xdr:from>
      <xdr:col>5</xdr:col>
      <xdr:colOff>49695</xdr:colOff>
      <xdr:row>102</xdr:row>
      <xdr:rowOff>165652</xdr:rowOff>
    </xdr:from>
    <xdr:to>
      <xdr:col>10</xdr:col>
      <xdr:colOff>2031558</xdr:colOff>
      <xdr:row>122</xdr:row>
      <xdr:rowOff>180561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43531B0-D731-495C-BF4E-3E6F95AA0059}"/>
            </a:ext>
          </a:extLst>
        </xdr:cNvPr>
        <xdr:cNvSpPr/>
      </xdr:nvSpPr>
      <xdr:spPr>
        <a:xfrm>
          <a:off x="2617304" y="20043913"/>
          <a:ext cx="5593080" cy="4164496"/>
        </a:xfrm>
        <a:prstGeom prst="rect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>
              <a:solidFill>
                <a:srgbClr val="FF0000"/>
              </a:solidFill>
            </a:rPr>
            <a:t>刃具Ｔ</a:t>
          </a:r>
          <a:r>
            <a:rPr kumimoji="1" lang="en-US" altLang="ja-JP" sz="1800">
              <a:solidFill>
                <a:srgbClr val="FF0000"/>
              </a:solidFill>
            </a:rPr>
            <a:t>46</a:t>
          </a:r>
          <a:r>
            <a:rPr kumimoji="1" lang="ja-JP" altLang="en-US" sz="1800">
              <a:solidFill>
                <a:srgbClr val="FF0000"/>
              </a:solidFill>
            </a:rPr>
            <a:t>，</a:t>
          </a:r>
          <a:r>
            <a:rPr kumimoji="1" lang="en-US" altLang="ja-JP" sz="1800">
              <a:solidFill>
                <a:srgbClr val="FF0000"/>
              </a:solidFill>
            </a:rPr>
            <a:t>47</a:t>
          </a:r>
          <a:r>
            <a:rPr kumimoji="1" lang="ja-JP" altLang="en-US" sz="1800">
              <a:solidFill>
                <a:srgbClr val="FF0000"/>
              </a:solidFill>
            </a:rPr>
            <a:t>変更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792F-C1A1-4179-8CB2-017E890B553D}">
  <sheetPr>
    <tabColor rgb="FF00B050"/>
  </sheetPr>
  <dimension ref="A1:AK185"/>
  <sheetViews>
    <sheetView tabSelected="1" view="pageBreakPreview" zoomScaleNormal="100" zoomScaleSheetLayoutView="100" workbookViewId="0">
      <selection activeCell="O33" sqref="A6:O33"/>
    </sheetView>
  </sheetViews>
  <sheetFormatPr defaultRowHeight="18"/>
  <cols>
    <col min="1" max="1" width="5.69921875" customWidth="1"/>
    <col min="2" max="4" width="7.59765625" customWidth="1"/>
    <col min="5" max="5" width="4.19921875" customWidth="1"/>
    <col min="6" max="8" width="7.59765625" customWidth="1"/>
    <col min="9" max="9" width="3.8984375" customWidth="1"/>
    <col min="10" max="10" width="27.3984375" hidden="1" customWidth="1"/>
    <col min="11" max="11" width="29.19921875" hidden="1" customWidth="1"/>
    <col min="12" max="12" width="7.59765625" hidden="1" customWidth="1"/>
    <col min="13" max="13" width="5.69921875" style="332" hidden="1" customWidth="1"/>
    <col min="14" max="15" width="5.69921875" customWidth="1"/>
    <col min="16" max="18" width="7.59765625" customWidth="1"/>
  </cols>
  <sheetData>
    <row r="1" spans="1:27" ht="18" customHeight="1">
      <c r="A1" s="262" t="s">
        <v>963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69"/>
      <c r="N1" s="39"/>
      <c r="O1" s="39"/>
      <c r="P1" s="39"/>
      <c r="Q1" s="39"/>
      <c r="R1" s="39"/>
    </row>
    <row r="2" spans="1:27" ht="18" customHeight="1">
      <c r="A2" s="267" t="s">
        <v>1456</v>
      </c>
      <c r="B2" s="464"/>
      <c r="C2" s="464"/>
      <c r="D2" s="464"/>
      <c r="E2" s="464"/>
      <c r="F2" s="464"/>
      <c r="G2" s="39"/>
      <c r="H2" s="39"/>
      <c r="I2" s="39"/>
      <c r="J2" s="39"/>
      <c r="K2" s="39"/>
      <c r="L2" s="465"/>
      <c r="M2" s="469"/>
      <c r="N2" s="39"/>
      <c r="O2" s="39"/>
      <c r="P2" s="39"/>
      <c r="Q2" s="39"/>
      <c r="R2" s="39"/>
    </row>
    <row r="3" spans="1:27" ht="15" customHeight="1">
      <c r="A3" s="49" t="s">
        <v>366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469"/>
      <c r="N3" s="39"/>
      <c r="O3" s="39"/>
      <c r="P3" s="39"/>
      <c r="Q3" s="804" t="s">
        <v>983</v>
      </c>
      <c r="R3" s="804"/>
    </row>
    <row r="4" spans="1:27" ht="15" customHeight="1">
      <c r="A4" s="710" t="s">
        <v>2</v>
      </c>
      <c r="B4" s="712" t="s">
        <v>3</v>
      </c>
      <c r="C4" s="712"/>
      <c r="D4" s="650" t="s">
        <v>4</v>
      </c>
      <c r="E4" s="650"/>
      <c r="F4" s="712" t="s">
        <v>5</v>
      </c>
      <c r="G4" s="712"/>
      <c r="H4" s="712"/>
      <c r="I4" s="712"/>
      <c r="J4" s="713" t="s">
        <v>491</v>
      </c>
      <c r="K4" s="715" t="s">
        <v>7</v>
      </c>
      <c r="L4" s="185" t="s">
        <v>407</v>
      </c>
      <c r="M4" s="768" t="s">
        <v>1095</v>
      </c>
      <c r="N4" s="805" t="s">
        <v>1096</v>
      </c>
      <c r="O4" s="715" t="s">
        <v>1097</v>
      </c>
      <c r="P4" s="674" t="s">
        <v>8</v>
      </c>
      <c r="Q4" s="675"/>
      <c r="R4" s="676"/>
    </row>
    <row r="5" spans="1:27" ht="15" customHeight="1">
      <c r="A5" s="711"/>
      <c r="B5" s="712"/>
      <c r="C5" s="712"/>
      <c r="D5" s="650"/>
      <c r="E5" s="650"/>
      <c r="F5" s="712"/>
      <c r="G5" s="712"/>
      <c r="H5" s="712"/>
      <c r="I5" s="712"/>
      <c r="J5" s="714"/>
      <c r="K5" s="715"/>
      <c r="L5" s="186" t="s">
        <v>410</v>
      </c>
      <c r="M5" s="717"/>
      <c r="N5" s="706"/>
      <c r="O5" s="715"/>
      <c r="P5" s="674"/>
      <c r="Q5" s="675"/>
      <c r="R5" s="676"/>
    </row>
    <row r="6" spans="1:27" ht="18" customHeight="1">
      <c r="A6" s="59" t="s">
        <v>233</v>
      </c>
      <c r="B6" s="706" t="s">
        <v>178</v>
      </c>
      <c r="C6" s="706"/>
      <c r="D6" s="650" t="s">
        <v>240</v>
      </c>
      <c r="E6" s="650"/>
      <c r="F6" s="707" t="s">
        <v>1067</v>
      </c>
      <c r="G6" s="707"/>
      <c r="H6" s="707"/>
      <c r="I6" s="707"/>
      <c r="J6" s="505" t="s">
        <v>1480</v>
      </c>
      <c r="K6" s="273" t="s">
        <v>989</v>
      </c>
      <c r="L6" s="93" t="s">
        <v>425</v>
      </c>
      <c r="M6" s="323">
        <v>120</v>
      </c>
      <c r="N6" s="25">
        <v>1</v>
      </c>
      <c r="O6" s="43">
        <v>20120</v>
      </c>
      <c r="P6" s="708" t="s">
        <v>431</v>
      </c>
      <c r="Q6" s="708"/>
      <c r="R6" s="708"/>
    </row>
    <row r="7" spans="1:27" ht="18" customHeight="1">
      <c r="A7" s="57" t="s">
        <v>298</v>
      </c>
      <c r="B7" s="650" t="s">
        <v>236</v>
      </c>
      <c r="C7" s="650"/>
      <c r="D7" s="696" t="s">
        <v>179</v>
      </c>
      <c r="E7" s="696"/>
      <c r="F7" s="651" t="s">
        <v>886</v>
      </c>
      <c r="G7" s="651"/>
      <c r="H7" s="651"/>
      <c r="I7" s="651"/>
      <c r="J7" s="506" t="s">
        <v>1228</v>
      </c>
      <c r="K7" s="15"/>
      <c r="L7" s="97" t="s">
        <v>425</v>
      </c>
      <c r="M7" s="323">
        <v>120</v>
      </c>
      <c r="N7" s="25">
        <v>1</v>
      </c>
      <c r="O7" s="32">
        <v>5120</v>
      </c>
      <c r="P7" s="708" t="s">
        <v>426</v>
      </c>
      <c r="Q7" s="708"/>
      <c r="R7" s="708"/>
    </row>
    <row r="8" spans="1:27" ht="18" customHeight="1">
      <c r="A8" s="614" t="s">
        <v>242</v>
      </c>
      <c r="B8" s="661" t="s">
        <v>10</v>
      </c>
      <c r="C8" s="661"/>
      <c r="D8" s="661" t="s">
        <v>11</v>
      </c>
      <c r="E8" s="661"/>
      <c r="F8" s="659" t="s">
        <v>415</v>
      </c>
      <c r="G8" s="659"/>
      <c r="H8" s="659"/>
      <c r="I8" s="659"/>
      <c r="J8" s="801" t="s">
        <v>1481</v>
      </c>
      <c r="K8" s="704" t="s">
        <v>1074</v>
      </c>
      <c r="L8" s="88"/>
      <c r="M8" s="324">
        <v>120</v>
      </c>
      <c r="N8" s="8">
        <v>1</v>
      </c>
      <c r="O8" s="124">
        <v>10120</v>
      </c>
      <c r="P8" s="656" t="s">
        <v>887</v>
      </c>
      <c r="Q8" s="657"/>
      <c r="R8" s="658"/>
    </row>
    <row r="9" spans="1:27" ht="18" customHeight="1">
      <c r="A9" s="616"/>
      <c r="B9" s="700" t="s">
        <v>13</v>
      </c>
      <c r="C9" s="701"/>
      <c r="D9" s="661" t="s">
        <v>11</v>
      </c>
      <c r="E9" s="661"/>
      <c r="F9" s="659" t="s">
        <v>418</v>
      </c>
      <c r="G9" s="659"/>
      <c r="H9" s="659"/>
      <c r="I9" s="659"/>
      <c r="J9" s="787"/>
      <c r="K9" s="673"/>
      <c r="L9" s="88"/>
      <c r="M9" s="324"/>
      <c r="N9" s="8"/>
      <c r="O9" s="124"/>
      <c r="P9" s="634"/>
      <c r="Q9" s="635"/>
      <c r="R9" s="636"/>
    </row>
    <row r="10" spans="1:27" ht="18" customHeight="1">
      <c r="A10" s="614" t="s">
        <v>807</v>
      </c>
      <c r="B10" s="661" t="s">
        <v>10</v>
      </c>
      <c r="C10" s="661"/>
      <c r="D10" s="661" t="s">
        <v>43</v>
      </c>
      <c r="E10" s="661"/>
      <c r="F10" s="653" t="s">
        <v>1525</v>
      </c>
      <c r="G10" s="653"/>
      <c r="H10" s="653"/>
      <c r="I10" s="653"/>
      <c r="J10" s="801" t="s">
        <v>1229</v>
      </c>
      <c r="K10" s="703"/>
      <c r="L10" s="88"/>
      <c r="M10" s="324">
        <v>120</v>
      </c>
      <c r="N10" s="8">
        <v>1</v>
      </c>
      <c r="O10" s="124">
        <v>1220</v>
      </c>
      <c r="P10" s="656" t="s">
        <v>874</v>
      </c>
      <c r="Q10" s="657"/>
      <c r="R10" s="658"/>
    </row>
    <row r="11" spans="1:27" ht="18" customHeight="1">
      <c r="A11" s="616"/>
      <c r="B11" s="700" t="s">
        <v>13</v>
      </c>
      <c r="C11" s="701"/>
      <c r="D11" s="661" t="s">
        <v>11</v>
      </c>
      <c r="E11" s="661"/>
      <c r="F11" s="653" t="s">
        <v>414</v>
      </c>
      <c r="G11" s="653"/>
      <c r="H11" s="653"/>
      <c r="I11" s="653"/>
      <c r="J11" s="787"/>
      <c r="K11" s="673"/>
      <c r="L11" s="88"/>
      <c r="M11" s="324"/>
      <c r="N11" s="8"/>
      <c r="O11" s="124"/>
      <c r="P11" s="634"/>
      <c r="Q11" s="635"/>
      <c r="R11" s="636"/>
    </row>
    <row r="12" spans="1:27" ht="18" customHeight="1">
      <c r="A12" s="614" t="s">
        <v>808</v>
      </c>
      <c r="B12" s="661" t="s">
        <v>35</v>
      </c>
      <c r="C12" s="661"/>
      <c r="D12" s="661" t="s">
        <v>11</v>
      </c>
      <c r="E12" s="661"/>
      <c r="F12" s="699" t="s">
        <v>1190</v>
      </c>
      <c r="G12" s="699"/>
      <c r="H12" s="699"/>
      <c r="I12" s="699"/>
      <c r="J12" s="778"/>
      <c r="K12" s="702" t="s">
        <v>37</v>
      </c>
      <c r="L12" s="88"/>
      <c r="M12" s="324">
        <v>120</v>
      </c>
      <c r="N12" s="8">
        <v>1</v>
      </c>
      <c r="O12" s="124">
        <v>1300</v>
      </c>
      <c r="P12" s="660" t="s">
        <v>38</v>
      </c>
      <c r="Q12" s="660"/>
      <c r="R12" s="660"/>
      <c r="V12" s="661" t="s">
        <v>11</v>
      </c>
      <c r="W12" s="661"/>
      <c r="X12" s="699" t="s">
        <v>303</v>
      </c>
      <c r="Y12" s="699"/>
      <c r="Z12" s="699"/>
      <c r="AA12" s="699"/>
    </row>
    <row r="13" spans="1:27" ht="18" customHeight="1">
      <c r="A13" s="616"/>
      <c r="B13" s="661" t="s">
        <v>304</v>
      </c>
      <c r="C13" s="661"/>
      <c r="D13" s="661" t="s">
        <v>11</v>
      </c>
      <c r="E13" s="661"/>
      <c r="F13" s="699" t="s">
        <v>1191</v>
      </c>
      <c r="G13" s="699"/>
      <c r="H13" s="699"/>
      <c r="I13" s="699"/>
      <c r="J13" s="800"/>
      <c r="K13" s="691"/>
      <c r="L13" s="88"/>
      <c r="M13" s="324"/>
      <c r="N13" s="8"/>
      <c r="O13" s="124"/>
      <c r="P13" s="660"/>
      <c r="Q13" s="660"/>
      <c r="R13" s="660"/>
      <c r="V13" s="661" t="s">
        <v>11</v>
      </c>
      <c r="W13" s="661"/>
      <c r="X13" s="699" t="s">
        <v>393</v>
      </c>
      <c r="Y13" s="699"/>
      <c r="Z13" s="699"/>
      <c r="AA13" s="699"/>
    </row>
    <row r="14" spans="1:27" ht="30" customHeight="1">
      <c r="A14" s="59" t="s">
        <v>549</v>
      </c>
      <c r="B14" s="618" t="s">
        <v>211</v>
      </c>
      <c r="C14" s="619"/>
      <c r="D14" s="618" t="s">
        <v>11</v>
      </c>
      <c r="E14" s="619"/>
      <c r="F14" s="620" t="s">
        <v>1119</v>
      </c>
      <c r="G14" s="621"/>
      <c r="H14" s="621"/>
      <c r="I14" s="622"/>
      <c r="J14" s="507" t="s">
        <v>1230</v>
      </c>
      <c r="K14" s="25"/>
      <c r="L14" s="93" t="s">
        <v>425</v>
      </c>
      <c r="M14" s="323">
        <v>120</v>
      </c>
      <c r="N14" s="25">
        <v>1</v>
      </c>
      <c r="O14" s="32">
        <v>5120</v>
      </c>
      <c r="P14" s="652" t="s">
        <v>871</v>
      </c>
      <c r="Q14" s="623"/>
      <c r="R14" s="624"/>
    </row>
    <row r="15" spans="1:27" ht="18" customHeight="1">
      <c r="A15" s="57" t="s">
        <v>434</v>
      </c>
      <c r="B15" s="696" t="s">
        <v>178</v>
      </c>
      <c r="C15" s="696"/>
      <c r="D15" s="696" t="s">
        <v>888</v>
      </c>
      <c r="E15" s="696"/>
      <c r="F15" s="697" t="s">
        <v>889</v>
      </c>
      <c r="G15" s="697"/>
      <c r="H15" s="697"/>
      <c r="I15" s="697"/>
      <c r="J15" s="508" t="s">
        <v>1231</v>
      </c>
      <c r="K15" s="67"/>
      <c r="L15" s="97" t="s">
        <v>436</v>
      </c>
      <c r="M15" s="323">
        <v>120</v>
      </c>
      <c r="N15" s="25">
        <v>1</v>
      </c>
      <c r="O15" s="52">
        <v>10120</v>
      </c>
      <c r="P15" s="698" t="s">
        <v>438</v>
      </c>
      <c r="Q15" s="698"/>
      <c r="R15" s="698"/>
    </row>
    <row r="16" spans="1:27" ht="18" customHeight="1">
      <c r="A16" s="229" t="s">
        <v>309</v>
      </c>
      <c r="B16" s="650" t="s">
        <v>147</v>
      </c>
      <c r="C16" s="650"/>
      <c r="D16" s="650" t="s">
        <v>49</v>
      </c>
      <c r="E16" s="650"/>
      <c r="F16" s="651" t="s">
        <v>441</v>
      </c>
      <c r="G16" s="651"/>
      <c r="H16" s="651"/>
      <c r="I16" s="651"/>
      <c r="J16" s="509" t="s">
        <v>1232</v>
      </c>
      <c r="K16" s="25" t="s">
        <v>988</v>
      </c>
      <c r="L16" s="113" t="s">
        <v>425</v>
      </c>
      <c r="M16" s="323">
        <v>120</v>
      </c>
      <c r="N16" s="25">
        <v>1</v>
      </c>
      <c r="O16" s="32">
        <v>3120</v>
      </c>
      <c r="P16" s="660" t="s">
        <v>872</v>
      </c>
      <c r="Q16" s="660"/>
      <c r="R16" s="660"/>
    </row>
    <row r="17" spans="1:18" ht="18" customHeight="1">
      <c r="A17" s="614" t="s">
        <v>809</v>
      </c>
      <c r="B17" s="661" t="s">
        <v>199</v>
      </c>
      <c r="C17" s="661"/>
      <c r="D17" s="661" t="s">
        <v>11</v>
      </c>
      <c r="E17" s="661"/>
      <c r="F17" s="659" t="s">
        <v>419</v>
      </c>
      <c r="G17" s="659"/>
      <c r="H17" s="659"/>
      <c r="I17" s="659"/>
      <c r="J17" s="778"/>
      <c r="K17" s="702" t="s">
        <v>420</v>
      </c>
      <c r="L17" s="88"/>
      <c r="M17" s="324">
        <v>120</v>
      </c>
      <c r="N17" s="8">
        <v>1</v>
      </c>
      <c r="O17" s="124">
        <v>2120</v>
      </c>
      <c r="P17" s="660" t="s">
        <v>323</v>
      </c>
      <c r="Q17" s="660"/>
      <c r="R17" s="660"/>
    </row>
    <row r="18" spans="1:18" ht="18" customHeight="1">
      <c r="A18" s="616"/>
      <c r="B18" s="661" t="s">
        <v>202</v>
      </c>
      <c r="C18" s="661"/>
      <c r="D18" s="661" t="s">
        <v>11</v>
      </c>
      <c r="E18" s="661"/>
      <c r="F18" s="659" t="s">
        <v>203</v>
      </c>
      <c r="G18" s="659"/>
      <c r="H18" s="659"/>
      <c r="I18" s="659"/>
      <c r="J18" s="800"/>
      <c r="K18" s="691"/>
      <c r="L18" s="88"/>
      <c r="M18" s="324"/>
      <c r="N18" s="8"/>
      <c r="O18" s="124"/>
      <c r="P18" s="660"/>
      <c r="Q18" s="660"/>
      <c r="R18" s="660"/>
    </row>
    <row r="19" spans="1:18" ht="18" customHeight="1">
      <c r="A19" s="614" t="s">
        <v>127</v>
      </c>
      <c r="B19" s="661" t="s">
        <v>10</v>
      </c>
      <c r="C19" s="661"/>
      <c r="D19" s="661" t="s">
        <v>43</v>
      </c>
      <c r="E19" s="661"/>
      <c r="F19" s="659" t="s">
        <v>810</v>
      </c>
      <c r="G19" s="659"/>
      <c r="H19" s="659"/>
      <c r="I19" s="659"/>
      <c r="J19" s="778" t="s">
        <v>1228</v>
      </c>
      <c r="K19" s="687"/>
      <c r="L19" s="88"/>
      <c r="M19" s="324">
        <v>120</v>
      </c>
      <c r="N19" s="8">
        <v>1</v>
      </c>
      <c r="O19" s="124">
        <v>500</v>
      </c>
      <c r="P19" s="660" t="s">
        <v>12</v>
      </c>
      <c r="Q19" s="660"/>
      <c r="R19" s="660"/>
    </row>
    <row r="20" spans="1:18" ht="18" customHeight="1" thickBot="1">
      <c r="A20" s="684"/>
      <c r="B20" s="693" t="s">
        <v>13</v>
      </c>
      <c r="C20" s="694"/>
      <c r="D20" s="693" t="s">
        <v>14</v>
      </c>
      <c r="E20" s="694"/>
      <c r="F20" s="695" t="s">
        <v>811</v>
      </c>
      <c r="G20" s="695"/>
      <c r="H20" s="695"/>
      <c r="I20" s="695"/>
      <c r="J20" s="779"/>
      <c r="K20" s="688"/>
      <c r="L20" s="224"/>
      <c r="M20" s="325"/>
      <c r="N20" s="24"/>
      <c r="O20" s="363"/>
      <c r="P20" s="692"/>
      <c r="Q20" s="692"/>
      <c r="R20" s="692"/>
    </row>
    <row r="21" spans="1:18" ht="18" customHeight="1" thickTop="1">
      <c r="A21" s="664" t="s">
        <v>380</v>
      </c>
      <c r="B21" s="637" t="s">
        <v>10</v>
      </c>
      <c r="C21" s="637"/>
      <c r="D21" s="638" t="s">
        <v>14</v>
      </c>
      <c r="E21" s="639"/>
      <c r="F21" s="653" t="s">
        <v>445</v>
      </c>
      <c r="G21" s="653"/>
      <c r="H21" s="653"/>
      <c r="I21" s="653"/>
      <c r="J21" s="786" t="s">
        <v>1482</v>
      </c>
      <c r="K21" s="825" t="s">
        <v>986</v>
      </c>
      <c r="L21" s="108"/>
      <c r="M21" s="326">
        <v>120</v>
      </c>
      <c r="N21" s="14">
        <v>1</v>
      </c>
      <c r="O21" s="51">
        <v>2120</v>
      </c>
      <c r="P21" s="794" t="s">
        <v>900</v>
      </c>
      <c r="Q21" s="826"/>
      <c r="R21" s="827"/>
    </row>
    <row r="22" spans="1:18" ht="18" customHeight="1">
      <c r="A22" s="664"/>
      <c r="B22" s="637" t="s">
        <v>81</v>
      </c>
      <c r="C22" s="637"/>
      <c r="D22" s="638" t="s">
        <v>14</v>
      </c>
      <c r="E22" s="639"/>
      <c r="F22" s="653" t="s">
        <v>448</v>
      </c>
      <c r="G22" s="653"/>
      <c r="H22" s="653"/>
      <c r="I22" s="653"/>
      <c r="J22" s="786"/>
      <c r="K22" s="823"/>
      <c r="L22" s="108"/>
      <c r="M22" s="324"/>
      <c r="N22" s="8"/>
      <c r="O22" s="51"/>
      <c r="P22" s="828"/>
      <c r="Q22" s="826"/>
      <c r="R22" s="827"/>
    </row>
    <row r="23" spans="1:18" ht="18" customHeight="1">
      <c r="A23" s="665"/>
      <c r="B23" s="637" t="s">
        <v>83</v>
      </c>
      <c r="C23" s="637"/>
      <c r="D23" s="661" t="s">
        <v>11</v>
      </c>
      <c r="E23" s="661"/>
      <c r="F23" s="659" t="s">
        <v>1408</v>
      </c>
      <c r="G23" s="659"/>
      <c r="H23" s="659"/>
      <c r="I23" s="659"/>
      <c r="J23" s="787"/>
      <c r="K23" s="824"/>
      <c r="L23" s="108"/>
      <c r="M23" s="324"/>
      <c r="N23" s="324"/>
      <c r="O23" s="51"/>
      <c r="P23" s="829"/>
      <c r="Q23" s="830"/>
      <c r="R23" s="831"/>
    </row>
    <row r="24" spans="1:18" ht="18" customHeight="1">
      <c r="A24" s="59" t="s">
        <v>269</v>
      </c>
      <c r="B24" s="650" t="s">
        <v>211</v>
      </c>
      <c r="C24" s="650"/>
      <c r="D24" s="650" t="s">
        <v>72</v>
      </c>
      <c r="E24" s="650"/>
      <c r="F24" s="651" t="s">
        <v>897</v>
      </c>
      <c r="G24" s="651"/>
      <c r="H24" s="651"/>
      <c r="I24" s="651"/>
      <c r="J24" s="509" t="s">
        <v>1225</v>
      </c>
      <c r="K24" s="25"/>
      <c r="L24" s="97" t="s">
        <v>436</v>
      </c>
      <c r="M24" s="323">
        <v>120</v>
      </c>
      <c r="N24" s="323">
        <v>1</v>
      </c>
      <c r="O24" s="32">
        <v>10120</v>
      </c>
      <c r="P24" s="660" t="s">
        <v>466</v>
      </c>
      <c r="Q24" s="660"/>
      <c r="R24" s="660"/>
    </row>
    <row r="25" spans="1:18" ht="18" customHeight="1">
      <c r="A25" s="59" t="s">
        <v>70</v>
      </c>
      <c r="B25" s="679" t="s">
        <v>868</v>
      </c>
      <c r="C25" s="680"/>
      <c r="D25" s="618" t="s">
        <v>240</v>
      </c>
      <c r="E25" s="619"/>
      <c r="F25" s="681" t="s">
        <v>1188</v>
      </c>
      <c r="G25" s="682"/>
      <c r="H25" s="682"/>
      <c r="I25" s="683"/>
      <c r="J25" s="510" t="s">
        <v>1483</v>
      </c>
      <c r="K25" s="96"/>
      <c r="L25" s="76" t="s">
        <v>425</v>
      </c>
      <c r="M25" s="320">
        <v>120</v>
      </c>
      <c r="N25" s="320">
        <v>1</v>
      </c>
      <c r="O25" s="463">
        <v>8120</v>
      </c>
      <c r="P25" s="674" t="s">
        <v>901</v>
      </c>
      <c r="Q25" s="675"/>
      <c r="R25" s="676"/>
    </row>
    <row r="26" spans="1:18" ht="18" customHeight="1">
      <c r="A26" s="615" t="s">
        <v>141</v>
      </c>
      <c r="B26" s="637" t="s">
        <v>10</v>
      </c>
      <c r="C26" s="637"/>
      <c r="D26" s="638" t="s">
        <v>43</v>
      </c>
      <c r="E26" s="639"/>
      <c r="F26" s="666" t="s">
        <v>890</v>
      </c>
      <c r="G26" s="667"/>
      <c r="H26" s="667"/>
      <c r="I26" s="667"/>
      <c r="J26" s="668" t="s">
        <v>1224</v>
      </c>
      <c r="K26" s="747" t="s">
        <v>1487</v>
      </c>
      <c r="L26" s="108"/>
      <c r="M26" s="324">
        <v>120</v>
      </c>
      <c r="N26" s="8">
        <v>1</v>
      </c>
      <c r="O26" s="51">
        <v>3120</v>
      </c>
      <c r="P26" s="631" t="s">
        <v>453</v>
      </c>
      <c r="Q26" s="632"/>
      <c r="R26" s="633"/>
    </row>
    <row r="27" spans="1:18" ht="18" customHeight="1">
      <c r="A27" s="615"/>
      <c r="B27" s="637" t="s">
        <v>81</v>
      </c>
      <c r="C27" s="637"/>
      <c r="D27" s="661" t="s">
        <v>11</v>
      </c>
      <c r="E27" s="661"/>
      <c r="F27" s="662" t="s">
        <v>891</v>
      </c>
      <c r="G27" s="663"/>
      <c r="H27" s="663"/>
      <c r="I27" s="663"/>
      <c r="J27" s="669"/>
      <c r="K27" s="748"/>
      <c r="L27" s="108"/>
      <c r="M27" s="324"/>
      <c r="N27" s="8"/>
      <c r="O27" s="51"/>
      <c r="P27" s="631"/>
      <c r="Q27" s="632"/>
      <c r="R27" s="633"/>
    </row>
    <row r="28" spans="1:18" ht="18" customHeight="1">
      <c r="A28" s="616"/>
      <c r="B28" s="637" t="s">
        <v>83</v>
      </c>
      <c r="C28" s="637"/>
      <c r="D28" s="661" t="s">
        <v>11</v>
      </c>
      <c r="E28" s="661"/>
      <c r="F28" s="659" t="s">
        <v>892</v>
      </c>
      <c r="G28" s="659"/>
      <c r="H28" s="659"/>
      <c r="I28" s="659"/>
      <c r="J28" s="670"/>
      <c r="K28" s="748"/>
      <c r="L28" s="108"/>
      <c r="M28" s="324"/>
      <c r="N28" s="8"/>
      <c r="O28" s="51"/>
      <c r="P28" s="634"/>
      <c r="Q28" s="635"/>
      <c r="R28" s="636"/>
    </row>
    <row r="29" spans="1:18" ht="18" customHeight="1">
      <c r="A29" s="57" t="s">
        <v>352</v>
      </c>
      <c r="B29" s="650" t="s">
        <v>485</v>
      </c>
      <c r="C29" s="650"/>
      <c r="D29" s="618" t="s">
        <v>49</v>
      </c>
      <c r="E29" s="619"/>
      <c r="F29" s="620" t="s">
        <v>1194</v>
      </c>
      <c r="G29" s="621"/>
      <c r="H29" s="621"/>
      <c r="I29" s="622"/>
      <c r="J29" s="515" t="s">
        <v>1484</v>
      </c>
      <c r="K29" s="516" t="s">
        <v>1193</v>
      </c>
      <c r="L29" s="97" t="s">
        <v>425</v>
      </c>
      <c r="M29" s="323">
        <v>120</v>
      </c>
      <c r="N29" s="25">
        <v>1</v>
      </c>
      <c r="O29" s="32">
        <v>10120</v>
      </c>
      <c r="P29" s="660" t="s">
        <v>877</v>
      </c>
      <c r="Q29" s="660"/>
      <c r="R29" s="660"/>
    </row>
    <row r="30" spans="1:18" ht="30" customHeight="1">
      <c r="A30" s="57" t="s">
        <v>919</v>
      </c>
      <c r="B30" s="650" t="s">
        <v>147</v>
      </c>
      <c r="C30" s="650"/>
      <c r="D30" s="650" t="s">
        <v>11</v>
      </c>
      <c r="E30" s="650"/>
      <c r="F30" s="651" t="s">
        <v>894</v>
      </c>
      <c r="G30" s="651"/>
      <c r="H30" s="651"/>
      <c r="I30" s="651"/>
      <c r="J30" s="514" t="s">
        <v>1486</v>
      </c>
      <c r="K30" s="277"/>
      <c r="L30" s="97" t="s">
        <v>425</v>
      </c>
      <c r="M30" s="323">
        <v>120</v>
      </c>
      <c r="N30" s="323">
        <v>1</v>
      </c>
      <c r="O30" s="32">
        <v>1800</v>
      </c>
      <c r="P30" s="660" t="s">
        <v>898</v>
      </c>
      <c r="Q30" s="660"/>
      <c r="R30" s="660"/>
    </row>
    <row r="31" spans="1:18" ht="18" customHeight="1">
      <c r="A31" s="614" t="s">
        <v>920</v>
      </c>
      <c r="B31" s="619" t="s">
        <v>81</v>
      </c>
      <c r="C31" s="650"/>
      <c r="D31" s="650" t="s">
        <v>11</v>
      </c>
      <c r="E31" s="650"/>
      <c r="F31" s="651" t="s">
        <v>1184</v>
      </c>
      <c r="G31" s="651"/>
      <c r="H31" s="651"/>
      <c r="I31" s="651"/>
      <c r="J31" s="743" t="s">
        <v>1438</v>
      </c>
      <c r="K31" s="745"/>
      <c r="L31" s="254"/>
      <c r="M31" s="323">
        <v>120</v>
      </c>
      <c r="N31" s="25">
        <v>1</v>
      </c>
      <c r="O31" s="32">
        <v>5120</v>
      </c>
      <c r="P31" s="657" t="s">
        <v>896</v>
      </c>
      <c r="Q31" s="657"/>
      <c r="R31" s="658"/>
    </row>
    <row r="32" spans="1:18" ht="18" customHeight="1">
      <c r="A32" s="616"/>
      <c r="B32" s="812" t="s">
        <v>83</v>
      </c>
      <c r="C32" s="812"/>
      <c r="D32" s="650" t="s">
        <v>11</v>
      </c>
      <c r="E32" s="650"/>
      <c r="F32" s="620" t="s">
        <v>1409</v>
      </c>
      <c r="G32" s="621"/>
      <c r="H32" s="621"/>
      <c r="I32" s="621"/>
      <c r="J32" s="744"/>
      <c r="K32" s="746"/>
      <c r="L32" s="254"/>
      <c r="M32" s="323"/>
      <c r="N32" s="25"/>
      <c r="O32" s="32"/>
      <c r="P32" s="635"/>
      <c r="Q32" s="635"/>
      <c r="R32" s="636"/>
    </row>
    <row r="33" spans="1:18" ht="30" customHeight="1">
      <c r="A33" s="472" t="s">
        <v>921</v>
      </c>
      <c r="B33" s="650" t="s">
        <v>178</v>
      </c>
      <c r="C33" s="650"/>
      <c r="D33" s="650" t="s">
        <v>72</v>
      </c>
      <c r="E33" s="650"/>
      <c r="F33" s="620" t="s">
        <v>962</v>
      </c>
      <c r="G33" s="621"/>
      <c r="H33" s="621"/>
      <c r="I33" s="622"/>
      <c r="J33" s="513" t="s">
        <v>1485</v>
      </c>
      <c r="K33" s="421" t="s">
        <v>1091</v>
      </c>
      <c r="L33" s="97" t="s">
        <v>436</v>
      </c>
      <c r="M33" s="323">
        <v>120</v>
      </c>
      <c r="N33" s="323">
        <v>1</v>
      </c>
      <c r="O33" s="32">
        <v>5120</v>
      </c>
      <c r="P33" s="660" t="s">
        <v>878</v>
      </c>
      <c r="Q33" s="660"/>
      <c r="R33" s="660"/>
    </row>
    <row r="34" spans="1:18" ht="18" customHeight="1">
      <c r="A34" s="278" t="s">
        <v>1367</v>
      </c>
      <c r="B34" s="278"/>
      <c r="C34" s="279"/>
      <c r="D34" s="205"/>
      <c r="E34" s="205"/>
      <c r="F34" s="206"/>
      <c r="G34" s="206"/>
      <c r="H34" s="206"/>
      <c r="I34" s="206"/>
      <c r="J34" s="207"/>
      <c r="K34" s="207"/>
      <c r="L34" s="207"/>
      <c r="M34" s="329"/>
      <c r="N34" s="207"/>
      <c r="O34" s="308"/>
      <c r="P34" s="214"/>
      <c r="Q34" s="214"/>
      <c r="R34" s="214"/>
    </row>
    <row r="35" spans="1:18" ht="18" customHeight="1">
      <c r="A35" s="279"/>
      <c r="B35" s="279"/>
      <c r="C35" s="279"/>
      <c r="D35" s="205"/>
      <c r="E35" s="205"/>
      <c r="F35" s="206"/>
      <c r="G35" s="206"/>
      <c r="H35" s="206"/>
      <c r="I35" s="206"/>
      <c r="J35" s="207"/>
      <c r="K35" s="207"/>
      <c r="L35" s="207"/>
      <c r="M35" s="329"/>
      <c r="N35" s="207"/>
      <c r="O35" s="308"/>
      <c r="P35" s="214"/>
      <c r="Q35" s="214"/>
      <c r="R35" s="214"/>
    </row>
    <row r="36" spans="1:18" ht="18" customHeight="1">
      <c r="A36" s="279"/>
      <c r="B36" s="279"/>
      <c r="C36" s="279"/>
      <c r="D36" s="205"/>
      <c r="E36" s="205"/>
      <c r="F36" s="206"/>
      <c r="G36" s="206"/>
      <c r="H36" s="206"/>
      <c r="I36" s="206"/>
      <c r="J36" s="207"/>
      <c r="K36" s="207"/>
      <c r="L36" s="207"/>
      <c r="M36" s="329"/>
      <c r="N36" s="207"/>
      <c r="O36" s="308"/>
      <c r="P36" s="214"/>
      <c r="Q36" s="214"/>
      <c r="R36" s="214"/>
    </row>
    <row r="37" spans="1:18" ht="18" customHeight="1">
      <c r="A37" s="279"/>
      <c r="B37" s="279"/>
      <c r="C37" s="279"/>
      <c r="D37" s="205"/>
      <c r="E37" s="205"/>
      <c r="F37" s="206"/>
      <c r="G37" s="206"/>
      <c r="H37" s="206"/>
      <c r="I37" s="206"/>
      <c r="J37" s="207"/>
      <c r="K37" s="207"/>
      <c r="L37" s="207"/>
      <c r="M37" s="329"/>
      <c r="N37" s="207"/>
      <c r="O37" s="308"/>
      <c r="P37" s="214"/>
      <c r="Q37" s="214"/>
      <c r="R37" s="214"/>
    </row>
    <row r="38" spans="1:18" ht="18" customHeight="1">
      <c r="A38" s="262" t="s">
        <v>963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469"/>
      <c r="N38" s="39"/>
      <c r="O38" s="47"/>
      <c r="P38" s="39"/>
      <c r="Q38" s="39"/>
      <c r="R38" s="39"/>
    </row>
    <row r="39" spans="1:18" ht="18" customHeight="1">
      <c r="A39" s="267" t="s">
        <v>1417</v>
      </c>
      <c r="B39" s="464"/>
      <c r="C39" s="464"/>
      <c r="D39" s="39"/>
      <c r="E39" s="39"/>
      <c r="F39" s="39"/>
      <c r="G39" s="39"/>
      <c r="H39" s="39"/>
      <c r="I39" s="39"/>
      <c r="J39" s="39"/>
      <c r="K39" s="39"/>
      <c r="L39" s="465"/>
      <c r="M39" s="469"/>
      <c r="N39" s="39"/>
      <c r="O39" s="47"/>
      <c r="P39" s="39"/>
      <c r="Q39" s="39"/>
      <c r="R39" s="39"/>
    </row>
    <row r="40" spans="1:18" ht="15" customHeight="1">
      <c r="A40" s="49" t="s">
        <v>366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469"/>
      <c r="N40" s="39"/>
      <c r="O40" s="47"/>
      <c r="P40" s="39"/>
      <c r="Q40" s="804" t="s">
        <v>983</v>
      </c>
      <c r="R40" s="804"/>
    </row>
    <row r="41" spans="1:18" ht="15" customHeight="1">
      <c r="A41" s="754" t="s">
        <v>2</v>
      </c>
      <c r="B41" s="756" t="s">
        <v>3</v>
      </c>
      <c r="C41" s="757"/>
      <c r="D41" s="760" t="s">
        <v>4</v>
      </c>
      <c r="E41" s="761"/>
      <c r="F41" s="756" t="s">
        <v>5</v>
      </c>
      <c r="G41" s="764"/>
      <c r="H41" s="764"/>
      <c r="I41" s="757"/>
      <c r="J41" s="713" t="s">
        <v>491</v>
      </c>
      <c r="K41" s="766" t="s">
        <v>7</v>
      </c>
      <c r="L41" s="185" t="s">
        <v>407</v>
      </c>
      <c r="M41" s="768" t="s">
        <v>1095</v>
      </c>
      <c r="N41" s="805" t="s">
        <v>1096</v>
      </c>
      <c r="O41" s="715" t="s">
        <v>1097</v>
      </c>
      <c r="P41" s="806" t="s">
        <v>8</v>
      </c>
      <c r="Q41" s="807"/>
      <c r="R41" s="808"/>
    </row>
    <row r="42" spans="1:18" ht="15" customHeight="1">
      <c r="A42" s="755"/>
      <c r="B42" s="758"/>
      <c r="C42" s="759"/>
      <c r="D42" s="762"/>
      <c r="E42" s="763"/>
      <c r="F42" s="758"/>
      <c r="G42" s="765"/>
      <c r="H42" s="765"/>
      <c r="I42" s="759"/>
      <c r="J42" s="714"/>
      <c r="K42" s="767"/>
      <c r="L42" s="186" t="s">
        <v>410</v>
      </c>
      <c r="M42" s="717"/>
      <c r="N42" s="706"/>
      <c r="O42" s="715"/>
      <c r="P42" s="809"/>
      <c r="Q42" s="810"/>
      <c r="R42" s="811"/>
    </row>
    <row r="43" spans="1:18" ht="18" customHeight="1">
      <c r="A43" s="57" t="s">
        <v>106</v>
      </c>
      <c r="B43" s="618" t="s">
        <v>236</v>
      </c>
      <c r="C43" s="619"/>
      <c r="D43" s="618" t="s">
        <v>179</v>
      </c>
      <c r="E43" s="619"/>
      <c r="F43" s="620" t="s">
        <v>886</v>
      </c>
      <c r="G43" s="621"/>
      <c r="H43" s="621"/>
      <c r="I43" s="622"/>
      <c r="J43" s="506" t="s">
        <v>1228</v>
      </c>
      <c r="K43" s="15"/>
      <c r="L43" s="97" t="s">
        <v>425</v>
      </c>
      <c r="M43" s="323">
        <v>120</v>
      </c>
      <c r="N43" s="25">
        <v>1</v>
      </c>
      <c r="O43" s="32">
        <v>5120</v>
      </c>
      <c r="P43" s="652" t="s">
        <v>426</v>
      </c>
      <c r="Q43" s="623"/>
      <c r="R43" s="624"/>
    </row>
    <row r="44" spans="1:18" ht="18" customHeight="1">
      <c r="A44" s="59" t="s">
        <v>298</v>
      </c>
      <c r="B44" s="618" t="s">
        <v>178</v>
      </c>
      <c r="C44" s="619"/>
      <c r="D44" s="618" t="s">
        <v>240</v>
      </c>
      <c r="E44" s="619"/>
      <c r="F44" s="707" t="s">
        <v>1067</v>
      </c>
      <c r="G44" s="707"/>
      <c r="H44" s="707"/>
      <c r="I44" s="707"/>
      <c r="J44" s="505" t="s">
        <v>1227</v>
      </c>
      <c r="K44" s="273" t="s">
        <v>989</v>
      </c>
      <c r="L44" s="93" t="s">
        <v>425</v>
      </c>
      <c r="M44" s="323">
        <v>120</v>
      </c>
      <c r="N44" s="25">
        <v>1</v>
      </c>
      <c r="O44" s="43">
        <v>20120</v>
      </c>
      <c r="P44" s="652" t="s">
        <v>431</v>
      </c>
      <c r="Q44" s="623"/>
      <c r="R44" s="624"/>
    </row>
    <row r="45" spans="1:18" ht="18" customHeight="1">
      <c r="A45" s="614" t="s">
        <v>242</v>
      </c>
      <c r="B45" s="700" t="s">
        <v>10</v>
      </c>
      <c r="C45" s="701"/>
      <c r="D45" s="700" t="s">
        <v>11</v>
      </c>
      <c r="E45" s="701"/>
      <c r="F45" s="769" t="s">
        <v>415</v>
      </c>
      <c r="G45" s="770"/>
      <c r="H45" s="770"/>
      <c r="I45" s="771"/>
      <c r="J45" s="801" t="s">
        <v>1237</v>
      </c>
      <c r="K45" s="704" t="s">
        <v>1074</v>
      </c>
      <c r="L45" s="88"/>
      <c r="M45" s="324">
        <v>120</v>
      </c>
      <c r="N45" s="8">
        <v>1</v>
      </c>
      <c r="O45" s="124">
        <v>10120</v>
      </c>
      <c r="P45" s="656" t="s">
        <v>887</v>
      </c>
      <c r="Q45" s="657"/>
      <c r="R45" s="658"/>
    </row>
    <row r="46" spans="1:18" ht="18" customHeight="1">
      <c r="A46" s="616"/>
      <c r="B46" s="700" t="s">
        <v>13</v>
      </c>
      <c r="C46" s="701"/>
      <c r="D46" s="700" t="s">
        <v>11</v>
      </c>
      <c r="E46" s="701"/>
      <c r="F46" s="769" t="s">
        <v>418</v>
      </c>
      <c r="G46" s="770"/>
      <c r="H46" s="770"/>
      <c r="I46" s="771"/>
      <c r="J46" s="787"/>
      <c r="K46" s="705"/>
      <c r="L46" s="88"/>
      <c r="M46" s="324"/>
      <c r="N46" s="8"/>
      <c r="O46" s="124"/>
      <c r="P46" s="634"/>
      <c r="Q46" s="635"/>
      <c r="R46" s="636"/>
    </row>
    <row r="47" spans="1:18" ht="18" customHeight="1">
      <c r="A47" s="614" t="s">
        <v>807</v>
      </c>
      <c r="B47" s="700" t="s">
        <v>10</v>
      </c>
      <c r="C47" s="701"/>
      <c r="D47" s="700" t="s">
        <v>43</v>
      </c>
      <c r="E47" s="701"/>
      <c r="F47" s="769" t="s">
        <v>823</v>
      </c>
      <c r="G47" s="770"/>
      <c r="H47" s="770"/>
      <c r="I47" s="771"/>
      <c r="J47" s="801" t="s">
        <v>1229</v>
      </c>
      <c r="K47" s="802"/>
      <c r="L47" s="88"/>
      <c r="M47" s="324">
        <v>120</v>
      </c>
      <c r="N47" s="8">
        <v>1</v>
      </c>
      <c r="O47" s="124">
        <v>1120</v>
      </c>
      <c r="P47" s="656" t="s">
        <v>874</v>
      </c>
      <c r="Q47" s="657"/>
      <c r="R47" s="658"/>
    </row>
    <row r="48" spans="1:18" ht="18" customHeight="1">
      <c r="A48" s="616"/>
      <c r="B48" s="700" t="s">
        <v>13</v>
      </c>
      <c r="C48" s="701"/>
      <c r="D48" s="700" t="s">
        <v>11</v>
      </c>
      <c r="E48" s="701"/>
      <c r="F48" s="769" t="s">
        <v>414</v>
      </c>
      <c r="G48" s="770"/>
      <c r="H48" s="770"/>
      <c r="I48" s="771"/>
      <c r="J48" s="787"/>
      <c r="K48" s="803"/>
      <c r="L48" s="88"/>
      <c r="M48" s="324"/>
      <c r="N48" s="8"/>
      <c r="O48" s="124"/>
      <c r="P48" s="634"/>
      <c r="Q48" s="635"/>
      <c r="R48" s="636"/>
    </row>
    <row r="49" spans="1:18" ht="18" customHeight="1">
      <c r="A49" s="614" t="s">
        <v>808</v>
      </c>
      <c r="B49" s="700" t="s">
        <v>35</v>
      </c>
      <c r="C49" s="701"/>
      <c r="D49" s="700" t="s">
        <v>11</v>
      </c>
      <c r="E49" s="701"/>
      <c r="F49" s="662" t="s">
        <v>303</v>
      </c>
      <c r="G49" s="663"/>
      <c r="H49" s="663"/>
      <c r="I49" s="750"/>
      <c r="J49" s="778"/>
      <c r="K49" s="702" t="s">
        <v>37</v>
      </c>
      <c r="L49" s="88"/>
      <c r="M49" s="324">
        <v>120</v>
      </c>
      <c r="N49" s="8">
        <v>1</v>
      </c>
      <c r="O49" s="124">
        <v>1000</v>
      </c>
      <c r="P49" s="656" t="s">
        <v>38</v>
      </c>
      <c r="Q49" s="657"/>
      <c r="R49" s="658"/>
    </row>
    <row r="50" spans="1:18" ht="18" customHeight="1">
      <c r="A50" s="616"/>
      <c r="B50" s="700" t="s">
        <v>304</v>
      </c>
      <c r="C50" s="701"/>
      <c r="D50" s="700" t="s">
        <v>11</v>
      </c>
      <c r="E50" s="701"/>
      <c r="F50" s="662" t="s">
        <v>393</v>
      </c>
      <c r="G50" s="663"/>
      <c r="H50" s="663"/>
      <c r="I50" s="750"/>
      <c r="J50" s="800"/>
      <c r="K50" s="691"/>
      <c r="L50" s="88"/>
      <c r="M50" s="324"/>
      <c r="N50" s="8"/>
      <c r="O50" s="124"/>
      <c r="P50" s="634"/>
      <c r="Q50" s="635"/>
      <c r="R50" s="636"/>
    </row>
    <row r="51" spans="1:18" ht="30" customHeight="1">
      <c r="A51" s="59" t="s">
        <v>549</v>
      </c>
      <c r="B51" s="618" t="s">
        <v>211</v>
      </c>
      <c r="C51" s="619"/>
      <c r="D51" s="618" t="s">
        <v>11</v>
      </c>
      <c r="E51" s="619"/>
      <c r="F51" s="620" t="s">
        <v>1119</v>
      </c>
      <c r="G51" s="621"/>
      <c r="H51" s="621"/>
      <c r="I51" s="622"/>
      <c r="J51" s="507" t="s">
        <v>1230</v>
      </c>
      <c r="K51" s="25"/>
      <c r="L51" s="93" t="s">
        <v>425</v>
      </c>
      <c r="M51" s="323">
        <v>120</v>
      </c>
      <c r="N51" s="25">
        <v>1</v>
      </c>
      <c r="O51" s="32">
        <v>6120</v>
      </c>
      <c r="P51" s="652" t="s">
        <v>871</v>
      </c>
      <c r="Q51" s="623"/>
      <c r="R51" s="624"/>
    </row>
    <row r="52" spans="1:18" ht="18" customHeight="1">
      <c r="A52" s="57" t="s">
        <v>434</v>
      </c>
      <c r="B52" s="618" t="s">
        <v>178</v>
      </c>
      <c r="C52" s="619"/>
      <c r="D52" s="618" t="s">
        <v>888</v>
      </c>
      <c r="E52" s="619"/>
      <c r="F52" s="620" t="s">
        <v>889</v>
      </c>
      <c r="G52" s="621"/>
      <c r="H52" s="621"/>
      <c r="I52" s="622"/>
      <c r="J52" s="508" t="s">
        <v>1231</v>
      </c>
      <c r="K52" s="67"/>
      <c r="L52" s="97" t="s">
        <v>436</v>
      </c>
      <c r="M52" s="323">
        <v>120</v>
      </c>
      <c r="N52" s="25">
        <v>1</v>
      </c>
      <c r="O52" s="52">
        <v>10120</v>
      </c>
      <c r="P52" s="652" t="s">
        <v>438</v>
      </c>
      <c r="Q52" s="623"/>
      <c r="R52" s="624"/>
    </row>
    <row r="53" spans="1:18" ht="18" customHeight="1">
      <c r="A53" s="229" t="s">
        <v>309</v>
      </c>
      <c r="B53" s="618" t="s">
        <v>147</v>
      </c>
      <c r="C53" s="619"/>
      <c r="D53" s="650" t="s">
        <v>49</v>
      </c>
      <c r="E53" s="650"/>
      <c r="F53" s="651" t="s">
        <v>441</v>
      </c>
      <c r="G53" s="651"/>
      <c r="H53" s="651"/>
      <c r="I53" s="651"/>
      <c r="J53" s="509" t="s">
        <v>1232</v>
      </c>
      <c r="K53" s="25" t="s">
        <v>988</v>
      </c>
      <c r="L53" s="113" t="s">
        <v>425</v>
      </c>
      <c r="M53" s="323">
        <v>120</v>
      </c>
      <c r="N53" s="25">
        <v>1</v>
      </c>
      <c r="O53" s="32">
        <v>3120</v>
      </c>
      <c r="P53" s="652" t="s">
        <v>872</v>
      </c>
      <c r="Q53" s="623"/>
      <c r="R53" s="624"/>
    </row>
    <row r="54" spans="1:18" ht="18" customHeight="1">
      <c r="A54" s="614" t="s">
        <v>125</v>
      </c>
      <c r="B54" s="700" t="s">
        <v>199</v>
      </c>
      <c r="C54" s="701"/>
      <c r="D54" s="700" t="s">
        <v>11</v>
      </c>
      <c r="E54" s="701"/>
      <c r="F54" s="769" t="s">
        <v>419</v>
      </c>
      <c r="G54" s="770"/>
      <c r="H54" s="770"/>
      <c r="I54" s="771"/>
      <c r="J54" s="778"/>
      <c r="K54" s="702" t="s">
        <v>420</v>
      </c>
      <c r="L54" s="88"/>
      <c r="M54" s="324">
        <v>120</v>
      </c>
      <c r="N54" s="8">
        <v>1</v>
      </c>
      <c r="O54" s="124">
        <v>2120</v>
      </c>
      <c r="P54" s="656" t="s">
        <v>323</v>
      </c>
      <c r="Q54" s="657"/>
      <c r="R54" s="658"/>
    </row>
    <row r="55" spans="1:18" ht="18" customHeight="1">
      <c r="A55" s="616"/>
      <c r="B55" s="700" t="s">
        <v>202</v>
      </c>
      <c r="C55" s="701"/>
      <c r="D55" s="700" t="s">
        <v>11</v>
      </c>
      <c r="E55" s="701"/>
      <c r="F55" s="769" t="s">
        <v>1223</v>
      </c>
      <c r="G55" s="770"/>
      <c r="H55" s="770"/>
      <c r="I55" s="771"/>
      <c r="J55" s="800"/>
      <c r="K55" s="691"/>
      <c r="L55" s="88"/>
      <c r="M55" s="324"/>
      <c r="N55" s="8"/>
      <c r="O55" s="124"/>
      <c r="P55" s="634"/>
      <c r="Q55" s="635"/>
      <c r="R55" s="636"/>
    </row>
    <row r="56" spans="1:18" ht="18" customHeight="1">
      <c r="A56" s="614" t="s">
        <v>127</v>
      </c>
      <c r="B56" s="700" t="s">
        <v>10</v>
      </c>
      <c r="C56" s="701"/>
      <c r="D56" s="700" t="s">
        <v>43</v>
      </c>
      <c r="E56" s="701"/>
      <c r="F56" s="769" t="s">
        <v>810</v>
      </c>
      <c r="G56" s="770"/>
      <c r="H56" s="770"/>
      <c r="I56" s="771"/>
      <c r="J56" s="778" t="s">
        <v>1228</v>
      </c>
      <c r="K56" s="687"/>
      <c r="L56" s="88"/>
      <c r="M56" s="324">
        <v>120</v>
      </c>
      <c r="N56" s="8">
        <v>1</v>
      </c>
      <c r="O56" s="124">
        <v>500</v>
      </c>
      <c r="P56" s="656" t="s">
        <v>12</v>
      </c>
      <c r="Q56" s="657"/>
      <c r="R56" s="658"/>
    </row>
    <row r="57" spans="1:18" ht="18" customHeight="1" thickBot="1">
      <c r="A57" s="684"/>
      <c r="B57" s="693" t="s">
        <v>13</v>
      </c>
      <c r="C57" s="694"/>
      <c r="D57" s="693" t="s">
        <v>14</v>
      </c>
      <c r="E57" s="694"/>
      <c r="F57" s="783" t="s">
        <v>811</v>
      </c>
      <c r="G57" s="784"/>
      <c r="H57" s="784"/>
      <c r="I57" s="785"/>
      <c r="J57" s="779"/>
      <c r="K57" s="688"/>
      <c r="L57" s="224"/>
      <c r="M57" s="325"/>
      <c r="N57" s="24"/>
      <c r="O57" s="363"/>
      <c r="P57" s="780"/>
      <c r="Q57" s="781"/>
      <c r="R57" s="782"/>
    </row>
    <row r="58" spans="1:18" ht="18" customHeight="1" thickTop="1">
      <c r="A58" s="772" t="s">
        <v>380</v>
      </c>
      <c r="B58" s="773" t="s">
        <v>10</v>
      </c>
      <c r="C58" s="774"/>
      <c r="D58" s="773" t="s">
        <v>14</v>
      </c>
      <c r="E58" s="774"/>
      <c r="F58" s="775" t="s">
        <v>445</v>
      </c>
      <c r="G58" s="776"/>
      <c r="H58" s="776"/>
      <c r="I58" s="777"/>
      <c r="J58" s="786" t="s">
        <v>1226</v>
      </c>
      <c r="K58" s="788" t="s">
        <v>986</v>
      </c>
      <c r="L58" s="108"/>
      <c r="M58" s="326">
        <v>120</v>
      </c>
      <c r="N58" s="14">
        <v>1</v>
      </c>
      <c r="O58" s="51">
        <v>2120</v>
      </c>
      <c r="P58" s="791" t="s">
        <v>900</v>
      </c>
      <c r="Q58" s="792"/>
      <c r="R58" s="793"/>
    </row>
    <row r="59" spans="1:18" ht="18" customHeight="1">
      <c r="A59" s="664"/>
      <c r="B59" s="700" t="s">
        <v>81</v>
      </c>
      <c r="C59" s="701"/>
      <c r="D59" s="700" t="s">
        <v>14</v>
      </c>
      <c r="E59" s="701"/>
      <c r="F59" s="769" t="s">
        <v>448</v>
      </c>
      <c r="G59" s="770"/>
      <c r="H59" s="770"/>
      <c r="I59" s="771"/>
      <c r="J59" s="786"/>
      <c r="K59" s="789"/>
      <c r="L59" s="108"/>
      <c r="M59" s="324"/>
      <c r="N59" s="8"/>
      <c r="O59" s="51"/>
      <c r="P59" s="794"/>
      <c r="Q59" s="795"/>
      <c r="R59" s="796"/>
    </row>
    <row r="60" spans="1:18" ht="18" customHeight="1">
      <c r="A60" s="665"/>
      <c r="B60" s="700" t="s">
        <v>83</v>
      </c>
      <c r="C60" s="701"/>
      <c r="D60" s="661" t="s">
        <v>11</v>
      </c>
      <c r="E60" s="661"/>
      <c r="F60" s="659" t="s">
        <v>1408</v>
      </c>
      <c r="G60" s="659"/>
      <c r="H60" s="659"/>
      <c r="I60" s="659"/>
      <c r="J60" s="787"/>
      <c r="K60" s="790"/>
      <c r="L60" s="108"/>
      <c r="M60" s="324"/>
      <c r="N60" s="8"/>
      <c r="O60" s="51"/>
      <c r="P60" s="797"/>
      <c r="Q60" s="798"/>
      <c r="R60" s="799"/>
    </row>
    <row r="61" spans="1:18" ht="18" customHeight="1">
      <c r="A61" s="59" t="s">
        <v>269</v>
      </c>
      <c r="B61" s="618" t="s">
        <v>485</v>
      </c>
      <c r="C61" s="619"/>
      <c r="D61" s="618" t="s">
        <v>49</v>
      </c>
      <c r="E61" s="619"/>
      <c r="F61" s="620" t="s">
        <v>1194</v>
      </c>
      <c r="G61" s="621"/>
      <c r="H61" s="621"/>
      <c r="I61" s="622"/>
      <c r="J61" s="515" t="s">
        <v>1234</v>
      </c>
      <c r="K61" s="516" t="s">
        <v>1193</v>
      </c>
      <c r="L61" s="97" t="s">
        <v>425</v>
      </c>
      <c r="M61" s="323">
        <v>120</v>
      </c>
      <c r="N61" s="25">
        <v>1</v>
      </c>
      <c r="O61" s="32">
        <v>10120</v>
      </c>
      <c r="P61" s="652" t="s">
        <v>877</v>
      </c>
      <c r="Q61" s="623"/>
      <c r="R61" s="624"/>
    </row>
    <row r="62" spans="1:18" ht="18" customHeight="1">
      <c r="A62" s="59" t="s">
        <v>156</v>
      </c>
      <c r="B62" s="618" t="s">
        <v>211</v>
      </c>
      <c r="C62" s="619"/>
      <c r="D62" s="618" t="s">
        <v>72</v>
      </c>
      <c r="E62" s="619"/>
      <c r="F62" s="620" t="s">
        <v>897</v>
      </c>
      <c r="G62" s="621"/>
      <c r="H62" s="621"/>
      <c r="I62" s="622"/>
      <c r="J62" s="509" t="s">
        <v>1225</v>
      </c>
      <c r="K62" s="25"/>
      <c r="L62" s="97" t="s">
        <v>436</v>
      </c>
      <c r="M62" s="323">
        <v>120</v>
      </c>
      <c r="N62" s="25">
        <v>1</v>
      </c>
      <c r="O62" s="32">
        <v>10120</v>
      </c>
      <c r="P62" s="652" t="s">
        <v>466</v>
      </c>
      <c r="Q62" s="623"/>
      <c r="R62" s="624"/>
    </row>
    <row r="63" spans="1:18" ht="18" customHeight="1">
      <c r="A63" s="57" t="s">
        <v>70</v>
      </c>
      <c r="B63" s="679" t="s">
        <v>868</v>
      </c>
      <c r="C63" s="680"/>
      <c r="D63" s="618" t="s">
        <v>240</v>
      </c>
      <c r="E63" s="619"/>
      <c r="F63" s="681" t="s">
        <v>1188</v>
      </c>
      <c r="G63" s="682"/>
      <c r="H63" s="682"/>
      <c r="I63" s="683"/>
      <c r="J63" s="510" t="s">
        <v>1233</v>
      </c>
      <c r="K63" s="96"/>
      <c r="L63" s="76" t="s">
        <v>425</v>
      </c>
      <c r="M63" s="320">
        <v>120</v>
      </c>
      <c r="N63" s="76"/>
      <c r="O63" s="463">
        <v>8120</v>
      </c>
      <c r="P63" s="674" t="s">
        <v>901</v>
      </c>
      <c r="Q63" s="675"/>
      <c r="R63" s="676"/>
    </row>
    <row r="64" spans="1:18" ht="30" customHeight="1">
      <c r="A64" s="59" t="s">
        <v>768</v>
      </c>
      <c r="B64" s="618" t="s">
        <v>178</v>
      </c>
      <c r="C64" s="619"/>
      <c r="D64" s="618" t="s">
        <v>72</v>
      </c>
      <c r="E64" s="619"/>
      <c r="F64" s="620" t="s">
        <v>962</v>
      </c>
      <c r="G64" s="621"/>
      <c r="H64" s="621"/>
      <c r="I64" s="622"/>
      <c r="J64" s="513" t="s">
        <v>1235</v>
      </c>
      <c r="K64" s="421" t="s">
        <v>1091</v>
      </c>
      <c r="L64" s="97" t="s">
        <v>436</v>
      </c>
      <c r="M64" s="323">
        <v>120</v>
      </c>
      <c r="N64" s="25">
        <v>1</v>
      </c>
      <c r="O64" s="32">
        <v>5120</v>
      </c>
      <c r="P64" s="652" t="s">
        <v>878</v>
      </c>
      <c r="Q64" s="623"/>
      <c r="R64" s="624"/>
    </row>
    <row r="65" spans="1:18" ht="30" customHeight="1">
      <c r="A65" s="59" t="s">
        <v>352</v>
      </c>
      <c r="B65" s="618" t="s">
        <v>147</v>
      </c>
      <c r="C65" s="619"/>
      <c r="D65" s="618" t="s">
        <v>11</v>
      </c>
      <c r="E65" s="619"/>
      <c r="F65" s="620" t="s">
        <v>894</v>
      </c>
      <c r="G65" s="621"/>
      <c r="H65" s="621"/>
      <c r="I65" s="622"/>
      <c r="J65" s="514" t="s">
        <v>1236</v>
      </c>
      <c r="K65" s="277"/>
      <c r="L65" s="97" t="s">
        <v>425</v>
      </c>
      <c r="M65" s="323">
        <v>120</v>
      </c>
      <c r="N65" s="25">
        <v>1</v>
      </c>
      <c r="O65" s="32">
        <v>1800</v>
      </c>
      <c r="P65" s="652" t="s">
        <v>898</v>
      </c>
      <c r="Q65" s="623"/>
      <c r="R65" s="624"/>
    </row>
    <row r="66" spans="1:18" ht="18" customHeight="1">
      <c r="A66" s="614" t="s">
        <v>75</v>
      </c>
      <c r="B66" s="700" t="s">
        <v>10</v>
      </c>
      <c r="C66" s="701"/>
      <c r="D66" s="700" t="s">
        <v>43</v>
      </c>
      <c r="E66" s="701"/>
      <c r="F66" s="662" t="s">
        <v>890</v>
      </c>
      <c r="G66" s="663"/>
      <c r="H66" s="663"/>
      <c r="I66" s="750"/>
      <c r="J66" s="668" t="s">
        <v>1224</v>
      </c>
      <c r="K66" s="747" t="s">
        <v>1239</v>
      </c>
      <c r="L66" s="108"/>
      <c r="M66" s="324">
        <v>120</v>
      </c>
      <c r="N66" s="8">
        <v>1</v>
      </c>
      <c r="O66" s="51">
        <v>3120</v>
      </c>
      <c r="P66" s="656" t="s">
        <v>453</v>
      </c>
      <c r="Q66" s="657"/>
      <c r="R66" s="658"/>
    </row>
    <row r="67" spans="1:18" ht="18" customHeight="1">
      <c r="A67" s="615"/>
      <c r="B67" s="700" t="s">
        <v>81</v>
      </c>
      <c r="C67" s="701"/>
      <c r="D67" s="700" t="s">
        <v>11</v>
      </c>
      <c r="E67" s="701"/>
      <c r="F67" s="662" t="s">
        <v>891</v>
      </c>
      <c r="G67" s="663"/>
      <c r="H67" s="663"/>
      <c r="I67" s="750"/>
      <c r="J67" s="669"/>
      <c r="K67" s="748"/>
      <c r="L67" s="108"/>
      <c r="M67" s="324"/>
      <c r="N67" s="8"/>
      <c r="O67" s="51"/>
      <c r="P67" s="631"/>
      <c r="Q67" s="632"/>
      <c r="R67" s="633"/>
    </row>
    <row r="68" spans="1:18" ht="18" customHeight="1">
      <c r="A68" s="616"/>
      <c r="B68" s="700" t="s">
        <v>83</v>
      </c>
      <c r="C68" s="701"/>
      <c r="D68" s="700" t="s">
        <v>11</v>
      </c>
      <c r="E68" s="701"/>
      <c r="F68" s="769" t="s">
        <v>892</v>
      </c>
      <c r="G68" s="770"/>
      <c r="H68" s="770"/>
      <c r="I68" s="771"/>
      <c r="J68" s="670"/>
      <c r="K68" s="748"/>
      <c r="L68" s="108"/>
      <c r="M68" s="324"/>
      <c r="N68" s="8"/>
      <c r="O68" s="51"/>
      <c r="P68" s="634"/>
      <c r="Q68" s="635"/>
      <c r="R68" s="636"/>
    </row>
    <row r="69" spans="1:18" ht="18" customHeight="1">
      <c r="A69" s="614" t="s">
        <v>78</v>
      </c>
      <c r="B69" s="618" t="s">
        <v>81</v>
      </c>
      <c r="C69" s="619"/>
      <c r="D69" s="618" t="s">
        <v>11</v>
      </c>
      <c r="E69" s="619"/>
      <c r="F69" s="620" t="s">
        <v>1184</v>
      </c>
      <c r="G69" s="621"/>
      <c r="H69" s="621"/>
      <c r="I69" s="622"/>
      <c r="J69" s="743" t="s">
        <v>1238</v>
      </c>
      <c r="K69" s="745"/>
      <c r="L69" s="254"/>
      <c r="M69" s="323">
        <v>120</v>
      </c>
      <c r="N69" s="25">
        <v>1</v>
      </c>
      <c r="O69" s="32">
        <v>5120</v>
      </c>
      <c r="P69" s="657" t="s">
        <v>896</v>
      </c>
      <c r="Q69" s="657"/>
      <c r="R69" s="658"/>
    </row>
    <row r="70" spans="1:18" ht="18" customHeight="1">
      <c r="A70" s="616"/>
      <c r="B70" s="618" t="s">
        <v>83</v>
      </c>
      <c r="C70" s="619"/>
      <c r="D70" s="618" t="s">
        <v>11</v>
      </c>
      <c r="E70" s="619"/>
      <c r="F70" s="620" t="s">
        <v>1409</v>
      </c>
      <c r="G70" s="621"/>
      <c r="H70" s="621"/>
      <c r="I70" s="622"/>
      <c r="J70" s="744"/>
      <c r="K70" s="746"/>
      <c r="L70" s="254"/>
      <c r="M70" s="323"/>
      <c r="N70" s="25"/>
      <c r="O70" s="32"/>
      <c r="P70" s="635"/>
      <c r="Q70" s="635"/>
      <c r="R70" s="636"/>
    </row>
    <row r="71" spans="1:18" ht="18" customHeight="1">
      <c r="A71" s="278" t="s">
        <v>1367</v>
      </c>
      <c r="B71" s="276"/>
      <c r="C71" s="276"/>
      <c r="D71" s="205"/>
      <c r="E71" s="205"/>
      <c r="F71" s="206"/>
      <c r="G71" s="206"/>
      <c r="H71" s="206"/>
      <c r="I71" s="206"/>
      <c r="J71" s="207"/>
      <c r="K71" s="207"/>
      <c r="L71" s="207"/>
      <c r="M71" s="329"/>
      <c r="N71" s="207"/>
      <c r="O71" s="466"/>
      <c r="P71" s="214"/>
      <c r="Q71" s="214"/>
      <c r="R71" s="214"/>
    </row>
    <row r="72" spans="1:18" ht="18" customHeight="1">
      <c r="A72" s="279"/>
      <c r="B72" s="116"/>
      <c r="C72" s="116"/>
      <c r="D72" s="205"/>
      <c r="E72" s="205"/>
      <c r="F72" s="206"/>
      <c r="G72" s="206"/>
      <c r="H72" s="206"/>
      <c r="I72" s="206"/>
      <c r="J72" s="207"/>
      <c r="K72" s="207"/>
      <c r="L72" s="207"/>
      <c r="M72" s="329"/>
      <c r="N72" s="207"/>
      <c r="O72" s="466"/>
      <c r="P72" s="214"/>
      <c r="Q72" s="214"/>
      <c r="R72" s="214"/>
    </row>
    <row r="73" spans="1:18" ht="18" customHeight="1">
      <c r="A73" s="279"/>
      <c r="B73" s="116"/>
      <c r="C73" s="116"/>
      <c r="D73" s="205"/>
      <c r="E73" s="205"/>
      <c r="F73" s="206"/>
      <c r="G73" s="206"/>
      <c r="H73" s="206"/>
      <c r="I73" s="206"/>
      <c r="J73" s="207"/>
      <c r="K73" s="207"/>
      <c r="L73" s="207"/>
      <c r="M73" s="329"/>
      <c r="N73" s="207"/>
      <c r="O73" s="466"/>
      <c r="P73" s="214"/>
      <c r="Q73" s="214"/>
      <c r="R73" s="214"/>
    </row>
    <row r="74" spans="1:18" ht="18" customHeight="1">
      <c r="A74" s="279"/>
      <c r="B74" s="116"/>
      <c r="C74" s="116"/>
      <c r="D74" s="205"/>
      <c r="E74" s="205"/>
      <c r="F74" s="206"/>
      <c r="G74" s="206"/>
      <c r="H74" s="206"/>
      <c r="I74" s="206"/>
      <c r="J74" s="207"/>
      <c r="K74" s="207"/>
      <c r="L74" s="207"/>
      <c r="M74" s="329"/>
      <c r="N74" s="207"/>
      <c r="O74" s="466"/>
      <c r="P74" s="214"/>
      <c r="Q74" s="214"/>
      <c r="R74" s="214"/>
    </row>
    <row r="75" spans="1:18" ht="18" customHeight="1">
      <c r="A75" s="262" t="s">
        <v>963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469"/>
      <c r="N75" s="39"/>
      <c r="O75" s="39"/>
      <c r="P75" s="39"/>
      <c r="Q75" s="39"/>
      <c r="R75" s="39"/>
    </row>
    <row r="76" spans="1:18" ht="18" customHeight="1">
      <c r="A76" s="267" t="s">
        <v>1063</v>
      </c>
      <c r="B76" s="464"/>
      <c r="C76" s="464"/>
      <c r="D76" s="39"/>
      <c r="E76" s="39"/>
      <c r="F76" s="39"/>
      <c r="G76" s="39"/>
      <c r="H76" s="39"/>
      <c r="I76" s="39"/>
      <c r="J76" s="39"/>
      <c r="K76" s="39"/>
      <c r="L76" s="465"/>
      <c r="M76" s="469"/>
      <c r="N76" s="39"/>
      <c r="O76" s="39"/>
      <c r="P76" s="39"/>
      <c r="Q76" s="39"/>
      <c r="R76" s="39"/>
    </row>
    <row r="77" spans="1:18" ht="15" customHeight="1">
      <c r="A77" s="49" t="s">
        <v>366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469"/>
      <c r="N77" s="39"/>
      <c r="O77" s="39"/>
      <c r="P77" s="504"/>
      <c r="Q77" s="804" t="s">
        <v>983</v>
      </c>
      <c r="R77" s="804"/>
    </row>
    <row r="78" spans="1:18" ht="15" customHeight="1">
      <c r="A78" s="754" t="s">
        <v>2</v>
      </c>
      <c r="B78" s="756" t="s">
        <v>3</v>
      </c>
      <c r="C78" s="757"/>
      <c r="D78" s="760" t="s">
        <v>4</v>
      </c>
      <c r="E78" s="761"/>
      <c r="F78" s="756" t="s">
        <v>5</v>
      </c>
      <c r="G78" s="764"/>
      <c r="H78" s="764"/>
      <c r="I78" s="757"/>
      <c r="J78" s="713" t="s">
        <v>491</v>
      </c>
      <c r="K78" s="766" t="s">
        <v>7</v>
      </c>
      <c r="L78" s="185" t="s">
        <v>407</v>
      </c>
      <c r="M78" s="768" t="s">
        <v>1095</v>
      </c>
      <c r="N78" s="805" t="s">
        <v>1096</v>
      </c>
      <c r="O78" s="715" t="s">
        <v>1097</v>
      </c>
      <c r="P78" s="806" t="s">
        <v>8</v>
      </c>
      <c r="Q78" s="807"/>
      <c r="R78" s="808"/>
    </row>
    <row r="79" spans="1:18" ht="15" customHeight="1">
      <c r="A79" s="755"/>
      <c r="B79" s="758"/>
      <c r="C79" s="759"/>
      <c r="D79" s="762"/>
      <c r="E79" s="763"/>
      <c r="F79" s="758"/>
      <c r="G79" s="765"/>
      <c r="H79" s="765"/>
      <c r="I79" s="759"/>
      <c r="J79" s="714"/>
      <c r="K79" s="767"/>
      <c r="L79" s="186" t="s">
        <v>410</v>
      </c>
      <c r="M79" s="717"/>
      <c r="N79" s="706"/>
      <c r="O79" s="715"/>
      <c r="P79" s="809"/>
      <c r="Q79" s="810"/>
      <c r="R79" s="811"/>
    </row>
    <row r="80" spans="1:18" ht="18" customHeight="1">
      <c r="A80" s="57" t="s">
        <v>106</v>
      </c>
      <c r="B80" s="618" t="s">
        <v>236</v>
      </c>
      <c r="C80" s="619"/>
      <c r="D80" s="618" t="s">
        <v>179</v>
      </c>
      <c r="E80" s="619"/>
      <c r="F80" s="620" t="s">
        <v>886</v>
      </c>
      <c r="G80" s="621"/>
      <c r="H80" s="621"/>
      <c r="I80" s="622"/>
      <c r="J80" s="506" t="s">
        <v>1228</v>
      </c>
      <c r="K80" s="15"/>
      <c r="L80" s="97" t="s">
        <v>425</v>
      </c>
      <c r="M80" s="323">
        <v>120</v>
      </c>
      <c r="N80" s="25">
        <v>1</v>
      </c>
      <c r="O80" s="32">
        <v>5120</v>
      </c>
      <c r="P80" s="652" t="s">
        <v>426</v>
      </c>
      <c r="Q80" s="623"/>
      <c r="R80" s="624"/>
    </row>
    <row r="81" spans="1:18" ht="18" customHeight="1">
      <c r="A81" s="59" t="s">
        <v>298</v>
      </c>
      <c r="B81" s="618" t="s">
        <v>178</v>
      </c>
      <c r="C81" s="619"/>
      <c r="D81" s="618" t="s">
        <v>240</v>
      </c>
      <c r="E81" s="619"/>
      <c r="F81" s="707" t="s">
        <v>1067</v>
      </c>
      <c r="G81" s="707"/>
      <c r="H81" s="707"/>
      <c r="I81" s="707"/>
      <c r="J81" s="505" t="s">
        <v>1480</v>
      </c>
      <c r="K81" s="273" t="s">
        <v>989</v>
      </c>
      <c r="L81" s="93" t="s">
        <v>425</v>
      </c>
      <c r="M81" s="323">
        <v>120</v>
      </c>
      <c r="N81" s="25">
        <v>1</v>
      </c>
      <c r="O81" s="43">
        <v>20120</v>
      </c>
      <c r="P81" s="652" t="s">
        <v>431</v>
      </c>
      <c r="Q81" s="623"/>
      <c r="R81" s="624"/>
    </row>
    <row r="82" spans="1:18" ht="18" customHeight="1">
      <c r="A82" s="614" t="s">
        <v>242</v>
      </c>
      <c r="B82" s="700" t="s">
        <v>10</v>
      </c>
      <c r="C82" s="701"/>
      <c r="D82" s="700" t="s">
        <v>11</v>
      </c>
      <c r="E82" s="701"/>
      <c r="F82" s="769" t="s">
        <v>415</v>
      </c>
      <c r="G82" s="770"/>
      <c r="H82" s="770"/>
      <c r="I82" s="771"/>
      <c r="J82" s="801" t="s">
        <v>1488</v>
      </c>
      <c r="K82" s="704" t="s">
        <v>1074</v>
      </c>
      <c r="L82" s="88"/>
      <c r="M82" s="324">
        <v>120</v>
      </c>
      <c r="N82" s="8">
        <v>1</v>
      </c>
      <c r="O82" s="124">
        <v>10120</v>
      </c>
      <c r="P82" s="656" t="s">
        <v>887</v>
      </c>
      <c r="Q82" s="657"/>
      <c r="R82" s="658"/>
    </row>
    <row r="83" spans="1:18" ht="18" customHeight="1">
      <c r="A83" s="616"/>
      <c r="B83" s="700" t="s">
        <v>13</v>
      </c>
      <c r="C83" s="701"/>
      <c r="D83" s="700" t="s">
        <v>11</v>
      </c>
      <c r="E83" s="701"/>
      <c r="F83" s="769" t="s">
        <v>418</v>
      </c>
      <c r="G83" s="770"/>
      <c r="H83" s="770"/>
      <c r="I83" s="771"/>
      <c r="J83" s="787"/>
      <c r="K83" s="705"/>
      <c r="L83" s="88"/>
      <c r="M83" s="324"/>
      <c r="N83" s="8"/>
      <c r="O83" s="124"/>
      <c r="P83" s="634"/>
      <c r="Q83" s="635"/>
      <c r="R83" s="636"/>
    </row>
    <row r="84" spans="1:18" ht="18" customHeight="1">
      <c r="A84" s="614" t="s">
        <v>807</v>
      </c>
      <c r="B84" s="700" t="s">
        <v>10</v>
      </c>
      <c r="C84" s="701"/>
      <c r="D84" s="700" t="s">
        <v>43</v>
      </c>
      <c r="E84" s="701"/>
      <c r="F84" s="769" t="s">
        <v>1525</v>
      </c>
      <c r="G84" s="770"/>
      <c r="H84" s="770"/>
      <c r="I84" s="771"/>
      <c r="J84" s="801" t="s">
        <v>1229</v>
      </c>
      <c r="K84" s="802"/>
      <c r="L84" s="88"/>
      <c r="M84" s="324">
        <v>120</v>
      </c>
      <c r="N84" s="8">
        <v>1</v>
      </c>
      <c r="O84" s="124">
        <v>1220</v>
      </c>
      <c r="P84" s="656" t="s">
        <v>874</v>
      </c>
      <c r="Q84" s="657"/>
      <c r="R84" s="658"/>
    </row>
    <row r="85" spans="1:18" ht="18" customHeight="1">
      <c r="A85" s="616"/>
      <c r="B85" s="700" t="s">
        <v>13</v>
      </c>
      <c r="C85" s="701"/>
      <c r="D85" s="700" t="s">
        <v>11</v>
      </c>
      <c r="E85" s="701"/>
      <c r="F85" s="769" t="s">
        <v>414</v>
      </c>
      <c r="G85" s="770"/>
      <c r="H85" s="770"/>
      <c r="I85" s="771"/>
      <c r="J85" s="787"/>
      <c r="K85" s="803"/>
      <c r="L85" s="88"/>
      <c r="M85" s="324"/>
      <c r="N85" s="8"/>
      <c r="O85" s="124"/>
      <c r="P85" s="634"/>
      <c r="Q85" s="635"/>
      <c r="R85" s="636"/>
    </row>
    <row r="86" spans="1:18" ht="18" customHeight="1">
      <c r="A86" s="614" t="s">
        <v>808</v>
      </c>
      <c r="B86" s="661" t="s">
        <v>35</v>
      </c>
      <c r="C86" s="661"/>
      <c r="D86" s="661" t="s">
        <v>11</v>
      </c>
      <c r="E86" s="661"/>
      <c r="F86" s="699" t="s">
        <v>1190</v>
      </c>
      <c r="G86" s="699"/>
      <c r="H86" s="699"/>
      <c r="I86" s="699"/>
      <c r="J86" s="778"/>
      <c r="K86" s="702" t="s">
        <v>37</v>
      </c>
      <c r="L86" s="88"/>
      <c r="M86" s="324">
        <v>120</v>
      </c>
      <c r="N86" s="8">
        <v>1</v>
      </c>
      <c r="O86" s="124">
        <v>1300</v>
      </c>
      <c r="P86" s="656" t="s">
        <v>38</v>
      </c>
      <c r="Q86" s="657"/>
      <c r="R86" s="658"/>
    </row>
    <row r="87" spans="1:18" ht="18" customHeight="1">
      <c r="A87" s="616"/>
      <c r="B87" s="661" t="s">
        <v>304</v>
      </c>
      <c r="C87" s="661"/>
      <c r="D87" s="661" t="s">
        <v>11</v>
      </c>
      <c r="E87" s="661"/>
      <c r="F87" s="699" t="s">
        <v>1191</v>
      </c>
      <c r="G87" s="699"/>
      <c r="H87" s="699"/>
      <c r="I87" s="699"/>
      <c r="J87" s="800"/>
      <c r="K87" s="691"/>
      <c r="L87" s="88"/>
      <c r="M87" s="324"/>
      <c r="N87" s="8"/>
      <c r="O87" s="124"/>
      <c r="P87" s="634"/>
      <c r="Q87" s="635"/>
      <c r="R87" s="636"/>
    </row>
    <row r="88" spans="1:18" ht="30" customHeight="1">
      <c r="A88" s="59" t="s">
        <v>549</v>
      </c>
      <c r="B88" s="618" t="s">
        <v>211</v>
      </c>
      <c r="C88" s="619"/>
      <c r="D88" s="618" t="s">
        <v>11</v>
      </c>
      <c r="E88" s="619"/>
      <c r="F88" s="620" t="s">
        <v>1119</v>
      </c>
      <c r="G88" s="621"/>
      <c r="H88" s="621"/>
      <c r="I88" s="622"/>
      <c r="J88" s="507" t="s">
        <v>1230</v>
      </c>
      <c r="K88" s="25"/>
      <c r="L88" s="93" t="s">
        <v>425</v>
      </c>
      <c r="M88" s="323">
        <v>120</v>
      </c>
      <c r="N88" s="25">
        <v>1</v>
      </c>
      <c r="O88" s="32">
        <v>6120</v>
      </c>
      <c r="P88" s="818" t="s">
        <v>1352</v>
      </c>
      <c r="Q88" s="623"/>
      <c r="R88" s="624"/>
    </row>
    <row r="89" spans="1:18" ht="18" customHeight="1">
      <c r="A89" s="57" t="s">
        <v>434</v>
      </c>
      <c r="B89" s="618" t="s">
        <v>178</v>
      </c>
      <c r="C89" s="619"/>
      <c r="D89" s="618" t="s">
        <v>888</v>
      </c>
      <c r="E89" s="619"/>
      <c r="F89" s="620" t="s">
        <v>889</v>
      </c>
      <c r="G89" s="621"/>
      <c r="H89" s="621"/>
      <c r="I89" s="622"/>
      <c r="J89" s="508" t="s">
        <v>1231</v>
      </c>
      <c r="K89" s="67"/>
      <c r="L89" s="97" t="s">
        <v>436</v>
      </c>
      <c r="M89" s="323">
        <v>120</v>
      </c>
      <c r="N89" s="25">
        <v>1</v>
      </c>
      <c r="O89" s="52">
        <v>10120</v>
      </c>
      <c r="P89" s="652" t="s">
        <v>438</v>
      </c>
      <c r="Q89" s="623"/>
      <c r="R89" s="624"/>
    </row>
    <row r="90" spans="1:18" ht="18" customHeight="1">
      <c r="A90" s="229" t="s">
        <v>309</v>
      </c>
      <c r="B90" s="618" t="s">
        <v>147</v>
      </c>
      <c r="C90" s="619"/>
      <c r="D90" s="650" t="s">
        <v>49</v>
      </c>
      <c r="E90" s="650"/>
      <c r="F90" s="651" t="s">
        <v>441</v>
      </c>
      <c r="G90" s="651"/>
      <c r="H90" s="651"/>
      <c r="I90" s="651"/>
      <c r="J90" s="509" t="s">
        <v>1232</v>
      </c>
      <c r="K90" s="25" t="s">
        <v>988</v>
      </c>
      <c r="L90" s="113" t="s">
        <v>425</v>
      </c>
      <c r="M90" s="323">
        <v>120</v>
      </c>
      <c r="N90" s="25">
        <v>1</v>
      </c>
      <c r="O90" s="32">
        <v>3120</v>
      </c>
      <c r="P90" s="652" t="s">
        <v>872</v>
      </c>
      <c r="Q90" s="623"/>
      <c r="R90" s="624"/>
    </row>
    <row r="91" spans="1:18" ht="18" customHeight="1">
      <c r="A91" s="614" t="s">
        <v>125</v>
      </c>
      <c r="B91" s="700" t="s">
        <v>199</v>
      </c>
      <c r="C91" s="701"/>
      <c r="D91" s="700" t="s">
        <v>11</v>
      </c>
      <c r="E91" s="701"/>
      <c r="F91" s="769" t="s">
        <v>419</v>
      </c>
      <c r="G91" s="770"/>
      <c r="H91" s="770"/>
      <c r="I91" s="771"/>
      <c r="J91" s="778"/>
      <c r="K91" s="702" t="s">
        <v>420</v>
      </c>
      <c r="L91" s="88"/>
      <c r="M91" s="324">
        <v>120</v>
      </c>
      <c r="N91" s="8">
        <v>1</v>
      </c>
      <c r="O91" s="124">
        <v>2120</v>
      </c>
      <c r="P91" s="656" t="s">
        <v>323</v>
      </c>
      <c r="Q91" s="657"/>
      <c r="R91" s="658"/>
    </row>
    <row r="92" spans="1:18" ht="18" customHeight="1">
      <c r="A92" s="616"/>
      <c r="B92" s="700" t="s">
        <v>202</v>
      </c>
      <c r="C92" s="701"/>
      <c r="D92" s="700" t="s">
        <v>11</v>
      </c>
      <c r="E92" s="701"/>
      <c r="F92" s="769" t="s">
        <v>1223</v>
      </c>
      <c r="G92" s="770"/>
      <c r="H92" s="770"/>
      <c r="I92" s="771"/>
      <c r="J92" s="800"/>
      <c r="K92" s="691"/>
      <c r="L92" s="88"/>
      <c r="M92" s="324"/>
      <c r="N92" s="8"/>
      <c r="O92" s="124"/>
      <c r="P92" s="634"/>
      <c r="Q92" s="635"/>
      <c r="R92" s="636"/>
    </row>
    <row r="93" spans="1:18" ht="18" customHeight="1">
      <c r="A93" s="614" t="s">
        <v>127</v>
      </c>
      <c r="B93" s="700" t="s">
        <v>10</v>
      </c>
      <c r="C93" s="701"/>
      <c r="D93" s="700" t="s">
        <v>43</v>
      </c>
      <c r="E93" s="701"/>
      <c r="F93" s="769" t="s">
        <v>810</v>
      </c>
      <c r="G93" s="770"/>
      <c r="H93" s="770"/>
      <c r="I93" s="771"/>
      <c r="J93" s="778" t="s">
        <v>1228</v>
      </c>
      <c r="K93" s="687"/>
      <c r="L93" s="88"/>
      <c r="M93" s="324">
        <v>120</v>
      </c>
      <c r="N93" s="8">
        <v>1</v>
      </c>
      <c r="O93" s="124">
        <v>500</v>
      </c>
      <c r="P93" s="656" t="s">
        <v>12</v>
      </c>
      <c r="Q93" s="657"/>
      <c r="R93" s="658"/>
    </row>
    <row r="94" spans="1:18" ht="18" customHeight="1" thickBot="1">
      <c r="A94" s="684"/>
      <c r="B94" s="693" t="s">
        <v>13</v>
      </c>
      <c r="C94" s="694"/>
      <c r="D94" s="693" t="s">
        <v>14</v>
      </c>
      <c r="E94" s="694"/>
      <c r="F94" s="783" t="s">
        <v>811</v>
      </c>
      <c r="G94" s="784"/>
      <c r="H94" s="784"/>
      <c r="I94" s="785"/>
      <c r="J94" s="779"/>
      <c r="K94" s="688"/>
      <c r="L94" s="224"/>
      <c r="M94" s="325"/>
      <c r="N94" s="24"/>
      <c r="O94" s="363"/>
      <c r="P94" s="780"/>
      <c r="Q94" s="781"/>
      <c r="R94" s="782"/>
    </row>
    <row r="95" spans="1:18" ht="18" customHeight="1" thickTop="1">
      <c r="A95" s="228" t="s">
        <v>380</v>
      </c>
      <c r="B95" s="813" t="s">
        <v>485</v>
      </c>
      <c r="C95" s="814"/>
      <c r="D95" s="813" t="s">
        <v>49</v>
      </c>
      <c r="E95" s="814"/>
      <c r="F95" s="620" t="s">
        <v>1194</v>
      </c>
      <c r="G95" s="621"/>
      <c r="H95" s="621"/>
      <c r="I95" s="622"/>
      <c r="J95" s="515" t="s">
        <v>1484</v>
      </c>
      <c r="K95" s="516" t="s">
        <v>1193</v>
      </c>
      <c r="L95" s="302" t="s">
        <v>425</v>
      </c>
      <c r="M95" s="331">
        <v>120</v>
      </c>
      <c r="N95" s="303">
        <v>1</v>
      </c>
      <c r="O95" s="431">
        <v>10120</v>
      </c>
      <c r="P95" s="815" t="s">
        <v>877</v>
      </c>
      <c r="Q95" s="816"/>
      <c r="R95" s="817"/>
    </row>
    <row r="96" spans="1:18" ht="18" customHeight="1">
      <c r="A96" s="664" t="s">
        <v>269</v>
      </c>
      <c r="B96" s="638" t="s">
        <v>10</v>
      </c>
      <c r="C96" s="639"/>
      <c r="D96" s="638" t="s">
        <v>14</v>
      </c>
      <c r="E96" s="639"/>
      <c r="F96" s="819" t="s">
        <v>445</v>
      </c>
      <c r="G96" s="820"/>
      <c r="H96" s="820"/>
      <c r="I96" s="821"/>
      <c r="J96" s="786" t="s">
        <v>1482</v>
      </c>
      <c r="K96" s="822" t="s">
        <v>986</v>
      </c>
      <c r="L96" s="108"/>
      <c r="M96" s="326">
        <v>120</v>
      </c>
      <c r="N96" s="14">
        <v>1</v>
      </c>
      <c r="O96" s="51">
        <v>2120</v>
      </c>
      <c r="P96" s="794" t="s">
        <v>900</v>
      </c>
      <c r="Q96" s="795"/>
      <c r="R96" s="796"/>
    </row>
    <row r="97" spans="1:18" ht="18" customHeight="1">
      <c r="A97" s="664"/>
      <c r="B97" s="700" t="s">
        <v>81</v>
      </c>
      <c r="C97" s="701"/>
      <c r="D97" s="700" t="s">
        <v>14</v>
      </c>
      <c r="E97" s="701"/>
      <c r="F97" s="769" t="s">
        <v>448</v>
      </c>
      <c r="G97" s="770"/>
      <c r="H97" s="770"/>
      <c r="I97" s="771"/>
      <c r="J97" s="786"/>
      <c r="K97" s="823"/>
      <c r="L97" s="108"/>
      <c r="M97" s="324"/>
      <c r="N97" s="8"/>
      <c r="O97" s="51"/>
      <c r="P97" s="794"/>
      <c r="Q97" s="795"/>
      <c r="R97" s="796"/>
    </row>
    <row r="98" spans="1:18" ht="18" customHeight="1">
      <c r="A98" s="665"/>
      <c r="B98" s="700" t="s">
        <v>83</v>
      </c>
      <c r="C98" s="701"/>
      <c r="D98" s="661" t="s">
        <v>11</v>
      </c>
      <c r="E98" s="661"/>
      <c r="F98" s="659" t="s">
        <v>1408</v>
      </c>
      <c r="G98" s="659"/>
      <c r="H98" s="659"/>
      <c r="I98" s="659"/>
      <c r="J98" s="787"/>
      <c r="K98" s="824"/>
      <c r="L98" s="108"/>
      <c r="M98" s="324"/>
      <c r="N98" s="8"/>
      <c r="O98" s="51"/>
      <c r="P98" s="797"/>
      <c r="Q98" s="798"/>
      <c r="R98" s="799"/>
    </row>
    <row r="99" spans="1:18" ht="18" customHeight="1">
      <c r="A99" s="59" t="s">
        <v>156</v>
      </c>
      <c r="B99" s="618" t="s">
        <v>211</v>
      </c>
      <c r="C99" s="619"/>
      <c r="D99" s="618" t="s">
        <v>72</v>
      </c>
      <c r="E99" s="619"/>
      <c r="F99" s="620" t="s">
        <v>897</v>
      </c>
      <c r="G99" s="621"/>
      <c r="H99" s="621"/>
      <c r="I99" s="622"/>
      <c r="J99" s="509" t="s">
        <v>1225</v>
      </c>
      <c r="K99" s="25"/>
      <c r="L99" s="97" t="s">
        <v>436</v>
      </c>
      <c r="M99" s="323">
        <v>120</v>
      </c>
      <c r="N99" s="25">
        <v>1</v>
      </c>
      <c r="O99" s="32">
        <v>10120</v>
      </c>
      <c r="P99" s="652" t="s">
        <v>466</v>
      </c>
      <c r="Q99" s="623"/>
      <c r="R99" s="624"/>
    </row>
    <row r="100" spans="1:18" ht="18" customHeight="1">
      <c r="A100" s="57" t="s">
        <v>70</v>
      </c>
      <c r="B100" s="679" t="s">
        <v>868</v>
      </c>
      <c r="C100" s="680"/>
      <c r="D100" s="618" t="s">
        <v>240</v>
      </c>
      <c r="E100" s="619"/>
      <c r="F100" s="681" t="s">
        <v>1188</v>
      </c>
      <c r="G100" s="682"/>
      <c r="H100" s="682"/>
      <c r="I100" s="683"/>
      <c r="J100" s="510" t="s">
        <v>1483</v>
      </c>
      <c r="K100" s="96"/>
      <c r="L100" s="76" t="s">
        <v>425</v>
      </c>
      <c r="M100" s="320">
        <v>120</v>
      </c>
      <c r="N100" s="76"/>
      <c r="O100" s="463">
        <v>8120</v>
      </c>
      <c r="P100" s="674" t="s">
        <v>901</v>
      </c>
      <c r="Q100" s="675"/>
      <c r="R100" s="676"/>
    </row>
    <row r="101" spans="1:18" ht="30" customHeight="1">
      <c r="A101" s="59" t="s">
        <v>768</v>
      </c>
      <c r="B101" s="618" t="s">
        <v>178</v>
      </c>
      <c r="C101" s="619"/>
      <c r="D101" s="618" t="s">
        <v>72</v>
      </c>
      <c r="E101" s="619"/>
      <c r="F101" s="620" t="s">
        <v>962</v>
      </c>
      <c r="G101" s="621"/>
      <c r="H101" s="621"/>
      <c r="I101" s="622"/>
      <c r="J101" s="513" t="s">
        <v>1489</v>
      </c>
      <c r="K101" s="421" t="s">
        <v>1091</v>
      </c>
      <c r="L101" s="97" t="s">
        <v>436</v>
      </c>
      <c r="M101" s="323">
        <v>120</v>
      </c>
      <c r="N101" s="25">
        <v>1</v>
      </c>
      <c r="O101" s="32">
        <v>5120</v>
      </c>
      <c r="P101" s="652" t="s">
        <v>878</v>
      </c>
      <c r="Q101" s="623"/>
      <c r="R101" s="624"/>
    </row>
    <row r="102" spans="1:18" ht="30" customHeight="1">
      <c r="A102" s="59" t="s">
        <v>352</v>
      </c>
      <c r="B102" s="618" t="s">
        <v>147</v>
      </c>
      <c r="C102" s="619"/>
      <c r="D102" s="618" t="s">
        <v>11</v>
      </c>
      <c r="E102" s="619"/>
      <c r="F102" s="620" t="s">
        <v>894</v>
      </c>
      <c r="G102" s="621"/>
      <c r="H102" s="621"/>
      <c r="I102" s="622"/>
      <c r="J102" s="514" t="s">
        <v>1490</v>
      </c>
      <c r="K102" s="277"/>
      <c r="L102" s="97" t="s">
        <v>425</v>
      </c>
      <c r="M102" s="323">
        <v>120</v>
      </c>
      <c r="N102" s="25">
        <v>1</v>
      </c>
      <c r="O102" s="32">
        <v>1800</v>
      </c>
      <c r="P102" s="652" t="s">
        <v>898</v>
      </c>
      <c r="Q102" s="623"/>
      <c r="R102" s="624"/>
    </row>
    <row r="103" spans="1:18" ht="18" customHeight="1">
      <c r="A103" s="614" t="s">
        <v>75</v>
      </c>
      <c r="B103" s="618" t="s">
        <v>81</v>
      </c>
      <c r="C103" s="619"/>
      <c r="D103" s="618" t="s">
        <v>11</v>
      </c>
      <c r="E103" s="619"/>
      <c r="F103" s="620" t="s">
        <v>1184</v>
      </c>
      <c r="G103" s="621"/>
      <c r="H103" s="621"/>
      <c r="I103" s="622"/>
      <c r="J103" s="743" t="s">
        <v>1439</v>
      </c>
      <c r="K103" s="745"/>
      <c r="L103" s="254"/>
      <c r="M103" s="323">
        <v>120</v>
      </c>
      <c r="N103" s="25">
        <v>1</v>
      </c>
      <c r="O103" s="32">
        <v>5120</v>
      </c>
      <c r="P103" s="657" t="s">
        <v>896</v>
      </c>
      <c r="Q103" s="657"/>
      <c r="R103" s="658"/>
    </row>
    <row r="104" spans="1:18" ht="18" customHeight="1">
      <c r="A104" s="616"/>
      <c r="B104" s="618" t="s">
        <v>83</v>
      </c>
      <c r="C104" s="619"/>
      <c r="D104" s="618" t="s">
        <v>11</v>
      </c>
      <c r="E104" s="619"/>
      <c r="F104" s="620" t="s">
        <v>1409</v>
      </c>
      <c r="G104" s="621"/>
      <c r="H104" s="621"/>
      <c r="I104" s="622"/>
      <c r="J104" s="744"/>
      <c r="K104" s="746"/>
      <c r="L104" s="254"/>
      <c r="M104" s="323"/>
      <c r="N104" s="25"/>
      <c r="O104" s="66"/>
      <c r="P104" s="635"/>
      <c r="Q104" s="635"/>
      <c r="R104" s="636"/>
    </row>
    <row r="105" spans="1:18" ht="18" customHeight="1">
      <c r="A105" s="615" t="s">
        <v>78</v>
      </c>
      <c r="B105" s="700" t="s">
        <v>10</v>
      </c>
      <c r="C105" s="701"/>
      <c r="D105" s="700" t="s">
        <v>43</v>
      </c>
      <c r="E105" s="701"/>
      <c r="F105" s="662" t="s">
        <v>890</v>
      </c>
      <c r="G105" s="663"/>
      <c r="H105" s="663"/>
      <c r="I105" s="750"/>
      <c r="J105" s="735" t="s">
        <v>1224</v>
      </c>
      <c r="K105" s="751" t="s">
        <v>1491</v>
      </c>
      <c r="L105" s="108"/>
      <c r="M105" s="324">
        <v>120</v>
      </c>
      <c r="N105" s="8">
        <v>1</v>
      </c>
      <c r="O105" s="51">
        <v>3120</v>
      </c>
      <c r="P105" s="656" t="s">
        <v>453</v>
      </c>
      <c r="Q105" s="657"/>
      <c r="R105" s="658"/>
    </row>
    <row r="106" spans="1:18" ht="18" customHeight="1">
      <c r="A106" s="615"/>
      <c r="B106" s="700" t="s">
        <v>81</v>
      </c>
      <c r="C106" s="701"/>
      <c r="D106" s="700" t="s">
        <v>11</v>
      </c>
      <c r="E106" s="701"/>
      <c r="F106" s="662" t="s">
        <v>891</v>
      </c>
      <c r="G106" s="663"/>
      <c r="H106" s="663"/>
      <c r="I106" s="750"/>
      <c r="J106" s="736"/>
      <c r="K106" s="752"/>
      <c r="L106" s="108"/>
      <c r="M106" s="324"/>
      <c r="N106" s="8"/>
      <c r="O106" s="51"/>
      <c r="P106" s="631"/>
      <c r="Q106" s="632"/>
      <c r="R106" s="633"/>
    </row>
    <row r="107" spans="1:18" ht="18" customHeight="1">
      <c r="A107" s="616"/>
      <c r="B107" s="700" t="s">
        <v>83</v>
      </c>
      <c r="C107" s="701"/>
      <c r="D107" s="700" t="s">
        <v>11</v>
      </c>
      <c r="E107" s="701"/>
      <c r="F107" s="769" t="s">
        <v>892</v>
      </c>
      <c r="G107" s="770"/>
      <c r="H107" s="770"/>
      <c r="I107" s="771"/>
      <c r="J107" s="737"/>
      <c r="K107" s="753"/>
      <c r="L107" s="108"/>
      <c r="M107" s="324"/>
      <c r="N107" s="8"/>
      <c r="O107" s="51"/>
      <c r="P107" s="634"/>
      <c r="Q107" s="635"/>
      <c r="R107" s="636"/>
    </row>
    <row r="108" spans="1:18" ht="18" customHeight="1">
      <c r="A108" s="278" t="s">
        <v>1367</v>
      </c>
      <c r="B108" s="276"/>
      <c r="C108" s="276"/>
      <c r="D108" s="205"/>
      <c r="E108" s="205"/>
      <c r="F108" s="206"/>
      <c r="G108" s="206"/>
      <c r="H108" s="206"/>
      <c r="I108" s="206"/>
      <c r="J108" s="207"/>
      <c r="K108" s="207"/>
      <c r="L108" s="207"/>
      <c r="M108" s="329"/>
      <c r="N108" s="207"/>
      <c r="O108" s="466"/>
      <c r="P108" s="214"/>
      <c r="Q108" s="214"/>
      <c r="R108" s="214"/>
    </row>
    <row r="109" spans="1:18" ht="18" customHeight="1">
      <c r="A109" s="279"/>
      <c r="B109" s="116"/>
      <c r="C109" s="116"/>
      <c r="D109" s="205"/>
      <c r="E109" s="205"/>
      <c r="F109" s="206"/>
      <c r="G109" s="206"/>
      <c r="H109" s="206"/>
      <c r="I109" s="206"/>
      <c r="J109" s="207"/>
      <c r="K109" s="207"/>
      <c r="L109" s="207"/>
      <c r="M109" s="329"/>
      <c r="N109" s="207"/>
      <c r="O109" s="466"/>
      <c r="P109" s="214"/>
      <c r="Q109" s="214"/>
      <c r="R109" s="214"/>
    </row>
    <row r="110" spans="1:18" ht="18" customHeight="1">
      <c r="A110" s="279"/>
      <c r="B110" s="116"/>
      <c r="C110" s="116"/>
      <c r="D110" s="205"/>
      <c r="E110" s="205"/>
      <c r="F110" s="206"/>
      <c r="G110" s="206"/>
      <c r="H110" s="206"/>
      <c r="I110" s="206"/>
      <c r="J110" s="207"/>
      <c r="K110" s="207"/>
      <c r="L110" s="207"/>
      <c r="M110" s="329"/>
      <c r="N110" s="207"/>
      <c r="O110" s="466"/>
      <c r="P110" s="214"/>
      <c r="Q110" s="214"/>
      <c r="R110" s="214"/>
    </row>
    <row r="111" spans="1:18" ht="18" customHeight="1">
      <c r="A111" s="279"/>
      <c r="B111" s="116"/>
      <c r="C111" s="116"/>
      <c r="D111" s="205"/>
      <c r="E111" s="205"/>
      <c r="F111" s="206"/>
      <c r="G111" s="206"/>
      <c r="H111" s="206"/>
      <c r="I111" s="206"/>
      <c r="J111" s="207"/>
      <c r="K111" s="207"/>
      <c r="L111" s="207"/>
      <c r="M111" s="329"/>
      <c r="N111" s="207"/>
      <c r="O111" s="466"/>
      <c r="P111" s="214"/>
      <c r="Q111" s="214"/>
      <c r="R111" s="214"/>
    </row>
    <row r="112" spans="1:18" ht="18" customHeight="1">
      <c r="A112" s="262" t="s">
        <v>963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469"/>
      <c r="N112" s="39"/>
      <c r="O112" s="47"/>
      <c r="P112" s="39"/>
      <c r="Q112" s="39"/>
      <c r="R112" s="39"/>
    </row>
    <row r="113" spans="1:18" ht="18" customHeight="1">
      <c r="A113" s="561" t="s">
        <v>1195</v>
      </c>
      <c r="B113" s="562"/>
      <c r="C113" s="562"/>
      <c r="D113" s="533"/>
      <c r="E113" s="39"/>
      <c r="F113" s="39"/>
      <c r="G113" s="39"/>
      <c r="H113" s="39"/>
      <c r="I113" s="39"/>
      <c r="J113" s="39"/>
      <c r="K113" s="39"/>
      <c r="L113" s="465"/>
      <c r="M113" s="469"/>
      <c r="N113" s="39"/>
      <c r="O113" s="47"/>
      <c r="P113" s="39"/>
      <c r="Q113" s="39"/>
      <c r="R113" s="39"/>
    </row>
    <row r="114" spans="1:18" ht="15" customHeight="1">
      <c r="A114" s="49" t="s">
        <v>366</v>
      </c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469"/>
      <c r="N114" s="39"/>
      <c r="O114" s="47"/>
      <c r="P114" s="39"/>
      <c r="Q114" s="804" t="s">
        <v>983</v>
      </c>
      <c r="R114" s="804"/>
    </row>
    <row r="115" spans="1:18" ht="15" customHeight="1">
      <c r="A115" s="754" t="s">
        <v>2</v>
      </c>
      <c r="B115" s="756" t="s">
        <v>3</v>
      </c>
      <c r="C115" s="757"/>
      <c r="D115" s="760" t="s">
        <v>4</v>
      </c>
      <c r="E115" s="761"/>
      <c r="F115" s="756" t="s">
        <v>5</v>
      </c>
      <c r="G115" s="764"/>
      <c r="H115" s="764"/>
      <c r="I115" s="757"/>
      <c r="J115" s="713" t="s">
        <v>491</v>
      </c>
      <c r="K115" s="766" t="s">
        <v>7</v>
      </c>
      <c r="L115" s="185" t="s">
        <v>407</v>
      </c>
      <c r="M115" s="768" t="s">
        <v>1095</v>
      </c>
      <c r="N115" s="805" t="s">
        <v>1096</v>
      </c>
      <c r="O115" s="715" t="s">
        <v>1097</v>
      </c>
      <c r="P115" s="806" t="s">
        <v>8</v>
      </c>
      <c r="Q115" s="807"/>
      <c r="R115" s="808"/>
    </row>
    <row r="116" spans="1:18" ht="15" customHeight="1">
      <c r="A116" s="755"/>
      <c r="B116" s="758"/>
      <c r="C116" s="759"/>
      <c r="D116" s="762"/>
      <c r="E116" s="763"/>
      <c r="F116" s="758"/>
      <c r="G116" s="765"/>
      <c r="H116" s="765"/>
      <c r="I116" s="759"/>
      <c r="J116" s="714"/>
      <c r="K116" s="767"/>
      <c r="L116" s="186" t="s">
        <v>410</v>
      </c>
      <c r="M116" s="717"/>
      <c r="N116" s="706"/>
      <c r="O116" s="715"/>
      <c r="P116" s="809"/>
      <c r="Q116" s="810"/>
      <c r="R116" s="811"/>
    </row>
    <row r="117" spans="1:18" ht="18" customHeight="1">
      <c r="A117" s="57" t="s">
        <v>106</v>
      </c>
      <c r="B117" s="618" t="s">
        <v>236</v>
      </c>
      <c r="C117" s="619"/>
      <c r="D117" s="618" t="s">
        <v>179</v>
      </c>
      <c r="E117" s="619"/>
      <c r="F117" s="620" t="s">
        <v>886</v>
      </c>
      <c r="G117" s="621"/>
      <c r="H117" s="621"/>
      <c r="I117" s="622"/>
      <c r="J117" s="506" t="s">
        <v>1228</v>
      </c>
      <c r="K117" s="15"/>
      <c r="L117" s="97" t="s">
        <v>425</v>
      </c>
      <c r="M117" s="323">
        <v>120</v>
      </c>
      <c r="N117" s="25">
        <v>1</v>
      </c>
      <c r="O117" s="32">
        <v>5120</v>
      </c>
      <c r="P117" s="652" t="s">
        <v>426</v>
      </c>
      <c r="Q117" s="623"/>
      <c r="R117" s="624"/>
    </row>
    <row r="118" spans="1:18" ht="18" customHeight="1">
      <c r="A118" s="59" t="s">
        <v>298</v>
      </c>
      <c r="B118" s="618" t="s">
        <v>178</v>
      </c>
      <c r="C118" s="619"/>
      <c r="D118" s="618" t="s">
        <v>240</v>
      </c>
      <c r="E118" s="619"/>
      <c r="F118" s="707" t="s">
        <v>1067</v>
      </c>
      <c r="G118" s="707"/>
      <c r="H118" s="707"/>
      <c r="I118" s="707"/>
      <c r="J118" s="505" t="s">
        <v>1480</v>
      </c>
      <c r="K118" s="273" t="s">
        <v>989</v>
      </c>
      <c r="L118" s="93" t="s">
        <v>425</v>
      </c>
      <c r="M118" s="323">
        <v>120</v>
      </c>
      <c r="N118" s="25">
        <v>1</v>
      </c>
      <c r="O118" s="43">
        <v>20120</v>
      </c>
      <c r="P118" s="652" t="s">
        <v>431</v>
      </c>
      <c r="Q118" s="623"/>
      <c r="R118" s="624"/>
    </row>
    <row r="119" spans="1:18" ht="18" customHeight="1">
      <c r="A119" s="614" t="s">
        <v>242</v>
      </c>
      <c r="B119" s="700" t="s">
        <v>10</v>
      </c>
      <c r="C119" s="701"/>
      <c r="D119" s="700" t="s">
        <v>11</v>
      </c>
      <c r="E119" s="701"/>
      <c r="F119" s="769" t="s">
        <v>415</v>
      </c>
      <c r="G119" s="770"/>
      <c r="H119" s="770"/>
      <c r="I119" s="771"/>
      <c r="J119" s="801" t="s">
        <v>1488</v>
      </c>
      <c r="K119" s="704" t="s">
        <v>1074</v>
      </c>
      <c r="L119" s="88"/>
      <c r="M119" s="324">
        <v>120</v>
      </c>
      <c r="N119" s="8">
        <v>1</v>
      </c>
      <c r="O119" s="124">
        <v>10120</v>
      </c>
      <c r="P119" s="656" t="s">
        <v>887</v>
      </c>
      <c r="Q119" s="657"/>
      <c r="R119" s="658"/>
    </row>
    <row r="120" spans="1:18" ht="18" customHeight="1">
      <c r="A120" s="616"/>
      <c r="B120" s="700" t="s">
        <v>13</v>
      </c>
      <c r="C120" s="701"/>
      <c r="D120" s="700" t="s">
        <v>11</v>
      </c>
      <c r="E120" s="701"/>
      <c r="F120" s="769" t="s">
        <v>418</v>
      </c>
      <c r="G120" s="770"/>
      <c r="H120" s="770"/>
      <c r="I120" s="771"/>
      <c r="J120" s="787"/>
      <c r="K120" s="705"/>
      <c r="L120" s="88"/>
      <c r="M120" s="324"/>
      <c r="N120" s="8"/>
      <c r="O120" s="124"/>
      <c r="P120" s="634"/>
      <c r="Q120" s="635"/>
      <c r="R120" s="636"/>
    </row>
    <row r="121" spans="1:18" ht="18" customHeight="1">
      <c r="A121" s="614" t="s">
        <v>807</v>
      </c>
      <c r="B121" s="700" t="s">
        <v>10</v>
      </c>
      <c r="C121" s="701"/>
      <c r="D121" s="700" t="s">
        <v>43</v>
      </c>
      <c r="E121" s="701"/>
      <c r="F121" s="769" t="s">
        <v>1525</v>
      </c>
      <c r="G121" s="770"/>
      <c r="H121" s="770"/>
      <c r="I121" s="771"/>
      <c r="J121" s="801" t="s">
        <v>1229</v>
      </c>
      <c r="K121" s="802"/>
      <c r="L121" s="88"/>
      <c r="M121" s="324">
        <v>120</v>
      </c>
      <c r="N121" s="8">
        <v>1</v>
      </c>
      <c r="O121" s="124">
        <v>1220</v>
      </c>
      <c r="P121" s="656" t="s">
        <v>874</v>
      </c>
      <c r="Q121" s="657"/>
      <c r="R121" s="658"/>
    </row>
    <row r="122" spans="1:18" ht="18" customHeight="1">
      <c r="A122" s="616"/>
      <c r="B122" s="700" t="s">
        <v>13</v>
      </c>
      <c r="C122" s="701"/>
      <c r="D122" s="700" t="s">
        <v>11</v>
      </c>
      <c r="E122" s="701"/>
      <c r="F122" s="769" t="s">
        <v>414</v>
      </c>
      <c r="G122" s="770"/>
      <c r="H122" s="770"/>
      <c r="I122" s="771"/>
      <c r="J122" s="787"/>
      <c r="K122" s="803"/>
      <c r="L122" s="88"/>
      <c r="M122" s="324"/>
      <c r="N122" s="8"/>
      <c r="O122" s="124"/>
      <c r="P122" s="634"/>
      <c r="Q122" s="635"/>
      <c r="R122" s="636"/>
    </row>
    <row r="123" spans="1:18" ht="18" customHeight="1">
      <c r="A123" s="614" t="s">
        <v>808</v>
      </c>
      <c r="B123" s="700" t="s">
        <v>35</v>
      </c>
      <c r="C123" s="701"/>
      <c r="D123" s="700" t="s">
        <v>11</v>
      </c>
      <c r="E123" s="701"/>
      <c r="F123" s="699" t="s">
        <v>1190</v>
      </c>
      <c r="G123" s="699"/>
      <c r="H123" s="699"/>
      <c r="I123" s="699"/>
      <c r="J123" s="778"/>
      <c r="K123" s="702" t="s">
        <v>37</v>
      </c>
      <c r="L123" s="88"/>
      <c r="M123" s="324">
        <v>120</v>
      </c>
      <c r="N123" s="8">
        <v>1</v>
      </c>
      <c r="O123" s="124">
        <v>1300</v>
      </c>
      <c r="P123" s="656" t="s">
        <v>38</v>
      </c>
      <c r="Q123" s="657"/>
      <c r="R123" s="658"/>
    </row>
    <row r="124" spans="1:18" ht="18" customHeight="1">
      <c r="A124" s="616"/>
      <c r="B124" s="700" t="s">
        <v>304</v>
      </c>
      <c r="C124" s="701"/>
      <c r="D124" s="700" t="s">
        <v>11</v>
      </c>
      <c r="E124" s="701"/>
      <c r="F124" s="699" t="s">
        <v>1191</v>
      </c>
      <c r="G124" s="699"/>
      <c r="H124" s="699"/>
      <c r="I124" s="699"/>
      <c r="J124" s="800"/>
      <c r="K124" s="691"/>
      <c r="L124" s="88"/>
      <c r="M124" s="324"/>
      <c r="N124" s="8"/>
      <c r="O124" s="124"/>
      <c r="P124" s="634"/>
      <c r="Q124" s="635"/>
      <c r="R124" s="636"/>
    </row>
    <row r="125" spans="1:18" ht="30" customHeight="1">
      <c r="A125" s="59" t="s">
        <v>549</v>
      </c>
      <c r="B125" s="618" t="s">
        <v>211</v>
      </c>
      <c r="C125" s="619"/>
      <c r="D125" s="618" t="s">
        <v>11</v>
      </c>
      <c r="E125" s="619"/>
      <c r="F125" s="620" t="s">
        <v>1119</v>
      </c>
      <c r="G125" s="621"/>
      <c r="H125" s="621"/>
      <c r="I125" s="622"/>
      <c r="J125" s="507" t="s">
        <v>1230</v>
      </c>
      <c r="K125" s="25"/>
      <c r="L125" s="93" t="s">
        <v>425</v>
      </c>
      <c r="M125" s="323">
        <v>120</v>
      </c>
      <c r="N125" s="25">
        <v>1</v>
      </c>
      <c r="O125" s="32">
        <v>6120</v>
      </c>
      <c r="P125" s="652" t="s">
        <v>871</v>
      </c>
      <c r="Q125" s="623"/>
      <c r="R125" s="624"/>
    </row>
    <row r="126" spans="1:18" ht="18" customHeight="1">
      <c r="A126" s="57" t="s">
        <v>434</v>
      </c>
      <c r="B126" s="618" t="s">
        <v>178</v>
      </c>
      <c r="C126" s="619"/>
      <c r="D126" s="618" t="s">
        <v>888</v>
      </c>
      <c r="E126" s="619"/>
      <c r="F126" s="620" t="s">
        <v>889</v>
      </c>
      <c r="G126" s="621"/>
      <c r="H126" s="621"/>
      <c r="I126" s="622"/>
      <c r="J126" s="508" t="s">
        <v>1231</v>
      </c>
      <c r="K126" s="67"/>
      <c r="L126" s="97" t="s">
        <v>436</v>
      </c>
      <c r="M126" s="323">
        <v>120</v>
      </c>
      <c r="N126" s="25">
        <v>1</v>
      </c>
      <c r="O126" s="52">
        <v>10120</v>
      </c>
      <c r="P126" s="652" t="s">
        <v>438</v>
      </c>
      <c r="Q126" s="623"/>
      <c r="R126" s="624"/>
    </row>
    <row r="127" spans="1:18" ht="18" customHeight="1">
      <c r="A127" s="229" t="s">
        <v>309</v>
      </c>
      <c r="B127" s="618" t="s">
        <v>147</v>
      </c>
      <c r="C127" s="619"/>
      <c r="D127" s="650" t="s">
        <v>49</v>
      </c>
      <c r="E127" s="650"/>
      <c r="F127" s="651" t="s">
        <v>441</v>
      </c>
      <c r="G127" s="651"/>
      <c r="H127" s="651"/>
      <c r="I127" s="651"/>
      <c r="J127" s="509" t="s">
        <v>1232</v>
      </c>
      <c r="K127" s="25" t="s">
        <v>988</v>
      </c>
      <c r="L127" s="113" t="s">
        <v>425</v>
      </c>
      <c r="M127" s="323">
        <v>120</v>
      </c>
      <c r="N127" s="25">
        <v>1</v>
      </c>
      <c r="O127" s="32">
        <v>3120</v>
      </c>
      <c r="P127" s="652" t="s">
        <v>872</v>
      </c>
      <c r="Q127" s="623"/>
      <c r="R127" s="624"/>
    </row>
    <row r="128" spans="1:18" ht="18" customHeight="1">
      <c r="A128" s="614" t="s">
        <v>809</v>
      </c>
      <c r="B128" s="700" t="s">
        <v>199</v>
      </c>
      <c r="C128" s="701"/>
      <c r="D128" s="700" t="s">
        <v>11</v>
      </c>
      <c r="E128" s="701"/>
      <c r="F128" s="769" t="s">
        <v>419</v>
      </c>
      <c r="G128" s="770"/>
      <c r="H128" s="770"/>
      <c r="I128" s="771"/>
      <c r="J128" s="778"/>
      <c r="K128" s="702" t="s">
        <v>420</v>
      </c>
      <c r="L128" s="88"/>
      <c r="M128" s="324">
        <v>120</v>
      </c>
      <c r="N128" s="8">
        <v>1</v>
      </c>
      <c r="O128" s="124">
        <v>2120</v>
      </c>
      <c r="P128" s="656" t="s">
        <v>323</v>
      </c>
      <c r="Q128" s="657"/>
      <c r="R128" s="658"/>
    </row>
    <row r="129" spans="1:37" ht="18" customHeight="1">
      <c r="A129" s="616"/>
      <c r="B129" s="700" t="s">
        <v>202</v>
      </c>
      <c r="C129" s="701"/>
      <c r="D129" s="700" t="s">
        <v>11</v>
      </c>
      <c r="E129" s="701"/>
      <c r="F129" s="769" t="s">
        <v>203</v>
      </c>
      <c r="G129" s="770"/>
      <c r="H129" s="770"/>
      <c r="I129" s="771"/>
      <c r="J129" s="800"/>
      <c r="K129" s="691"/>
      <c r="L129" s="88"/>
      <c r="M129" s="324"/>
      <c r="N129" s="8"/>
      <c r="O129" s="124"/>
      <c r="P129" s="634"/>
      <c r="Q129" s="635"/>
      <c r="R129" s="636"/>
    </row>
    <row r="130" spans="1:37" ht="18" customHeight="1">
      <c r="A130" s="614" t="s">
        <v>127</v>
      </c>
      <c r="B130" s="700" t="s">
        <v>10</v>
      </c>
      <c r="C130" s="701"/>
      <c r="D130" s="700" t="s">
        <v>43</v>
      </c>
      <c r="E130" s="701"/>
      <c r="F130" s="769" t="s">
        <v>810</v>
      </c>
      <c r="G130" s="770"/>
      <c r="H130" s="770"/>
      <c r="I130" s="771"/>
      <c r="J130" s="778" t="s">
        <v>1228</v>
      </c>
      <c r="K130" s="687"/>
      <c r="L130" s="88"/>
      <c r="M130" s="324">
        <v>120</v>
      </c>
      <c r="N130" s="8">
        <v>1</v>
      </c>
      <c r="O130" s="124">
        <v>500</v>
      </c>
      <c r="P130" s="656" t="s">
        <v>12</v>
      </c>
      <c r="Q130" s="657"/>
      <c r="R130" s="658"/>
    </row>
    <row r="131" spans="1:37" ht="18" customHeight="1" thickBot="1">
      <c r="A131" s="684"/>
      <c r="B131" s="693" t="s">
        <v>13</v>
      </c>
      <c r="C131" s="694"/>
      <c r="D131" s="693" t="s">
        <v>14</v>
      </c>
      <c r="E131" s="694"/>
      <c r="F131" s="783" t="s">
        <v>811</v>
      </c>
      <c r="G131" s="784"/>
      <c r="H131" s="784"/>
      <c r="I131" s="785"/>
      <c r="J131" s="779"/>
      <c r="K131" s="688"/>
      <c r="L131" s="224"/>
      <c r="M131" s="325"/>
      <c r="N131" s="24"/>
      <c r="O131" s="363"/>
      <c r="P131" s="780"/>
      <c r="Q131" s="781"/>
      <c r="R131" s="782"/>
    </row>
    <row r="132" spans="1:37" ht="18" customHeight="1" thickTop="1">
      <c r="A132" s="772" t="s">
        <v>380</v>
      </c>
      <c r="B132" s="773" t="s">
        <v>10</v>
      </c>
      <c r="C132" s="774"/>
      <c r="D132" s="773" t="s">
        <v>14</v>
      </c>
      <c r="E132" s="774"/>
      <c r="F132" s="775" t="s">
        <v>445</v>
      </c>
      <c r="G132" s="776"/>
      <c r="H132" s="776"/>
      <c r="I132" s="777"/>
      <c r="J132" s="786" t="s">
        <v>1482</v>
      </c>
      <c r="K132" s="788" t="s">
        <v>986</v>
      </c>
      <c r="L132" s="108"/>
      <c r="M132" s="326">
        <v>120</v>
      </c>
      <c r="N132" s="14">
        <v>1</v>
      </c>
      <c r="O132" s="51">
        <v>2120</v>
      </c>
      <c r="P132" s="791" t="s">
        <v>900</v>
      </c>
      <c r="Q132" s="792"/>
      <c r="R132" s="793"/>
    </row>
    <row r="133" spans="1:37" ht="18" customHeight="1">
      <c r="A133" s="664"/>
      <c r="B133" s="700" t="s">
        <v>81</v>
      </c>
      <c r="C133" s="701"/>
      <c r="D133" s="700" t="s">
        <v>14</v>
      </c>
      <c r="E133" s="701"/>
      <c r="F133" s="769" t="s">
        <v>448</v>
      </c>
      <c r="G133" s="770"/>
      <c r="H133" s="770"/>
      <c r="I133" s="771"/>
      <c r="J133" s="786"/>
      <c r="K133" s="823"/>
      <c r="L133" s="108"/>
      <c r="M133" s="324"/>
      <c r="N133" s="8"/>
      <c r="O133" s="51"/>
      <c r="P133" s="794"/>
      <c r="Q133" s="795"/>
      <c r="R133" s="796"/>
    </row>
    <row r="134" spans="1:37" ht="18" customHeight="1">
      <c r="A134" s="665"/>
      <c r="B134" s="700" t="s">
        <v>83</v>
      </c>
      <c r="C134" s="701"/>
      <c r="D134" s="661" t="s">
        <v>11</v>
      </c>
      <c r="E134" s="661"/>
      <c r="F134" s="659" t="s">
        <v>1408</v>
      </c>
      <c r="G134" s="659"/>
      <c r="H134" s="659"/>
      <c r="I134" s="659"/>
      <c r="J134" s="787"/>
      <c r="K134" s="824"/>
      <c r="L134" s="108"/>
      <c r="M134" s="324"/>
      <c r="N134" s="8"/>
      <c r="O134" s="51"/>
      <c r="P134" s="797"/>
      <c r="Q134" s="798"/>
      <c r="R134" s="799"/>
    </row>
    <row r="135" spans="1:37" ht="18" customHeight="1">
      <c r="A135" s="59" t="s">
        <v>269</v>
      </c>
      <c r="B135" s="618" t="s">
        <v>485</v>
      </c>
      <c r="C135" s="619"/>
      <c r="D135" s="618" t="s">
        <v>49</v>
      </c>
      <c r="E135" s="619"/>
      <c r="F135" s="620" t="s">
        <v>1194</v>
      </c>
      <c r="G135" s="621"/>
      <c r="H135" s="621"/>
      <c r="I135" s="622"/>
      <c r="J135" s="515" t="s">
        <v>1484</v>
      </c>
      <c r="K135" s="516" t="s">
        <v>1193</v>
      </c>
      <c r="L135" s="97" t="s">
        <v>425</v>
      </c>
      <c r="M135" s="323">
        <v>120</v>
      </c>
      <c r="N135" s="25">
        <v>1</v>
      </c>
      <c r="O135" s="32">
        <v>10120</v>
      </c>
      <c r="P135" s="652" t="s">
        <v>877</v>
      </c>
      <c r="Q135" s="623"/>
      <c r="R135" s="624"/>
    </row>
    <row r="136" spans="1:37" ht="18" customHeight="1">
      <c r="A136" s="59" t="s">
        <v>156</v>
      </c>
      <c r="B136" s="618" t="s">
        <v>211</v>
      </c>
      <c r="C136" s="619"/>
      <c r="D136" s="618" t="s">
        <v>72</v>
      </c>
      <c r="E136" s="619"/>
      <c r="F136" s="620" t="s">
        <v>897</v>
      </c>
      <c r="G136" s="621"/>
      <c r="H136" s="621"/>
      <c r="I136" s="622"/>
      <c r="J136" s="509" t="s">
        <v>1225</v>
      </c>
      <c r="K136" s="25"/>
      <c r="L136" s="97" t="s">
        <v>436</v>
      </c>
      <c r="M136" s="323">
        <v>120</v>
      </c>
      <c r="N136" s="25">
        <v>1</v>
      </c>
      <c r="O136" s="32">
        <v>10120</v>
      </c>
      <c r="P136" s="652" t="s">
        <v>466</v>
      </c>
      <c r="Q136" s="623"/>
      <c r="R136" s="624"/>
    </row>
    <row r="137" spans="1:37" ht="18" customHeight="1">
      <c r="A137" s="57" t="s">
        <v>70</v>
      </c>
      <c r="B137" s="679" t="s">
        <v>868</v>
      </c>
      <c r="C137" s="680"/>
      <c r="D137" s="618" t="s">
        <v>240</v>
      </c>
      <c r="E137" s="619"/>
      <c r="F137" s="681" t="s">
        <v>1188</v>
      </c>
      <c r="G137" s="682"/>
      <c r="H137" s="682"/>
      <c r="I137" s="683"/>
      <c r="J137" s="510" t="s">
        <v>1483</v>
      </c>
      <c r="K137" s="96"/>
      <c r="L137" s="76" t="s">
        <v>425</v>
      </c>
      <c r="M137" s="320">
        <v>120</v>
      </c>
      <c r="N137" s="76"/>
      <c r="O137" s="463">
        <v>8120</v>
      </c>
      <c r="P137" s="674" t="s">
        <v>901</v>
      </c>
      <c r="Q137" s="675"/>
      <c r="R137" s="676"/>
    </row>
    <row r="138" spans="1:37" ht="30" customHeight="1">
      <c r="A138" s="59" t="s">
        <v>768</v>
      </c>
      <c r="B138" s="618" t="s">
        <v>178</v>
      </c>
      <c r="C138" s="619"/>
      <c r="D138" s="618" t="s">
        <v>72</v>
      </c>
      <c r="E138" s="619"/>
      <c r="F138" s="620" t="s">
        <v>962</v>
      </c>
      <c r="G138" s="621"/>
      <c r="H138" s="621"/>
      <c r="I138" s="622"/>
      <c r="J138" s="513" t="s">
        <v>1485</v>
      </c>
      <c r="K138" s="421" t="s">
        <v>1091</v>
      </c>
      <c r="L138" s="97" t="s">
        <v>436</v>
      </c>
      <c r="M138" s="323">
        <v>120</v>
      </c>
      <c r="N138" s="25">
        <v>1</v>
      </c>
      <c r="O138" s="32">
        <v>5120</v>
      </c>
      <c r="P138" s="652" t="s">
        <v>878</v>
      </c>
      <c r="Q138" s="623"/>
      <c r="R138" s="624"/>
    </row>
    <row r="139" spans="1:37" ht="30" customHeight="1">
      <c r="A139" s="59" t="s">
        <v>352</v>
      </c>
      <c r="B139" s="618" t="s">
        <v>147</v>
      </c>
      <c r="C139" s="619"/>
      <c r="D139" s="618" t="s">
        <v>11</v>
      </c>
      <c r="E139" s="619"/>
      <c r="F139" s="620" t="s">
        <v>894</v>
      </c>
      <c r="G139" s="621"/>
      <c r="H139" s="621"/>
      <c r="I139" s="622"/>
      <c r="J139" s="514" t="s">
        <v>1486</v>
      </c>
      <c r="K139" s="277"/>
      <c r="L139" s="97" t="s">
        <v>425</v>
      </c>
      <c r="M139" s="323">
        <v>120</v>
      </c>
      <c r="N139" s="25">
        <v>1</v>
      </c>
      <c r="O139" s="32">
        <v>1800</v>
      </c>
      <c r="P139" s="652" t="s">
        <v>898</v>
      </c>
      <c r="Q139" s="623"/>
      <c r="R139" s="624"/>
    </row>
    <row r="140" spans="1:37" ht="18" customHeight="1">
      <c r="A140" s="614" t="s">
        <v>75</v>
      </c>
      <c r="B140" s="618" t="s">
        <v>81</v>
      </c>
      <c r="C140" s="619"/>
      <c r="D140" s="618" t="s">
        <v>11</v>
      </c>
      <c r="E140" s="619"/>
      <c r="F140" s="620" t="s">
        <v>1184</v>
      </c>
      <c r="G140" s="621"/>
      <c r="H140" s="621"/>
      <c r="I140" s="622"/>
      <c r="J140" s="743" t="s">
        <v>1439</v>
      </c>
      <c r="K140" s="745"/>
      <c r="L140" s="254"/>
      <c r="M140" s="323">
        <v>120</v>
      </c>
      <c r="N140" s="25">
        <v>1</v>
      </c>
      <c r="O140" s="32">
        <v>5120</v>
      </c>
      <c r="P140" s="657" t="s">
        <v>896</v>
      </c>
      <c r="Q140" s="657"/>
      <c r="R140" s="658"/>
      <c r="U140" s="700" t="s">
        <v>10</v>
      </c>
      <c r="V140" s="701"/>
      <c r="W140" s="700" t="s">
        <v>43</v>
      </c>
      <c r="X140" s="701"/>
      <c r="Y140" s="662" t="s">
        <v>890</v>
      </c>
      <c r="Z140" s="663"/>
      <c r="AA140" s="663"/>
      <c r="AB140" s="750"/>
      <c r="AC140" s="668" t="s">
        <v>1224</v>
      </c>
      <c r="AD140" s="747" t="s">
        <v>1240</v>
      </c>
      <c r="AE140" s="108"/>
      <c r="AF140" s="324">
        <v>120</v>
      </c>
      <c r="AG140" s="8">
        <v>1</v>
      </c>
      <c r="AH140" s="51">
        <v>3120</v>
      </c>
      <c r="AI140" s="656" t="s">
        <v>453</v>
      </c>
      <c r="AJ140" s="657"/>
      <c r="AK140" s="658"/>
    </row>
    <row r="141" spans="1:37" ht="18" customHeight="1">
      <c r="A141" s="740"/>
      <c r="B141" s="618" t="s">
        <v>83</v>
      </c>
      <c r="C141" s="619"/>
      <c r="D141" s="618" t="s">
        <v>11</v>
      </c>
      <c r="E141" s="619"/>
      <c r="F141" s="620" t="s">
        <v>1409</v>
      </c>
      <c r="G141" s="621"/>
      <c r="H141" s="621"/>
      <c r="I141" s="622"/>
      <c r="J141" s="744"/>
      <c r="K141" s="746"/>
      <c r="L141" s="254"/>
      <c r="M141" s="323"/>
      <c r="N141" s="25"/>
      <c r="O141" s="32"/>
      <c r="P141" s="635"/>
      <c r="Q141" s="635"/>
      <c r="R141" s="636"/>
      <c r="U141" s="700" t="s">
        <v>81</v>
      </c>
      <c r="V141" s="701"/>
      <c r="W141" s="700" t="s">
        <v>11</v>
      </c>
      <c r="X141" s="701"/>
      <c r="Y141" s="662" t="s">
        <v>891</v>
      </c>
      <c r="Z141" s="663"/>
      <c r="AA141" s="663"/>
      <c r="AB141" s="750"/>
      <c r="AC141" s="669"/>
      <c r="AD141" s="748"/>
      <c r="AE141" s="108"/>
      <c r="AF141" s="324"/>
      <c r="AG141" s="8"/>
      <c r="AH141" s="51"/>
      <c r="AI141" s="631"/>
      <c r="AJ141" s="632"/>
      <c r="AK141" s="633"/>
    </row>
    <row r="142" spans="1:37" ht="18" customHeight="1">
      <c r="A142" s="614" t="s">
        <v>78</v>
      </c>
      <c r="B142" s="700" t="s">
        <v>10</v>
      </c>
      <c r="C142" s="701"/>
      <c r="D142" s="700" t="s">
        <v>43</v>
      </c>
      <c r="E142" s="701"/>
      <c r="F142" s="662" t="s">
        <v>890</v>
      </c>
      <c r="G142" s="663"/>
      <c r="H142" s="663"/>
      <c r="I142" s="750"/>
      <c r="J142" s="668" t="s">
        <v>1224</v>
      </c>
      <c r="K142" s="747" t="s">
        <v>1492</v>
      </c>
      <c r="L142" s="108"/>
      <c r="M142" s="324">
        <v>120</v>
      </c>
      <c r="N142" s="8">
        <v>1</v>
      </c>
      <c r="O142" s="51">
        <v>3120</v>
      </c>
      <c r="P142" s="656" t="s">
        <v>453</v>
      </c>
      <c r="Q142" s="657"/>
      <c r="R142" s="658"/>
      <c r="U142" s="700" t="s">
        <v>83</v>
      </c>
      <c r="V142" s="701"/>
      <c r="W142" s="700" t="s">
        <v>11</v>
      </c>
      <c r="X142" s="701"/>
      <c r="Y142" s="769" t="s">
        <v>892</v>
      </c>
      <c r="Z142" s="770"/>
      <c r="AA142" s="770"/>
      <c r="AB142" s="771"/>
      <c r="AC142" s="670"/>
      <c r="AD142" s="748"/>
      <c r="AE142" s="108"/>
      <c r="AF142" s="324"/>
      <c r="AG142" s="8"/>
      <c r="AH142" s="51"/>
      <c r="AI142" s="634"/>
      <c r="AJ142" s="635"/>
      <c r="AK142" s="636"/>
    </row>
    <row r="143" spans="1:37" ht="18" customHeight="1">
      <c r="A143" s="741"/>
      <c r="B143" s="700" t="s">
        <v>81</v>
      </c>
      <c r="C143" s="701"/>
      <c r="D143" s="700" t="s">
        <v>11</v>
      </c>
      <c r="E143" s="701"/>
      <c r="F143" s="662" t="s">
        <v>891</v>
      </c>
      <c r="G143" s="663"/>
      <c r="H143" s="663"/>
      <c r="I143" s="750"/>
      <c r="J143" s="669"/>
      <c r="K143" s="748"/>
      <c r="L143" s="108"/>
      <c r="M143" s="324"/>
      <c r="N143" s="8"/>
      <c r="O143" s="51"/>
      <c r="P143" s="631"/>
      <c r="Q143" s="632"/>
      <c r="R143" s="633"/>
    </row>
    <row r="144" spans="1:37" ht="18" customHeight="1">
      <c r="A144" s="742"/>
      <c r="B144" s="700" t="s">
        <v>83</v>
      </c>
      <c r="C144" s="701"/>
      <c r="D144" s="700" t="s">
        <v>11</v>
      </c>
      <c r="E144" s="701"/>
      <c r="F144" s="769" t="s">
        <v>892</v>
      </c>
      <c r="G144" s="770"/>
      <c r="H144" s="770"/>
      <c r="I144" s="771"/>
      <c r="J144" s="670"/>
      <c r="K144" s="749"/>
      <c r="L144" s="108"/>
      <c r="M144" s="324"/>
      <c r="N144" s="8"/>
      <c r="O144" s="51"/>
      <c r="P144" s="634"/>
      <c r="Q144" s="635"/>
      <c r="R144" s="636"/>
      <c r="U144" s="618" t="s">
        <v>81</v>
      </c>
      <c r="V144" s="619"/>
      <c r="W144" s="618" t="s">
        <v>11</v>
      </c>
      <c r="X144" s="619"/>
      <c r="Y144" s="620" t="s">
        <v>1184</v>
      </c>
      <c r="Z144" s="621"/>
      <c r="AA144" s="621"/>
      <c r="AB144" s="622"/>
      <c r="AC144" s="743" t="s">
        <v>1238</v>
      </c>
      <c r="AD144" s="745"/>
      <c r="AE144" s="254"/>
      <c r="AF144" s="323">
        <v>120</v>
      </c>
      <c r="AG144" s="25">
        <v>1</v>
      </c>
      <c r="AH144" s="32">
        <v>5120</v>
      </c>
      <c r="AI144" s="657" t="s">
        <v>896</v>
      </c>
      <c r="AJ144" s="657"/>
      <c r="AK144" s="658"/>
    </row>
    <row r="145" spans="1:37" ht="18" customHeight="1">
      <c r="A145" s="278" t="s">
        <v>1367</v>
      </c>
      <c r="B145" s="276"/>
      <c r="C145" s="276"/>
      <c r="D145" s="205"/>
      <c r="E145" s="205"/>
      <c r="F145" s="206"/>
      <c r="G145" s="206"/>
      <c r="H145" s="206"/>
      <c r="I145" s="206"/>
      <c r="J145" s="207"/>
      <c r="K145" s="207"/>
      <c r="L145" s="207"/>
      <c r="M145" s="329"/>
      <c r="N145" s="207"/>
      <c r="O145" s="466"/>
      <c r="P145" s="214"/>
      <c r="Q145" s="214"/>
      <c r="R145" s="214"/>
      <c r="U145" s="618" t="s">
        <v>83</v>
      </c>
      <c r="V145" s="619"/>
      <c r="W145" s="618" t="s">
        <v>11</v>
      </c>
      <c r="X145" s="619"/>
      <c r="Y145" s="620" t="s">
        <v>1409</v>
      </c>
      <c r="Z145" s="621"/>
      <c r="AA145" s="621"/>
      <c r="AB145" s="622"/>
      <c r="AC145" s="744"/>
      <c r="AD145" s="746"/>
      <c r="AE145" s="254"/>
      <c r="AF145" s="323"/>
      <c r="AG145" s="25"/>
      <c r="AH145" s="32"/>
      <c r="AI145" s="635"/>
      <c r="AJ145" s="635"/>
      <c r="AK145" s="636"/>
    </row>
    <row r="146" spans="1:37" ht="18" customHeight="1"/>
    <row r="147" spans="1:37" ht="18" customHeight="1"/>
    <row r="148" spans="1:37" ht="18" customHeight="1" thickBot="1"/>
    <row r="149" spans="1:37" ht="18" customHeight="1">
      <c r="A149" s="262" t="s">
        <v>963</v>
      </c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469"/>
      <c r="N149" s="39"/>
      <c r="O149" s="47"/>
      <c r="P149" s="39"/>
      <c r="Q149" s="39"/>
      <c r="R149" s="39"/>
      <c r="U149" s="832" t="s">
        <v>1356</v>
      </c>
      <c r="V149" s="835" t="s">
        <v>1357</v>
      </c>
      <c r="W149" s="836"/>
      <c r="X149" s="835" t="s">
        <v>1358</v>
      </c>
      <c r="Y149" s="837"/>
      <c r="Z149" s="837"/>
      <c r="AA149" s="837"/>
      <c r="AB149" s="837"/>
      <c r="AC149" s="836"/>
      <c r="AD149" s="553" t="s">
        <v>1359</v>
      </c>
      <c r="AE149" s="553" t="s">
        <v>1360</v>
      </c>
      <c r="AF149" s="554" t="s">
        <v>1361</v>
      </c>
    </row>
    <row r="150" spans="1:37" ht="18" customHeight="1">
      <c r="A150" s="267" t="s">
        <v>1419</v>
      </c>
      <c r="B150" s="464"/>
      <c r="C150" s="464"/>
      <c r="D150" s="39"/>
      <c r="E150" s="39"/>
      <c r="F150" s="39"/>
      <c r="G150" s="39"/>
      <c r="H150" s="39"/>
      <c r="I150" s="39"/>
      <c r="J150" s="39"/>
      <c r="K150" s="39"/>
      <c r="L150" s="465"/>
      <c r="M150" s="469"/>
      <c r="N150" s="39"/>
      <c r="O150" s="47"/>
      <c r="P150" s="39"/>
      <c r="Q150" s="39"/>
      <c r="R150" s="39"/>
      <c r="T150" t="s">
        <v>1370</v>
      </c>
      <c r="U150" s="833"/>
      <c r="V150" s="645"/>
      <c r="W150" s="646"/>
      <c r="X150" s="646"/>
      <c r="Y150" s="646"/>
      <c r="Z150" s="646"/>
      <c r="AA150" s="646"/>
      <c r="AB150" s="646"/>
      <c r="AC150" s="646"/>
      <c r="AD150" s="555"/>
      <c r="AE150" s="555"/>
      <c r="AF150" s="556"/>
    </row>
    <row r="151" spans="1:37" ht="15" customHeight="1">
      <c r="A151" s="49" t="s">
        <v>366</v>
      </c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469"/>
      <c r="N151" s="39"/>
      <c r="O151" s="47"/>
      <c r="P151" s="39"/>
      <c r="Q151" s="804" t="s">
        <v>983</v>
      </c>
      <c r="R151" s="804"/>
      <c r="U151" s="833"/>
      <c r="V151" s="645"/>
      <c r="W151" s="646"/>
      <c r="X151" s="646"/>
      <c r="Y151" s="646"/>
      <c r="Z151" s="646"/>
      <c r="AA151" s="646"/>
      <c r="AB151" s="646"/>
      <c r="AC151" s="646"/>
      <c r="AD151" s="555"/>
      <c r="AE151" s="555"/>
      <c r="AF151" s="556"/>
    </row>
    <row r="152" spans="1:37" ht="15" customHeight="1" thickBot="1">
      <c r="A152" s="754" t="s">
        <v>2</v>
      </c>
      <c r="B152" s="756" t="s">
        <v>3</v>
      </c>
      <c r="C152" s="757"/>
      <c r="D152" s="760" t="s">
        <v>4</v>
      </c>
      <c r="E152" s="761"/>
      <c r="F152" s="756" t="s">
        <v>5</v>
      </c>
      <c r="G152" s="764"/>
      <c r="H152" s="764"/>
      <c r="I152" s="757"/>
      <c r="J152" s="713" t="s">
        <v>491</v>
      </c>
      <c r="K152" s="766" t="s">
        <v>7</v>
      </c>
      <c r="L152" s="185" t="s">
        <v>407</v>
      </c>
      <c r="M152" s="768" t="s">
        <v>1095</v>
      </c>
      <c r="N152" s="805" t="s">
        <v>1096</v>
      </c>
      <c r="O152" s="715" t="s">
        <v>1097</v>
      </c>
      <c r="P152" s="806" t="s">
        <v>8</v>
      </c>
      <c r="Q152" s="807"/>
      <c r="R152" s="808"/>
      <c r="U152" s="834"/>
      <c r="V152" s="647" t="s">
        <v>1368</v>
      </c>
      <c r="W152" s="617"/>
      <c r="X152" s="617" t="s">
        <v>1363</v>
      </c>
      <c r="Y152" s="617"/>
      <c r="Z152" s="617"/>
      <c r="AA152" s="617"/>
      <c r="AB152" s="617"/>
      <c r="AC152" s="617"/>
      <c r="AD152" s="557" t="s">
        <v>1364</v>
      </c>
      <c r="AE152" s="557" t="s">
        <v>1365</v>
      </c>
      <c r="AF152" s="558" t="s">
        <v>1366</v>
      </c>
    </row>
    <row r="153" spans="1:37" ht="15" customHeight="1">
      <c r="A153" s="755"/>
      <c r="B153" s="758"/>
      <c r="C153" s="759"/>
      <c r="D153" s="762"/>
      <c r="E153" s="763"/>
      <c r="F153" s="758"/>
      <c r="G153" s="765"/>
      <c r="H153" s="765"/>
      <c r="I153" s="759"/>
      <c r="J153" s="714"/>
      <c r="K153" s="767"/>
      <c r="L153" s="186" t="s">
        <v>410</v>
      </c>
      <c r="M153" s="717"/>
      <c r="N153" s="706"/>
      <c r="O153" s="715"/>
      <c r="P153" s="809"/>
      <c r="Q153" s="810"/>
      <c r="R153" s="811"/>
    </row>
    <row r="154" spans="1:37">
      <c r="A154" s="57" t="s">
        <v>106</v>
      </c>
      <c r="B154" s="618" t="s">
        <v>236</v>
      </c>
      <c r="C154" s="619"/>
      <c r="D154" s="618" t="s">
        <v>179</v>
      </c>
      <c r="E154" s="619"/>
      <c r="F154" s="620" t="s">
        <v>886</v>
      </c>
      <c r="G154" s="621"/>
      <c r="H154" s="621"/>
      <c r="I154" s="622"/>
      <c r="J154" s="506" t="s">
        <v>1228</v>
      </c>
      <c r="K154" s="15"/>
      <c r="L154" s="97" t="s">
        <v>425</v>
      </c>
      <c r="M154" s="323">
        <v>120</v>
      </c>
      <c r="N154" s="25">
        <v>1</v>
      </c>
      <c r="O154" s="32">
        <v>5120</v>
      </c>
      <c r="P154" s="652" t="s">
        <v>426</v>
      </c>
      <c r="Q154" s="623"/>
      <c r="R154" s="624"/>
    </row>
    <row r="155" spans="1:37" ht="18" customHeight="1" thickBot="1">
      <c r="A155" s="59" t="s">
        <v>298</v>
      </c>
      <c r="B155" s="618" t="s">
        <v>178</v>
      </c>
      <c r="C155" s="619"/>
      <c r="D155" s="618" t="s">
        <v>240</v>
      </c>
      <c r="E155" s="619"/>
      <c r="F155" s="707" t="s">
        <v>1067</v>
      </c>
      <c r="G155" s="707"/>
      <c r="H155" s="707"/>
      <c r="I155" s="707"/>
      <c r="J155" s="505" t="s">
        <v>1480</v>
      </c>
      <c r="K155" s="273" t="s">
        <v>989</v>
      </c>
      <c r="L155" s="93" t="s">
        <v>425</v>
      </c>
      <c r="M155" s="323">
        <v>120</v>
      </c>
      <c r="N155" s="25">
        <v>1</v>
      </c>
      <c r="O155" s="43">
        <v>20120</v>
      </c>
      <c r="P155" s="652" t="s">
        <v>431</v>
      </c>
      <c r="Q155" s="623"/>
      <c r="R155" s="624"/>
    </row>
    <row r="156" spans="1:37" ht="18" customHeight="1">
      <c r="A156" s="614" t="s">
        <v>242</v>
      </c>
      <c r="B156" s="700" t="s">
        <v>10</v>
      </c>
      <c r="C156" s="701"/>
      <c r="D156" s="700" t="s">
        <v>11</v>
      </c>
      <c r="E156" s="701"/>
      <c r="F156" s="769" t="s">
        <v>415</v>
      </c>
      <c r="G156" s="770"/>
      <c r="H156" s="770"/>
      <c r="I156" s="771"/>
      <c r="J156" s="801" t="s">
        <v>1493</v>
      </c>
      <c r="K156" s="704" t="s">
        <v>1074</v>
      </c>
      <c r="L156" s="88"/>
      <c r="M156" s="324">
        <v>120</v>
      </c>
      <c r="N156" s="8">
        <v>1</v>
      </c>
      <c r="O156" s="124">
        <v>10120</v>
      </c>
      <c r="P156" s="656" t="s">
        <v>887</v>
      </c>
      <c r="Q156" s="657"/>
      <c r="R156" s="658"/>
      <c r="U156" s="832" t="s">
        <v>1356</v>
      </c>
      <c r="V156" s="644" t="s">
        <v>1357</v>
      </c>
      <c r="W156" s="644"/>
      <c r="X156" s="644" t="s">
        <v>1358</v>
      </c>
      <c r="Y156" s="644"/>
      <c r="Z156" s="644"/>
      <c r="AA156" s="644"/>
      <c r="AB156" s="644"/>
      <c r="AC156" s="644"/>
      <c r="AD156" s="553" t="s">
        <v>1359</v>
      </c>
      <c r="AE156" s="553" t="s">
        <v>1360</v>
      </c>
      <c r="AF156" s="554" t="s">
        <v>1361</v>
      </c>
    </row>
    <row r="157" spans="1:37" ht="18" customHeight="1">
      <c r="A157" s="616"/>
      <c r="B157" s="700" t="s">
        <v>13</v>
      </c>
      <c r="C157" s="701"/>
      <c r="D157" s="700" t="s">
        <v>11</v>
      </c>
      <c r="E157" s="701"/>
      <c r="F157" s="769" t="s">
        <v>418</v>
      </c>
      <c r="G157" s="770"/>
      <c r="H157" s="770"/>
      <c r="I157" s="771"/>
      <c r="J157" s="787"/>
      <c r="K157" s="705"/>
      <c r="L157" s="88"/>
      <c r="M157" s="324"/>
      <c r="N157" s="8"/>
      <c r="O157" s="124"/>
      <c r="P157" s="634"/>
      <c r="Q157" s="635"/>
      <c r="R157" s="636"/>
      <c r="T157" t="s">
        <v>1369</v>
      </c>
      <c r="U157" s="833"/>
      <c r="V157" s="645"/>
      <c r="W157" s="646"/>
      <c r="X157" s="646"/>
      <c r="Y157" s="646"/>
      <c r="Z157" s="646"/>
      <c r="AA157" s="646"/>
      <c r="AB157" s="646"/>
      <c r="AC157" s="646"/>
      <c r="AD157" s="555"/>
      <c r="AE157" s="555"/>
      <c r="AF157" s="556"/>
    </row>
    <row r="158" spans="1:37" ht="18" customHeight="1">
      <c r="A158" s="614" t="s">
        <v>807</v>
      </c>
      <c r="B158" s="700" t="s">
        <v>10</v>
      </c>
      <c r="C158" s="701"/>
      <c r="D158" s="700" t="s">
        <v>43</v>
      </c>
      <c r="E158" s="701"/>
      <c r="F158" s="769" t="s">
        <v>1525</v>
      </c>
      <c r="G158" s="770"/>
      <c r="H158" s="770"/>
      <c r="I158" s="771"/>
      <c r="J158" s="801" t="s">
        <v>1229</v>
      </c>
      <c r="K158" s="802"/>
      <c r="L158" s="88"/>
      <c r="M158" s="324">
        <v>120</v>
      </c>
      <c r="N158" s="8">
        <v>1</v>
      </c>
      <c r="O158" s="124">
        <v>1220</v>
      </c>
      <c r="P158" s="656" t="s">
        <v>874</v>
      </c>
      <c r="Q158" s="657"/>
      <c r="R158" s="658"/>
      <c r="U158" s="833"/>
      <c r="V158" s="645"/>
      <c r="W158" s="646"/>
      <c r="X158" s="646"/>
      <c r="Y158" s="646"/>
      <c r="Z158" s="646"/>
      <c r="AA158" s="646"/>
      <c r="AB158" s="646"/>
      <c r="AC158" s="646"/>
      <c r="AD158" s="555"/>
      <c r="AE158" s="555"/>
      <c r="AF158" s="556"/>
    </row>
    <row r="159" spans="1:37" ht="18" customHeight="1" thickBot="1">
      <c r="A159" s="616"/>
      <c r="B159" s="700" t="s">
        <v>13</v>
      </c>
      <c r="C159" s="701"/>
      <c r="D159" s="700" t="s">
        <v>11</v>
      </c>
      <c r="E159" s="701"/>
      <c r="F159" s="769" t="s">
        <v>414</v>
      </c>
      <c r="G159" s="770"/>
      <c r="H159" s="770"/>
      <c r="I159" s="771"/>
      <c r="J159" s="787"/>
      <c r="K159" s="803"/>
      <c r="L159" s="88"/>
      <c r="M159" s="324"/>
      <c r="N159" s="8"/>
      <c r="O159" s="124"/>
      <c r="P159" s="634"/>
      <c r="Q159" s="635"/>
      <c r="R159" s="636"/>
      <c r="U159" s="834"/>
      <c r="V159" s="647" t="s">
        <v>1371</v>
      </c>
      <c r="W159" s="617"/>
      <c r="X159" s="617" t="s">
        <v>1363</v>
      </c>
      <c r="Y159" s="617"/>
      <c r="Z159" s="617"/>
      <c r="AA159" s="617"/>
      <c r="AB159" s="617"/>
      <c r="AC159" s="617"/>
      <c r="AD159" s="557" t="s">
        <v>1364</v>
      </c>
      <c r="AE159" s="557" t="s">
        <v>1365</v>
      </c>
      <c r="AF159" s="558" t="s">
        <v>1366</v>
      </c>
    </row>
    <row r="160" spans="1:37" ht="18" customHeight="1">
      <c r="A160" s="614" t="s">
        <v>808</v>
      </c>
      <c r="B160" s="661" t="s">
        <v>35</v>
      </c>
      <c r="C160" s="661"/>
      <c r="D160" s="661" t="s">
        <v>11</v>
      </c>
      <c r="E160" s="661"/>
      <c r="F160" s="699" t="s">
        <v>1190</v>
      </c>
      <c r="G160" s="699"/>
      <c r="H160" s="699"/>
      <c r="I160" s="699"/>
      <c r="J160" s="778"/>
      <c r="K160" s="702" t="s">
        <v>37</v>
      </c>
      <c r="L160" s="88"/>
      <c r="M160" s="324">
        <v>120</v>
      </c>
      <c r="N160" s="8">
        <v>1</v>
      </c>
      <c r="O160" s="124">
        <v>1300</v>
      </c>
      <c r="P160" s="656" t="s">
        <v>38</v>
      </c>
      <c r="Q160" s="657"/>
      <c r="R160" s="658"/>
    </row>
    <row r="161" spans="1:32" ht="18" customHeight="1">
      <c r="A161" s="616"/>
      <c r="B161" s="661" t="s">
        <v>304</v>
      </c>
      <c r="C161" s="661"/>
      <c r="D161" s="661" t="s">
        <v>11</v>
      </c>
      <c r="E161" s="661"/>
      <c r="F161" s="699" t="s">
        <v>1191</v>
      </c>
      <c r="G161" s="699"/>
      <c r="H161" s="699"/>
      <c r="I161" s="699"/>
      <c r="J161" s="800"/>
      <c r="K161" s="691"/>
      <c r="L161" s="88"/>
      <c r="M161" s="324"/>
      <c r="N161" s="8"/>
      <c r="O161" s="124"/>
      <c r="P161" s="634"/>
      <c r="Q161" s="635"/>
      <c r="R161" s="636"/>
    </row>
    <row r="162" spans="1:32" ht="30" customHeight="1" thickBot="1">
      <c r="A162" s="59" t="s">
        <v>549</v>
      </c>
      <c r="B162" s="618" t="s">
        <v>211</v>
      </c>
      <c r="C162" s="619"/>
      <c r="D162" s="618" t="s">
        <v>11</v>
      </c>
      <c r="E162" s="619"/>
      <c r="F162" s="620" t="s">
        <v>1119</v>
      </c>
      <c r="G162" s="621"/>
      <c r="H162" s="621"/>
      <c r="I162" s="622"/>
      <c r="J162" s="507" t="s">
        <v>1230</v>
      </c>
      <c r="K162" s="25"/>
      <c r="L162" s="93" t="s">
        <v>425</v>
      </c>
      <c r="M162" s="323">
        <v>120</v>
      </c>
      <c r="N162" s="25">
        <v>1</v>
      </c>
      <c r="O162" s="32">
        <v>6120</v>
      </c>
      <c r="P162" s="652" t="s">
        <v>871</v>
      </c>
      <c r="Q162" s="623"/>
      <c r="R162" s="624"/>
    </row>
    <row r="163" spans="1:32" ht="18" customHeight="1">
      <c r="A163" s="57" t="s">
        <v>434</v>
      </c>
      <c r="B163" s="618" t="s">
        <v>178</v>
      </c>
      <c r="C163" s="619"/>
      <c r="D163" s="618" t="s">
        <v>888</v>
      </c>
      <c r="E163" s="619"/>
      <c r="F163" s="620" t="s">
        <v>889</v>
      </c>
      <c r="G163" s="621"/>
      <c r="H163" s="621"/>
      <c r="I163" s="622"/>
      <c r="J163" s="508" t="s">
        <v>1231</v>
      </c>
      <c r="K163" s="67"/>
      <c r="L163" s="97" t="s">
        <v>436</v>
      </c>
      <c r="M163" s="323">
        <v>120</v>
      </c>
      <c r="N163" s="25">
        <v>1</v>
      </c>
      <c r="O163" s="52">
        <v>10120</v>
      </c>
      <c r="P163" s="652" t="s">
        <v>438</v>
      </c>
      <c r="Q163" s="623"/>
      <c r="R163" s="624"/>
      <c r="U163" s="832" t="s">
        <v>1356</v>
      </c>
      <c r="V163" s="644" t="s">
        <v>1357</v>
      </c>
      <c r="W163" s="644"/>
      <c r="X163" s="644" t="s">
        <v>1358</v>
      </c>
      <c r="Y163" s="644"/>
      <c r="Z163" s="644"/>
      <c r="AA163" s="644"/>
      <c r="AB163" s="644"/>
      <c r="AC163" s="644"/>
      <c r="AD163" s="553" t="s">
        <v>1359</v>
      </c>
      <c r="AE163" s="553" t="s">
        <v>1360</v>
      </c>
      <c r="AF163" s="554" t="s">
        <v>1361</v>
      </c>
    </row>
    <row r="164" spans="1:32" ht="18" customHeight="1">
      <c r="A164" s="229" t="s">
        <v>309</v>
      </c>
      <c r="B164" s="618" t="s">
        <v>147</v>
      </c>
      <c r="C164" s="619"/>
      <c r="D164" s="650" t="s">
        <v>49</v>
      </c>
      <c r="E164" s="650"/>
      <c r="F164" s="651" t="s">
        <v>441</v>
      </c>
      <c r="G164" s="651"/>
      <c r="H164" s="651"/>
      <c r="I164" s="651"/>
      <c r="J164" s="509" t="s">
        <v>1232</v>
      </c>
      <c r="K164" s="25" t="s">
        <v>988</v>
      </c>
      <c r="L164" s="113" t="s">
        <v>425</v>
      </c>
      <c r="M164" s="323">
        <v>120</v>
      </c>
      <c r="N164" s="25">
        <v>1</v>
      </c>
      <c r="O164" s="32">
        <v>3120</v>
      </c>
      <c r="P164" s="652" t="s">
        <v>872</v>
      </c>
      <c r="Q164" s="623"/>
      <c r="R164" s="624"/>
      <c r="T164" t="s">
        <v>1372</v>
      </c>
      <c r="U164" s="833"/>
      <c r="V164" s="645"/>
      <c r="W164" s="646"/>
      <c r="X164" s="646"/>
      <c r="Y164" s="646"/>
      <c r="Z164" s="646"/>
      <c r="AA164" s="646"/>
      <c r="AB164" s="646"/>
      <c r="AC164" s="646"/>
      <c r="AD164" s="555"/>
      <c r="AE164" s="555"/>
      <c r="AF164" s="556"/>
    </row>
    <row r="165" spans="1:32" ht="18" customHeight="1">
      <c r="A165" s="614" t="s">
        <v>125</v>
      </c>
      <c r="B165" s="700" t="s">
        <v>199</v>
      </c>
      <c r="C165" s="701"/>
      <c r="D165" s="700" t="s">
        <v>11</v>
      </c>
      <c r="E165" s="701"/>
      <c r="F165" s="769" t="s">
        <v>419</v>
      </c>
      <c r="G165" s="770"/>
      <c r="H165" s="770"/>
      <c r="I165" s="771"/>
      <c r="J165" s="778"/>
      <c r="K165" s="702" t="s">
        <v>420</v>
      </c>
      <c r="L165" s="88"/>
      <c r="M165" s="324">
        <v>120</v>
      </c>
      <c r="N165" s="8">
        <v>1</v>
      </c>
      <c r="O165" s="124">
        <v>2120</v>
      </c>
      <c r="P165" s="656" t="s">
        <v>323</v>
      </c>
      <c r="Q165" s="657"/>
      <c r="R165" s="658"/>
      <c r="U165" s="833"/>
      <c r="V165" s="645"/>
      <c r="W165" s="646"/>
      <c r="X165" s="646"/>
      <c r="Y165" s="646"/>
      <c r="Z165" s="646"/>
      <c r="AA165" s="646"/>
      <c r="AB165" s="646"/>
      <c r="AC165" s="646"/>
      <c r="AD165" s="555"/>
      <c r="AE165" s="555"/>
      <c r="AF165" s="556"/>
    </row>
    <row r="166" spans="1:32" ht="18" customHeight="1" thickBot="1">
      <c r="A166" s="616"/>
      <c r="B166" s="700" t="s">
        <v>202</v>
      </c>
      <c r="C166" s="701"/>
      <c r="D166" s="700" t="s">
        <v>11</v>
      </c>
      <c r="E166" s="701"/>
      <c r="F166" s="769" t="s">
        <v>1223</v>
      </c>
      <c r="G166" s="770"/>
      <c r="H166" s="770"/>
      <c r="I166" s="771"/>
      <c r="J166" s="800"/>
      <c r="K166" s="691"/>
      <c r="L166" s="88"/>
      <c r="M166" s="324"/>
      <c r="N166" s="8"/>
      <c r="O166" s="124"/>
      <c r="P166" s="634"/>
      <c r="Q166" s="635"/>
      <c r="R166" s="636"/>
      <c r="U166" s="834"/>
      <c r="V166" s="647" t="s">
        <v>1375</v>
      </c>
      <c r="W166" s="617"/>
      <c r="X166" s="617" t="s">
        <v>1363</v>
      </c>
      <c r="Y166" s="617"/>
      <c r="Z166" s="617"/>
      <c r="AA166" s="617"/>
      <c r="AB166" s="617"/>
      <c r="AC166" s="617"/>
      <c r="AD166" s="557" t="s">
        <v>1364</v>
      </c>
      <c r="AE166" s="557" t="s">
        <v>1365</v>
      </c>
      <c r="AF166" s="558" t="s">
        <v>1366</v>
      </c>
    </row>
    <row r="167" spans="1:32" ht="18" customHeight="1">
      <c r="A167" s="614" t="s">
        <v>127</v>
      </c>
      <c r="B167" s="700" t="s">
        <v>10</v>
      </c>
      <c r="C167" s="701"/>
      <c r="D167" s="700" t="s">
        <v>43</v>
      </c>
      <c r="E167" s="701"/>
      <c r="F167" s="769" t="s">
        <v>810</v>
      </c>
      <c r="G167" s="770"/>
      <c r="H167" s="770"/>
      <c r="I167" s="771"/>
      <c r="J167" s="778" t="s">
        <v>1228</v>
      </c>
      <c r="K167" s="687"/>
      <c r="L167" s="88"/>
      <c r="M167" s="324">
        <v>120</v>
      </c>
      <c r="N167" s="8">
        <v>1</v>
      </c>
      <c r="O167" s="124">
        <v>500</v>
      </c>
      <c r="P167" s="656" t="s">
        <v>12</v>
      </c>
      <c r="Q167" s="657"/>
      <c r="R167" s="658"/>
    </row>
    <row r="168" spans="1:32" ht="18" customHeight="1" thickBot="1">
      <c r="A168" s="684"/>
      <c r="B168" s="693" t="s">
        <v>13</v>
      </c>
      <c r="C168" s="694"/>
      <c r="D168" s="693" t="s">
        <v>14</v>
      </c>
      <c r="E168" s="694"/>
      <c r="F168" s="783" t="s">
        <v>811</v>
      </c>
      <c r="G168" s="784"/>
      <c r="H168" s="784"/>
      <c r="I168" s="785"/>
      <c r="J168" s="779"/>
      <c r="K168" s="688"/>
      <c r="L168" s="224"/>
      <c r="M168" s="325"/>
      <c r="N168" s="24"/>
      <c r="O168" s="363"/>
      <c r="P168" s="780"/>
      <c r="Q168" s="781"/>
      <c r="R168" s="782"/>
    </row>
    <row r="169" spans="1:32" ht="18" customHeight="1" thickTop="1" thickBot="1">
      <c r="A169" s="772" t="s">
        <v>380</v>
      </c>
      <c r="B169" s="773" t="s">
        <v>10</v>
      </c>
      <c r="C169" s="774"/>
      <c r="D169" s="773" t="s">
        <v>14</v>
      </c>
      <c r="E169" s="774"/>
      <c r="F169" s="775" t="s">
        <v>445</v>
      </c>
      <c r="G169" s="776"/>
      <c r="H169" s="776"/>
      <c r="I169" s="777"/>
      <c r="J169" s="786" t="s">
        <v>1482</v>
      </c>
      <c r="K169" s="788" t="s">
        <v>986</v>
      </c>
      <c r="L169" s="108"/>
      <c r="M169" s="326">
        <v>120</v>
      </c>
      <c r="N169" s="14">
        <v>1</v>
      </c>
      <c r="O169" s="51">
        <v>2120</v>
      </c>
      <c r="P169" s="791" t="s">
        <v>900</v>
      </c>
      <c r="Q169" s="792"/>
      <c r="R169" s="793"/>
    </row>
    <row r="170" spans="1:32" ht="18" customHeight="1">
      <c r="A170" s="664"/>
      <c r="B170" s="700" t="s">
        <v>81</v>
      </c>
      <c r="C170" s="701"/>
      <c r="D170" s="700" t="s">
        <v>14</v>
      </c>
      <c r="E170" s="701"/>
      <c r="F170" s="769" t="s">
        <v>448</v>
      </c>
      <c r="G170" s="770"/>
      <c r="H170" s="770"/>
      <c r="I170" s="771"/>
      <c r="J170" s="786"/>
      <c r="K170" s="789"/>
      <c r="L170" s="108"/>
      <c r="M170" s="324"/>
      <c r="N170" s="8"/>
      <c r="O170" s="51"/>
      <c r="P170" s="794"/>
      <c r="Q170" s="795"/>
      <c r="R170" s="796"/>
      <c r="U170" s="832" t="s">
        <v>1356</v>
      </c>
      <c r="V170" s="644" t="s">
        <v>1357</v>
      </c>
      <c r="W170" s="644"/>
      <c r="X170" s="644" t="s">
        <v>1358</v>
      </c>
      <c r="Y170" s="644"/>
      <c r="Z170" s="644"/>
      <c r="AA170" s="644"/>
      <c r="AB170" s="644"/>
      <c r="AC170" s="644"/>
      <c r="AD170" s="553" t="s">
        <v>1359</v>
      </c>
      <c r="AE170" s="553" t="s">
        <v>1360</v>
      </c>
      <c r="AF170" s="554" t="s">
        <v>1361</v>
      </c>
    </row>
    <row r="171" spans="1:32" ht="18" customHeight="1">
      <c r="A171" s="665"/>
      <c r="B171" s="700" t="s">
        <v>83</v>
      </c>
      <c r="C171" s="701"/>
      <c r="D171" s="661" t="s">
        <v>11</v>
      </c>
      <c r="E171" s="661"/>
      <c r="F171" s="659" t="s">
        <v>1408</v>
      </c>
      <c r="G171" s="659"/>
      <c r="H171" s="659"/>
      <c r="I171" s="659"/>
      <c r="J171" s="787"/>
      <c r="K171" s="790"/>
      <c r="L171" s="108"/>
      <c r="M171" s="324"/>
      <c r="N171" s="8"/>
      <c r="O171" s="51"/>
      <c r="P171" s="797"/>
      <c r="Q171" s="798"/>
      <c r="R171" s="799"/>
      <c r="T171" t="s">
        <v>1373</v>
      </c>
      <c r="U171" s="833"/>
      <c r="V171" s="645"/>
      <c r="W171" s="646"/>
      <c r="X171" s="646"/>
      <c r="Y171" s="646"/>
      <c r="Z171" s="646"/>
      <c r="AA171" s="646"/>
      <c r="AB171" s="646"/>
      <c r="AC171" s="646"/>
      <c r="AD171" s="555"/>
      <c r="AE171" s="555"/>
      <c r="AF171" s="556"/>
    </row>
    <row r="172" spans="1:32" ht="18" customHeight="1">
      <c r="A172" s="59" t="s">
        <v>269</v>
      </c>
      <c r="B172" s="618" t="s">
        <v>485</v>
      </c>
      <c r="C172" s="619"/>
      <c r="D172" s="618" t="s">
        <v>49</v>
      </c>
      <c r="E172" s="619"/>
      <c r="F172" s="620" t="s">
        <v>1194</v>
      </c>
      <c r="G172" s="621"/>
      <c r="H172" s="621"/>
      <c r="I172" s="622"/>
      <c r="J172" s="515" t="s">
        <v>1484</v>
      </c>
      <c r="K172" s="516" t="s">
        <v>1193</v>
      </c>
      <c r="L172" s="97" t="s">
        <v>425</v>
      </c>
      <c r="M172" s="323">
        <v>120</v>
      </c>
      <c r="N172" s="25">
        <v>1</v>
      </c>
      <c r="O172" s="32">
        <v>10120</v>
      </c>
      <c r="P172" s="652" t="s">
        <v>877</v>
      </c>
      <c r="Q172" s="623"/>
      <c r="R172" s="624"/>
      <c r="U172" s="833"/>
      <c r="V172" s="645"/>
      <c r="W172" s="646"/>
      <c r="X172" s="646"/>
      <c r="Y172" s="646"/>
      <c r="Z172" s="646"/>
      <c r="AA172" s="646"/>
      <c r="AB172" s="646"/>
      <c r="AC172" s="646"/>
      <c r="AD172" s="555"/>
      <c r="AE172" s="555"/>
      <c r="AF172" s="556"/>
    </row>
    <row r="173" spans="1:32" ht="18" customHeight="1" thickBot="1">
      <c r="A173" s="59" t="s">
        <v>156</v>
      </c>
      <c r="B173" s="618" t="s">
        <v>211</v>
      </c>
      <c r="C173" s="619"/>
      <c r="D173" s="618" t="s">
        <v>72</v>
      </c>
      <c r="E173" s="619"/>
      <c r="F173" s="620" t="s">
        <v>897</v>
      </c>
      <c r="G173" s="621"/>
      <c r="H173" s="621"/>
      <c r="I173" s="622"/>
      <c r="J173" s="509" t="s">
        <v>1225</v>
      </c>
      <c r="K173" s="25"/>
      <c r="L173" s="97" t="s">
        <v>436</v>
      </c>
      <c r="M173" s="323">
        <v>120</v>
      </c>
      <c r="N173" s="25">
        <v>1</v>
      </c>
      <c r="O173" s="32">
        <v>10120</v>
      </c>
      <c r="P173" s="652" t="s">
        <v>466</v>
      </c>
      <c r="Q173" s="623"/>
      <c r="R173" s="624"/>
      <c r="U173" s="834"/>
      <c r="V173" s="647" t="s">
        <v>1374</v>
      </c>
      <c r="W173" s="617"/>
      <c r="X173" s="617" t="s">
        <v>1363</v>
      </c>
      <c r="Y173" s="617"/>
      <c r="Z173" s="617"/>
      <c r="AA173" s="617"/>
      <c r="AB173" s="617"/>
      <c r="AC173" s="617"/>
      <c r="AD173" s="557" t="s">
        <v>1364</v>
      </c>
      <c r="AE173" s="557" t="s">
        <v>1365</v>
      </c>
      <c r="AF173" s="558" t="s">
        <v>1366</v>
      </c>
    </row>
    <row r="174" spans="1:32" ht="18" customHeight="1">
      <c r="A174" s="57" t="s">
        <v>70</v>
      </c>
      <c r="B174" s="679" t="s">
        <v>868</v>
      </c>
      <c r="C174" s="680"/>
      <c r="D174" s="618" t="s">
        <v>240</v>
      </c>
      <c r="E174" s="619"/>
      <c r="F174" s="681" t="s">
        <v>1188</v>
      </c>
      <c r="G174" s="682"/>
      <c r="H174" s="682"/>
      <c r="I174" s="683"/>
      <c r="J174" s="510" t="s">
        <v>1483</v>
      </c>
      <c r="K174" s="96"/>
      <c r="L174" s="76" t="s">
        <v>425</v>
      </c>
      <c r="M174" s="320">
        <v>120</v>
      </c>
      <c r="N174" s="76"/>
      <c r="O174" s="463">
        <v>8120</v>
      </c>
      <c r="P174" s="674" t="s">
        <v>901</v>
      </c>
      <c r="Q174" s="675"/>
      <c r="R174" s="676"/>
    </row>
    <row r="175" spans="1:32" ht="30" customHeight="1">
      <c r="A175" s="59" t="s">
        <v>768</v>
      </c>
      <c r="B175" s="618" t="s">
        <v>178</v>
      </c>
      <c r="C175" s="619"/>
      <c r="D175" s="618" t="s">
        <v>72</v>
      </c>
      <c r="E175" s="619"/>
      <c r="F175" s="620" t="s">
        <v>962</v>
      </c>
      <c r="G175" s="621"/>
      <c r="H175" s="621"/>
      <c r="I175" s="622"/>
      <c r="J175" s="513" t="s">
        <v>1485</v>
      </c>
      <c r="K175" s="421" t="s">
        <v>1091</v>
      </c>
      <c r="L175" s="97" t="s">
        <v>436</v>
      </c>
      <c r="M175" s="323">
        <v>120</v>
      </c>
      <c r="N175" s="25">
        <v>1</v>
      </c>
      <c r="O175" s="32">
        <v>5120</v>
      </c>
      <c r="P175" s="652" t="s">
        <v>878</v>
      </c>
      <c r="Q175" s="623"/>
      <c r="R175" s="624"/>
    </row>
    <row r="176" spans="1:32" ht="30" customHeight="1">
      <c r="A176" s="59" t="s">
        <v>352</v>
      </c>
      <c r="B176" s="618" t="s">
        <v>147</v>
      </c>
      <c r="C176" s="619"/>
      <c r="D176" s="618" t="s">
        <v>11</v>
      </c>
      <c r="E176" s="619"/>
      <c r="F176" s="620" t="s">
        <v>894</v>
      </c>
      <c r="G176" s="621"/>
      <c r="H176" s="621"/>
      <c r="I176" s="622"/>
      <c r="J176" s="514" t="s">
        <v>1486</v>
      </c>
      <c r="K176" s="277"/>
      <c r="L176" s="97" t="s">
        <v>425</v>
      </c>
      <c r="M176" s="323">
        <v>120</v>
      </c>
      <c r="N176" s="25">
        <v>1</v>
      </c>
      <c r="O176" s="32">
        <v>1800</v>
      </c>
      <c r="P176" s="652" t="s">
        <v>898</v>
      </c>
      <c r="Q176" s="623"/>
      <c r="R176" s="624"/>
    </row>
    <row r="177" spans="1:18">
      <c r="A177" s="614" t="s">
        <v>75</v>
      </c>
      <c r="B177" s="618" t="s">
        <v>81</v>
      </c>
      <c r="C177" s="619"/>
      <c r="D177" s="618" t="s">
        <v>11</v>
      </c>
      <c r="E177" s="619"/>
      <c r="F177" s="620" t="s">
        <v>1184</v>
      </c>
      <c r="G177" s="621"/>
      <c r="H177" s="621"/>
      <c r="I177" s="622"/>
      <c r="J177" s="743" t="s">
        <v>1439</v>
      </c>
      <c r="K177" s="745"/>
      <c r="L177" s="254"/>
      <c r="M177" s="323">
        <v>120</v>
      </c>
      <c r="N177" s="25">
        <v>1</v>
      </c>
      <c r="O177" s="32">
        <v>5120</v>
      </c>
      <c r="P177" s="657" t="s">
        <v>896</v>
      </c>
      <c r="Q177" s="657"/>
      <c r="R177" s="658"/>
    </row>
    <row r="178" spans="1:18">
      <c r="A178" s="616"/>
      <c r="B178" s="618" t="s">
        <v>83</v>
      </c>
      <c r="C178" s="619"/>
      <c r="D178" s="618" t="s">
        <v>11</v>
      </c>
      <c r="E178" s="619"/>
      <c r="F178" s="620" t="s">
        <v>1409</v>
      </c>
      <c r="G178" s="621"/>
      <c r="H178" s="621"/>
      <c r="I178" s="622"/>
      <c r="J178" s="744"/>
      <c r="K178" s="746"/>
      <c r="L178" s="254"/>
      <c r="M178" s="323"/>
      <c r="N178" s="25"/>
      <c r="O178" s="32"/>
      <c r="P178" s="635"/>
      <c r="Q178" s="635"/>
      <c r="R178" s="636"/>
    </row>
    <row r="179" spans="1:18">
      <c r="A179" s="614" t="s">
        <v>78</v>
      </c>
      <c r="B179" s="700" t="s">
        <v>10</v>
      </c>
      <c r="C179" s="701"/>
      <c r="D179" s="700" t="s">
        <v>43</v>
      </c>
      <c r="E179" s="701"/>
      <c r="F179" s="662" t="s">
        <v>890</v>
      </c>
      <c r="G179" s="663"/>
      <c r="H179" s="663"/>
      <c r="I179" s="750"/>
      <c r="J179" s="668" t="s">
        <v>1224</v>
      </c>
      <c r="K179" s="747" t="s">
        <v>1491</v>
      </c>
      <c r="L179" s="108"/>
      <c r="M179" s="324">
        <v>120</v>
      </c>
      <c r="N179" s="8">
        <v>1</v>
      </c>
      <c r="O179" s="51">
        <v>3120</v>
      </c>
      <c r="P179" s="656" t="s">
        <v>453</v>
      </c>
      <c r="Q179" s="657"/>
      <c r="R179" s="658"/>
    </row>
    <row r="180" spans="1:18">
      <c r="A180" s="615"/>
      <c r="B180" s="700" t="s">
        <v>81</v>
      </c>
      <c r="C180" s="701"/>
      <c r="D180" s="700" t="s">
        <v>11</v>
      </c>
      <c r="E180" s="701"/>
      <c r="F180" s="662" t="s">
        <v>891</v>
      </c>
      <c r="G180" s="663"/>
      <c r="H180" s="663"/>
      <c r="I180" s="750"/>
      <c r="J180" s="669"/>
      <c r="K180" s="748"/>
      <c r="L180" s="108"/>
      <c r="M180" s="324"/>
      <c r="N180" s="8"/>
      <c r="O180" s="51"/>
      <c r="P180" s="631"/>
      <c r="Q180" s="632"/>
      <c r="R180" s="633"/>
    </row>
    <row r="181" spans="1:18">
      <c r="A181" s="616"/>
      <c r="B181" s="700" t="s">
        <v>83</v>
      </c>
      <c r="C181" s="701"/>
      <c r="D181" s="700" t="s">
        <v>11</v>
      </c>
      <c r="E181" s="701"/>
      <c r="F181" s="769" t="s">
        <v>892</v>
      </c>
      <c r="G181" s="770"/>
      <c r="H181" s="770"/>
      <c r="I181" s="771"/>
      <c r="J181" s="670"/>
      <c r="K181" s="749"/>
      <c r="L181" s="108"/>
      <c r="M181" s="324"/>
      <c r="N181" s="8"/>
      <c r="O181" s="51"/>
      <c r="P181" s="634"/>
      <c r="Q181" s="635"/>
      <c r="R181" s="636"/>
    </row>
    <row r="182" spans="1:18" ht="19.2" customHeight="1">
      <c r="A182" s="278" t="s">
        <v>1367</v>
      </c>
      <c r="B182" s="276"/>
      <c r="C182" s="276"/>
      <c r="D182" s="205"/>
      <c r="E182" s="205"/>
      <c r="F182" s="206"/>
      <c r="G182" s="206"/>
      <c r="H182" s="206"/>
      <c r="I182" s="206"/>
      <c r="J182" s="207"/>
      <c r="K182" s="207"/>
      <c r="L182" s="207"/>
      <c r="M182" s="329"/>
      <c r="N182" s="207"/>
      <c r="O182" s="466"/>
      <c r="P182" s="214"/>
      <c r="Q182" s="214"/>
      <c r="R182" s="214"/>
    </row>
    <row r="183" spans="1:18" ht="19.2" customHeight="1">
      <c r="A183" s="279"/>
      <c r="B183" s="116"/>
      <c r="C183" s="116"/>
      <c r="D183" s="205"/>
      <c r="E183" s="205"/>
      <c r="F183" s="206"/>
      <c r="G183" s="206"/>
      <c r="H183" s="206"/>
      <c r="I183" s="206"/>
      <c r="J183" s="207"/>
      <c r="K183" s="207"/>
      <c r="L183" s="207"/>
      <c r="M183" s="329"/>
      <c r="N183" s="207"/>
      <c r="O183" s="466"/>
      <c r="P183" s="214"/>
      <c r="Q183" s="214"/>
      <c r="R183" s="214"/>
    </row>
    <row r="184" spans="1:18" ht="19.2" customHeight="1">
      <c r="A184" s="279"/>
      <c r="B184" s="116"/>
      <c r="C184" s="116"/>
      <c r="D184" s="205"/>
      <c r="E184" s="205"/>
      <c r="F184" s="206"/>
      <c r="G184" s="206"/>
      <c r="H184" s="206"/>
      <c r="I184" s="206"/>
      <c r="J184" s="207"/>
      <c r="K184" s="207"/>
      <c r="L184" s="207"/>
      <c r="M184" s="329"/>
      <c r="N184" s="207"/>
      <c r="O184" s="466"/>
      <c r="P184" s="214"/>
      <c r="Q184" s="214"/>
      <c r="R184" s="214"/>
    </row>
    <row r="185" spans="1:18" ht="19.2" customHeight="1">
      <c r="A185" s="279"/>
      <c r="B185" s="116"/>
      <c r="C185" s="116"/>
      <c r="D185" s="205"/>
      <c r="E185" s="205"/>
      <c r="F185" s="206"/>
      <c r="G185" s="206"/>
      <c r="H185" s="206"/>
      <c r="I185" s="206"/>
      <c r="J185" s="207"/>
      <c r="K185" s="207"/>
      <c r="L185" s="207"/>
      <c r="M185" s="329"/>
      <c r="N185" s="207"/>
      <c r="O185" s="466"/>
      <c r="P185" s="214"/>
      <c r="Q185" s="214"/>
      <c r="R185" s="214"/>
    </row>
  </sheetData>
  <mergeCells count="746">
    <mergeCell ref="V12:W12"/>
    <mergeCell ref="X12:AA12"/>
    <mergeCell ref="V13:W13"/>
    <mergeCell ref="X13:AA13"/>
    <mergeCell ref="U170:U173"/>
    <mergeCell ref="V170:W170"/>
    <mergeCell ref="X170:AC170"/>
    <mergeCell ref="V171:W171"/>
    <mergeCell ref="X171:AC171"/>
    <mergeCell ref="V172:W172"/>
    <mergeCell ref="X172:AC172"/>
    <mergeCell ref="V173:W173"/>
    <mergeCell ref="X173:AC173"/>
    <mergeCell ref="U163:U166"/>
    <mergeCell ref="V163:W163"/>
    <mergeCell ref="X163:AC163"/>
    <mergeCell ref="V164:W164"/>
    <mergeCell ref="X164:AC164"/>
    <mergeCell ref="V165:W165"/>
    <mergeCell ref="X165:AC165"/>
    <mergeCell ref="V166:W166"/>
    <mergeCell ref="X166:AC166"/>
    <mergeCell ref="U156:U159"/>
    <mergeCell ref="V156:W156"/>
    <mergeCell ref="X156:AC156"/>
    <mergeCell ref="V157:W157"/>
    <mergeCell ref="X157:AC157"/>
    <mergeCell ref="V158:W158"/>
    <mergeCell ref="X158:AC158"/>
    <mergeCell ref="V159:W159"/>
    <mergeCell ref="X159:AC159"/>
    <mergeCell ref="U149:U152"/>
    <mergeCell ref="V149:W149"/>
    <mergeCell ref="X149:AC149"/>
    <mergeCell ref="V150:W150"/>
    <mergeCell ref="X150:AC150"/>
    <mergeCell ref="V151:W151"/>
    <mergeCell ref="X151:AC151"/>
    <mergeCell ref="V152:W152"/>
    <mergeCell ref="X152:AC152"/>
    <mergeCell ref="Q77:R77"/>
    <mergeCell ref="B143:C143"/>
    <mergeCell ref="D143:E143"/>
    <mergeCell ref="F143:I143"/>
    <mergeCell ref="B144:C144"/>
    <mergeCell ref="D144:E144"/>
    <mergeCell ref="F144:I144"/>
    <mergeCell ref="B138:C138"/>
    <mergeCell ref="D138:E138"/>
    <mergeCell ref="F138:I138"/>
    <mergeCell ref="P138:R138"/>
    <mergeCell ref="B139:C139"/>
    <mergeCell ref="D139:E139"/>
    <mergeCell ref="F139:I139"/>
    <mergeCell ref="P139:R139"/>
    <mergeCell ref="B140:C140"/>
    <mergeCell ref="D140:E140"/>
    <mergeCell ref="F140:I140"/>
    <mergeCell ref="P135:R135"/>
    <mergeCell ref="B136:C136"/>
    <mergeCell ref="D136:E136"/>
    <mergeCell ref="F136:I136"/>
    <mergeCell ref="P136:R136"/>
    <mergeCell ref="B137:C137"/>
    <mergeCell ref="D137:E137"/>
    <mergeCell ref="F137:I137"/>
    <mergeCell ref="P137:R137"/>
    <mergeCell ref="B141:C141"/>
    <mergeCell ref="D141:E141"/>
    <mergeCell ref="F141:I141"/>
    <mergeCell ref="B142:C142"/>
    <mergeCell ref="D142:E142"/>
    <mergeCell ref="F142:I142"/>
    <mergeCell ref="B135:C135"/>
    <mergeCell ref="D135:E135"/>
    <mergeCell ref="F135:I135"/>
    <mergeCell ref="A132:A134"/>
    <mergeCell ref="B132:C132"/>
    <mergeCell ref="D132:E132"/>
    <mergeCell ref="F132:I132"/>
    <mergeCell ref="J132:J134"/>
    <mergeCell ref="K132:K134"/>
    <mergeCell ref="P132:R134"/>
    <mergeCell ref="B133:C133"/>
    <mergeCell ref="D133:E133"/>
    <mergeCell ref="F133:I133"/>
    <mergeCell ref="B134:C134"/>
    <mergeCell ref="D134:E134"/>
    <mergeCell ref="F134:I134"/>
    <mergeCell ref="A130:A131"/>
    <mergeCell ref="B130:C130"/>
    <mergeCell ref="D130:E130"/>
    <mergeCell ref="F130:I130"/>
    <mergeCell ref="J130:J131"/>
    <mergeCell ref="K130:K131"/>
    <mergeCell ref="P130:R131"/>
    <mergeCell ref="B131:C131"/>
    <mergeCell ref="D131:E131"/>
    <mergeCell ref="F131:I131"/>
    <mergeCell ref="A128:A129"/>
    <mergeCell ref="B128:C128"/>
    <mergeCell ref="D128:E128"/>
    <mergeCell ref="F128:I128"/>
    <mergeCell ref="J128:J129"/>
    <mergeCell ref="K128:K129"/>
    <mergeCell ref="P128:R129"/>
    <mergeCell ref="B129:C129"/>
    <mergeCell ref="D129:E129"/>
    <mergeCell ref="F129:I129"/>
    <mergeCell ref="B125:C125"/>
    <mergeCell ref="D125:E125"/>
    <mergeCell ref="F125:I125"/>
    <mergeCell ref="P125:R125"/>
    <mergeCell ref="B126:C126"/>
    <mergeCell ref="D126:E126"/>
    <mergeCell ref="F126:I126"/>
    <mergeCell ref="P126:R126"/>
    <mergeCell ref="B127:C127"/>
    <mergeCell ref="D127:E127"/>
    <mergeCell ref="F127:I127"/>
    <mergeCell ref="P127:R127"/>
    <mergeCell ref="A123:A124"/>
    <mergeCell ref="B123:C123"/>
    <mergeCell ref="D123:E123"/>
    <mergeCell ref="F123:I123"/>
    <mergeCell ref="J123:J124"/>
    <mergeCell ref="K123:K124"/>
    <mergeCell ref="P123:R124"/>
    <mergeCell ref="B124:C124"/>
    <mergeCell ref="D124:E124"/>
    <mergeCell ref="F124:I124"/>
    <mergeCell ref="A121:A122"/>
    <mergeCell ref="B121:C121"/>
    <mergeCell ref="D121:E121"/>
    <mergeCell ref="F121:I121"/>
    <mergeCell ref="J121:J122"/>
    <mergeCell ref="K121:K122"/>
    <mergeCell ref="P121:R122"/>
    <mergeCell ref="B122:C122"/>
    <mergeCell ref="D122:E122"/>
    <mergeCell ref="F122:I122"/>
    <mergeCell ref="A119:A120"/>
    <mergeCell ref="B119:C119"/>
    <mergeCell ref="D119:E119"/>
    <mergeCell ref="F119:I119"/>
    <mergeCell ref="J119:J120"/>
    <mergeCell ref="K119:K120"/>
    <mergeCell ref="P119:R120"/>
    <mergeCell ref="B120:C120"/>
    <mergeCell ref="D120:E120"/>
    <mergeCell ref="F120:I120"/>
    <mergeCell ref="N115:N116"/>
    <mergeCell ref="O115:O116"/>
    <mergeCell ref="P115:R116"/>
    <mergeCell ref="B117:C117"/>
    <mergeCell ref="D117:E117"/>
    <mergeCell ref="F117:I117"/>
    <mergeCell ref="P117:R117"/>
    <mergeCell ref="B118:C118"/>
    <mergeCell ref="D118:E118"/>
    <mergeCell ref="F118:I118"/>
    <mergeCell ref="P118:R118"/>
    <mergeCell ref="F67:I67"/>
    <mergeCell ref="B68:C68"/>
    <mergeCell ref="D68:E68"/>
    <mergeCell ref="F68:I68"/>
    <mergeCell ref="A66:A68"/>
    <mergeCell ref="B66:C66"/>
    <mergeCell ref="D66:E66"/>
    <mergeCell ref="F66:I66"/>
    <mergeCell ref="J66:J68"/>
    <mergeCell ref="A69:A70"/>
    <mergeCell ref="B69:C69"/>
    <mergeCell ref="D69:E69"/>
    <mergeCell ref="F69:I69"/>
    <mergeCell ref="J69:J70"/>
    <mergeCell ref="K69:K70"/>
    <mergeCell ref="P69:R70"/>
    <mergeCell ref="B70:C70"/>
    <mergeCell ref="D70:E70"/>
    <mergeCell ref="F70:I70"/>
    <mergeCell ref="K66:K68"/>
    <mergeCell ref="P66:R68"/>
    <mergeCell ref="B61:C61"/>
    <mergeCell ref="D61:E61"/>
    <mergeCell ref="F61:I61"/>
    <mergeCell ref="P61:R61"/>
    <mergeCell ref="B62:C62"/>
    <mergeCell ref="D62:E62"/>
    <mergeCell ref="F62:I62"/>
    <mergeCell ref="P62:R62"/>
    <mergeCell ref="B63:C63"/>
    <mergeCell ref="D63:E63"/>
    <mergeCell ref="F63:I63"/>
    <mergeCell ref="P63:R63"/>
    <mergeCell ref="B64:C64"/>
    <mergeCell ref="D64:E64"/>
    <mergeCell ref="F64:I64"/>
    <mergeCell ref="P64:R64"/>
    <mergeCell ref="B65:C65"/>
    <mergeCell ref="D65:E65"/>
    <mergeCell ref="F65:I65"/>
    <mergeCell ref="P65:R65"/>
    <mergeCell ref="B67:C67"/>
    <mergeCell ref="D67:E67"/>
    <mergeCell ref="A58:A60"/>
    <mergeCell ref="B58:C58"/>
    <mergeCell ref="D58:E58"/>
    <mergeCell ref="F58:I58"/>
    <mergeCell ref="J58:J60"/>
    <mergeCell ref="K58:K60"/>
    <mergeCell ref="P58:R60"/>
    <mergeCell ref="B59:C59"/>
    <mergeCell ref="D59:E59"/>
    <mergeCell ref="F59:I59"/>
    <mergeCell ref="B60:C60"/>
    <mergeCell ref="D60:E60"/>
    <mergeCell ref="F60:I60"/>
    <mergeCell ref="A56:A57"/>
    <mergeCell ref="B56:C56"/>
    <mergeCell ref="D56:E56"/>
    <mergeCell ref="F56:I56"/>
    <mergeCell ref="J56:J57"/>
    <mergeCell ref="K56:K57"/>
    <mergeCell ref="P56:R57"/>
    <mergeCell ref="B57:C57"/>
    <mergeCell ref="D57:E57"/>
    <mergeCell ref="F57:I57"/>
    <mergeCell ref="A54:A55"/>
    <mergeCell ref="B54:C54"/>
    <mergeCell ref="D54:E54"/>
    <mergeCell ref="F54:I54"/>
    <mergeCell ref="J54:J55"/>
    <mergeCell ref="K54:K55"/>
    <mergeCell ref="P54:R55"/>
    <mergeCell ref="B55:C55"/>
    <mergeCell ref="D55:E55"/>
    <mergeCell ref="F55:I55"/>
    <mergeCell ref="B51:C51"/>
    <mergeCell ref="D51:E51"/>
    <mergeCell ref="F51:I51"/>
    <mergeCell ref="P51:R51"/>
    <mergeCell ref="B52:C52"/>
    <mergeCell ref="D52:E52"/>
    <mergeCell ref="F52:I52"/>
    <mergeCell ref="P52:R52"/>
    <mergeCell ref="B53:C53"/>
    <mergeCell ref="D53:E53"/>
    <mergeCell ref="F53:I53"/>
    <mergeCell ref="P53:R53"/>
    <mergeCell ref="A49:A50"/>
    <mergeCell ref="B49:C49"/>
    <mergeCell ref="D49:E49"/>
    <mergeCell ref="F49:I49"/>
    <mergeCell ref="J49:J50"/>
    <mergeCell ref="K49:K50"/>
    <mergeCell ref="P49:R50"/>
    <mergeCell ref="B50:C50"/>
    <mergeCell ref="D50:E50"/>
    <mergeCell ref="F50:I50"/>
    <mergeCell ref="A47:A48"/>
    <mergeCell ref="B47:C47"/>
    <mergeCell ref="D47:E47"/>
    <mergeCell ref="F47:I47"/>
    <mergeCell ref="J47:J48"/>
    <mergeCell ref="K47:K48"/>
    <mergeCell ref="P47:R48"/>
    <mergeCell ref="B48:C48"/>
    <mergeCell ref="D48:E48"/>
    <mergeCell ref="F48:I48"/>
    <mergeCell ref="B44:C44"/>
    <mergeCell ref="D44:E44"/>
    <mergeCell ref="F44:I44"/>
    <mergeCell ref="P44:R44"/>
    <mergeCell ref="A45:A46"/>
    <mergeCell ref="B45:C45"/>
    <mergeCell ref="D45:E45"/>
    <mergeCell ref="F45:I45"/>
    <mergeCell ref="J45:J46"/>
    <mergeCell ref="K45:K46"/>
    <mergeCell ref="P45:R46"/>
    <mergeCell ref="B46:C46"/>
    <mergeCell ref="D46:E46"/>
    <mergeCell ref="F46:I46"/>
    <mergeCell ref="A41:A42"/>
    <mergeCell ref="B41:C42"/>
    <mergeCell ref="D41:E42"/>
    <mergeCell ref="F41:I42"/>
    <mergeCell ref="J41:J42"/>
    <mergeCell ref="K41:K42"/>
    <mergeCell ref="M41:M42"/>
    <mergeCell ref="N41:N42"/>
    <mergeCell ref="O41:O42"/>
    <mergeCell ref="P41:R42"/>
    <mergeCell ref="P30:R30"/>
    <mergeCell ref="D30:E30"/>
    <mergeCell ref="K21:K23"/>
    <mergeCell ref="F23:I23"/>
    <mergeCell ref="B43:C43"/>
    <mergeCell ref="D43:E43"/>
    <mergeCell ref="F43:I43"/>
    <mergeCell ref="P43:R43"/>
    <mergeCell ref="F30:I30"/>
    <mergeCell ref="B31:C31"/>
    <mergeCell ref="D31:E31"/>
    <mergeCell ref="F31:I31"/>
    <mergeCell ref="B30:C30"/>
    <mergeCell ref="B25:C25"/>
    <mergeCell ref="D25:E25"/>
    <mergeCell ref="F25:I25"/>
    <mergeCell ref="P25:R25"/>
    <mergeCell ref="P21:R23"/>
    <mergeCell ref="B22:C22"/>
    <mergeCell ref="D22:E22"/>
    <mergeCell ref="F22:I22"/>
    <mergeCell ref="B23:C23"/>
    <mergeCell ref="D23:E23"/>
    <mergeCell ref="B24:C24"/>
    <mergeCell ref="D24:E24"/>
    <mergeCell ref="F24:I24"/>
    <mergeCell ref="P24:R24"/>
    <mergeCell ref="A10:A11"/>
    <mergeCell ref="B10:C10"/>
    <mergeCell ref="B11:C11"/>
    <mergeCell ref="K10:K11"/>
    <mergeCell ref="A12:A13"/>
    <mergeCell ref="B12:C12"/>
    <mergeCell ref="D12:E12"/>
    <mergeCell ref="F12:I12"/>
    <mergeCell ref="A19:A20"/>
    <mergeCell ref="A17:A18"/>
    <mergeCell ref="J12:J13"/>
    <mergeCell ref="B20:C20"/>
    <mergeCell ref="D20:E20"/>
    <mergeCell ref="F20:I20"/>
    <mergeCell ref="B18:C18"/>
    <mergeCell ref="D18:E18"/>
    <mergeCell ref="F18:I18"/>
    <mergeCell ref="B15:C15"/>
    <mergeCell ref="D15:E15"/>
    <mergeCell ref="F15:I15"/>
    <mergeCell ref="A4:A5"/>
    <mergeCell ref="B4:C5"/>
    <mergeCell ref="D4:E5"/>
    <mergeCell ref="F4:I5"/>
    <mergeCell ref="J4:J5"/>
    <mergeCell ref="K4:K5"/>
    <mergeCell ref="B7:C7"/>
    <mergeCell ref="D7:E7"/>
    <mergeCell ref="A21:A23"/>
    <mergeCell ref="B21:C21"/>
    <mergeCell ref="D21:E21"/>
    <mergeCell ref="F21:I21"/>
    <mergeCell ref="J21:J23"/>
    <mergeCell ref="A8:A9"/>
    <mergeCell ref="B8:C8"/>
    <mergeCell ref="D8:E8"/>
    <mergeCell ref="F8:I8"/>
    <mergeCell ref="J8:J9"/>
    <mergeCell ref="K8:K9"/>
    <mergeCell ref="B9:C9"/>
    <mergeCell ref="D9:E9"/>
    <mergeCell ref="F9:I9"/>
    <mergeCell ref="B6:C6"/>
    <mergeCell ref="D6:E6"/>
    <mergeCell ref="J10:J11"/>
    <mergeCell ref="P6:R6"/>
    <mergeCell ref="M4:M5"/>
    <mergeCell ref="N4:N5"/>
    <mergeCell ref="O4:O5"/>
    <mergeCell ref="P4:R5"/>
    <mergeCell ref="P7:R7"/>
    <mergeCell ref="P8:R9"/>
    <mergeCell ref="P10:R11"/>
    <mergeCell ref="F7:I7"/>
    <mergeCell ref="D11:E11"/>
    <mergeCell ref="D10:E10"/>
    <mergeCell ref="B14:C14"/>
    <mergeCell ref="D14:E14"/>
    <mergeCell ref="F14:I14"/>
    <mergeCell ref="F19:I19"/>
    <mergeCell ref="F6:I6"/>
    <mergeCell ref="F10:I10"/>
    <mergeCell ref="F11:I11"/>
    <mergeCell ref="P19:R20"/>
    <mergeCell ref="K12:K13"/>
    <mergeCell ref="P12:R13"/>
    <mergeCell ref="B13:C13"/>
    <mergeCell ref="D13:E13"/>
    <mergeCell ref="F13:I13"/>
    <mergeCell ref="P17:R18"/>
    <mergeCell ref="B17:C17"/>
    <mergeCell ref="D17:E17"/>
    <mergeCell ref="F17:I17"/>
    <mergeCell ref="J17:J18"/>
    <mergeCell ref="P15:R15"/>
    <mergeCell ref="F16:I16"/>
    <mergeCell ref="P16:R16"/>
    <mergeCell ref="K17:K18"/>
    <mergeCell ref="J19:J20"/>
    <mergeCell ref="K19:K20"/>
    <mergeCell ref="P14:R14"/>
    <mergeCell ref="B19:C19"/>
    <mergeCell ref="D19:E19"/>
    <mergeCell ref="B16:C16"/>
    <mergeCell ref="D16:E16"/>
    <mergeCell ref="B80:C80"/>
    <mergeCell ref="D80:E80"/>
    <mergeCell ref="F80:I80"/>
    <mergeCell ref="P80:R80"/>
    <mergeCell ref="B81:C81"/>
    <mergeCell ref="D81:E81"/>
    <mergeCell ref="F81:I81"/>
    <mergeCell ref="P81:R81"/>
    <mergeCell ref="A78:A79"/>
    <mergeCell ref="B78:C79"/>
    <mergeCell ref="D78:E79"/>
    <mergeCell ref="F78:I79"/>
    <mergeCell ref="J78:J79"/>
    <mergeCell ref="K78:K79"/>
    <mergeCell ref="M78:M79"/>
    <mergeCell ref="N78:N79"/>
    <mergeCell ref="O78:O79"/>
    <mergeCell ref="A82:A83"/>
    <mergeCell ref="B82:C82"/>
    <mergeCell ref="D82:E82"/>
    <mergeCell ref="F82:I82"/>
    <mergeCell ref="J82:J83"/>
    <mergeCell ref="K82:K83"/>
    <mergeCell ref="P82:R83"/>
    <mergeCell ref="B83:C83"/>
    <mergeCell ref="D83:E83"/>
    <mergeCell ref="F83:I83"/>
    <mergeCell ref="A84:A85"/>
    <mergeCell ref="B84:C84"/>
    <mergeCell ref="D84:E84"/>
    <mergeCell ref="F84:I84"/>
    <mergeCell ref="J84:J85"/>
    <mergeCell ref="K84:K85"/>
    <mergeCell ref="P84:R85"/>
    <mergeCell ref="B85:C85"/>
    <mergeCell ref="D85:E85"/>
    <mergeCell ref="F85:I85"/>
    <mergeCell ref="A86:A87"/>
    <mergeCell ref="B86:C86"/>
    <mergeCell ref="D86:E86"/>
    <mergeCell ref="F86:I86"/>
    <mergeCell ref="J86:J87"/>
    <mergeCell ref="K86:K87"/>
    <mergeCell ref="P86:R87"/>
    <mergeCell ref="B87:C87"/>
    <mergeCell ref="D87:E87"/>
    <mergeCell ref="F87:I87"/>
    <mergeCell ref="A91:A92"/>
    <mergeCell ref="B91:C91"/>
    <mergeCell ref="D91:E91"/>
    <mergeCell ref="F91:I91"/>
    <mergeCell ref="J91:J92"/>
    <mergeCell ref="K91:K92"/>
    <mergeCell ref="P91:R92"/>
    <mergeCell ref="B92:C92"/>
    <mergeCell ref="D92:E92"/>
    <mergeCell ref="F92:I92"/>
    <mergeCell ref="A93:A94"/>
    <mergeCell ref="B93:C93"/>
    <mergeCell ref="D93:E93"/>
    <mergeCell ref="F93:I93"/>
    <mergeCell ref="J93:J94"/>
    <mergeCell ref="K93:K94"/>
    <mergeCell ref="P93:R94"/>
    <mergeCell ref="B94:C94"/>
    <mergeCell ref="D94:E94"/>
    <mergeCell ref="F94:I94"/>
    <mergeCell ref="F101:I101"/>
    <mergeCell ref="P99:R99"/>
    <mergeCell ref="B100:C100"/>
    <mergeCell ref="D100:E100"/>
    <mergeCell ref="F100:I100"/>
    <mergeCell ref="P100:R100"/>
    <mergeCell ref="A96:A98"/>
    <mergeCell ref="B96:C96"/>
    <mergeCell ref="D96:E96"/>
    <mergeCell ref="F96:I96"/>
    <mergeCell ref="J96:J98"/>
    <mergeCell ref="K96:K98"/>
    <mergeCell ref="P96:R98"/>
    <mergeCell ref="B97:C97"/>
    <mergeCell ref="D97:E97"/>
    <mergeCell ref="F97:I97"/>
    <mergeCell ref="B98:C98"/>
    <mergeCell ref="D98:E98"/>
    <mergeCell ref="F98:I98"/>
    <mergeCell ref="A103:A104"/>
    <mergeCell ref="P26:R28"/>
    <mergeCell ref="B27:C27"/>
    <mergeCell ref="D27:E27"/>
    <mergeCell ref="F27:I27"/>
    <mergeCell ref="B28:C28"/>
    <mergeCell ref="D28:E28"/>
    <mergeCell ref="F28:I28"/>
    <mergeCell ref="B95:C95"/>
    <mergeCell ref="D95:E95"/>
    <mergeCell ref="F95:I95"/>
    <mergeCell ref="P95:R95"/>
    <mergeCell ref="B88:C88"/>
    <mergeCell ref="D88:E88"/>
    <mergeCell ref="F88:I88"/>
    <mergeCell ref="P88:R88"/>
    <mergeCell ref="B89:C89"/>
    <mergeCell ref="D89:E89"/>
    <mergeCell ref="F89:I89"/>
    <mergeCell ref="B103:C103"/>
    <mergeCell ref="D103:E103"/>
    <mergeCell ref="B99:C99"/>
    <mergeCell ref="D99:E99"/>
    <mergeCell ref="F99:I99"/>
    <mergeCell ref="P89:R89"/>
    <mergeCell ref="B90:C90"/>
    <mergeCell ref="D90:E90"/>
    <mergeCell ref="F90:I90"/>
    <mergeCell ref="P90:R90"/>
    <mergeCell ref="P78:R79"/>
    <mergeCell ref="Q3:R3"/>
    <mergeCell ref="Q40:R40"/>
    <mergeCell ref="Q114:R114"/>
    <mergeCell ref="B29:C29"/>
    <mergeCell ref="D29:E29"/>
    <mergeCell ref="F29:I29"/>
    <mergeCell ref="P29:R29"/>
    <mergeCell ref="P101:R101"/>
    <mergeCell ref="B102:C102"/>
    <mergeCell ref="D102:E102"/>
    <mergeCell ref="F102:I102"/>
    <mergeCell ref="P102:R102"/>
    <mergeCell ref="F106:I106"/>
    <mergeCell ref="B107:C107"/>
    <mergeCell ref="D107:E107"/>
    <mergeCell ref="F107:I107"/>
    <mergeCell ref="B101:C101"/>
    <mergeCell ref="D101:E101"/>
    <mergeCell ref="A31:A32"/>
    <mergeCell ref="J31:J32"/>
    <mergeCell ref="K31:K32"/>
    <mergeCell ref="P31:R32"/>
    <mergeCell ref="B32:C32"/>
    <mergeCell ref="D32:E32"/>
    <mergeCell ref="F32:I32"/>
    <mergeCell ref="B33:C33"/>
    <mergeCell ref="D33:E33"/>
    <mergeCell ref="F33:I33"/>
    <mergeCell ref="P33:R33"/>
    <mergeCell ref="A26:A28"/>
    <mergeCell ref="B26:C26"/>
    <mergeCell ref="D26:E26"/>
    <mergeCell ref="F26:I26"/>
    <mergeCell ref="J26:J28"/>
    <mergeCell ref="K26:K28"/>
    <mergeCell ref="Q151:R151"/>
    <mergeCell ref="A152:A153"/>
    <mergeCell ref="B152:C153"/>
    <mergeCell ref="D152:E153"/>
    <mergeCell ref="F152:I153"/>
    <mergeCell ref="J152:J153"/>
    <mergeCell ref="K152:K153"/>
    <mergeCell ref="M152:M153"/>
    <mergeCell ref="N152:N153"/>
    <mergeCell ref="O152:O153"/>
    <mergeCell ref="P152:R153"/>
    <mergeCell ref="F103:I103"/>
    <mergeCell ref="J103:J104"/>
    <mergeCell ref="K103:K104"/>
    <mergeCell ref="P103:R104"/>
    <mergeCell ref="B104:C104"/>
    <mergeCell ref="D104:E104"/>
    <mergeCell ref="F104:I104"/>
    <mergeCell ref="B154:C154"/>
    <mergeCell ref="D154:E154"/>
    <mergeCell ref="F154:I154"/>
    <mergeCell ref="P154:R154"/>
    <mergeCell ref="B155:C155"/>
    <mergeCell ref="D155:E155"/>
    <mergeCell ref="F155:I155"/>
    <mergeCell ref="P155:R155"/>
    <mergeCell ref="A156:A157"/>
    <mergeCell ref="B156:C156"/>
    <mergeCell ref="D156:E156"/>
    <mergeCell ref="F156:I156"/>
    <mergeCell ref="J156:J157"/>
    <mergeCell ref="K156:K157"/>
    <mergeCell ref="P156:R157"/>
    <mergeCell ref="B157:C157"/>
    <mergeCell ref="D157:E157"/>
    <mergeCell ref="F157:I157"/>
    <mergeCell ref="A158:A159"/>
    <mergeCell ref="B158:C158"/>
    <mergeCell ref="D158:E158"/>
    <mergeCell ref="F158:I158"/>
    <mergeCell ref="J158:J159"/>
    <mergeCell ref="K158:K159"/>
    <mergeCell ref="P158:R159"/>
    <mergeCell ref="B159:C159"/>
    <mergeCell ref="D159:E159"/>
    <mergeCell ref="F159:I159"/>
    <mergeCell ref="A160:A161"/>
    <mergeCell ref="B160:C160"/>
    <mergeCell ref="D160:E160"/>
    <mergeCell ref="F160:I160"/>
    <mergeCell ref="J160:J161"/>
    <mergeCell ref="K160:K161"/>
    <mergeCell ref="P160:R161"/>
    <mergeCell ref="B161:C161"/>
    <mergeCell ref="D161:E161"/>
    <mergeCell ref="F161:I161"/>
    <mergeCell ref="B162:C162"/>
    <mergeCell ref="D162:E162"/>
    <mergeCell ref="F162:I162"/>
    <mergeCell ref="P162:R162"/>
    <mergeCell ref="B163:C163"/>
    <mergeCell ref="D163:E163"/>
    <mergeCell ref="F163:I163"/>
    <mergeCell ref="P163:R163"/>
    <mergeCell ref="B164:C164"/>
    <mergeCell ref="D164:E164"/>
    <mergeCell ref="F164:I164"/>
    <mergeCell ref="P164:R164"/>
    <mergeCell ref="A165:A166"/>
    <mergeCell ref="B165:C165"/>
    <mergeCell ref="D165:E165"/>
    <mergeCell ref="F165:I165"/>
    <mergeCell ref="J165:J166"/>
    <mergeCell ref="K165:K166"/>
    <mergeCell ref="P165:R166"/>
    <mergeCell ref="B166:C166"/>
    <mergeCell ref="D166:E166"/>
    <mergeCell ref="F166:I166"/>
    <mergeCell ref="A177:A178"/>
    <mergeCell ref="B177:C177"/>
    <mergeCell ref="D177:E177"/>
    <mergeCell ref="F177:I177"/>
    <mergeCell ref="P172:R172"/>
    <mergeCell ref="A167:A168"/>
    <mergeCell ref="B167:C167"/>
    <mergeCell ref="D167:E167"/>
    <mergeCell ref="F167:I167"/>
    <mergeCell ref="J167:J168"/>
    <mergeCell ref="K167:K168"/>
    <mergeCell ref="P167:R168"/>
    <mergeCell ref="B168:C168"/>
    <mergeCell ref="D168:E168"/>
    <mergeCell ref="F168:I168"/>
    <mergeCell ref="J169:J171"/>
    <mergeCell ref="K169:K171"/>
    <mergeCell ref="P169:R171"/>
    <mergeCell ref="B170:C170"/>
    <mergeCell ref="D170:E170"/>
    <mergeCell ref="F170:I170"/>
    <mergeCell ref="B171:C171"/>
    <mergeCell ref="D171:E171"/>
    <mergeCell ref="F171:I171"/>
    <mergeCell ref="A169:A171"/>
    <mergeCell ref="B169:C169"/>
    <mergeCell ref="D169:E169"/>
    <mergeCell ref="F169:I169"/>
    <mergeCell ref="B172:C172"/>
    <mergeCell ref="D172:E172"/>
    <mergeCell ref="F172:I172"/>
    <mergeCell ref="B173:C173"/>
    <mergeCell ref="D173:E173"/>
    <mergeCell ref="F173:I173"/>
    <mergeCell ref="A179:A181"/>
    <mergeCell ref="B179:C179"/>
    <mergeCell ref="D179:E179"/>
    <mergeCell ref="F179:I179"/>
    <mergeCell ref="J179:J181"/>
    <mergeCell ref="K179:K181"/>
    <mergeCell ref="P179:R181"/>
    <mergeCell ref="B180:C180"/>
    <mergeCell ref="D180:E180"/>
    <mergeCell ref="F180:I180"/>
    <mergeCell ref="B181:C181"/>
    <mergeCell ref="D181:E181"/>
    <mergeCell ref="F181:I181"/>
    <mergeCell ref="U144:V144"/>
    <mergeCell ref="W144:X144"/>
    <mergeCell ref="Y144:AB144"/>
    <mergeCell ref="AC144:AC145"/>
    <mergeCell ref="AD144:AD145"/>
    <mergeCell ref="AI144:AK145"/>
    <mergeCell ref="U145:V145"/>
    <mergeCell ref="W145:X145"/>
    <mergeCell ref="Y145:AB145"/>
    <mergeCell ref="U140:V140"/>
    <mergeCell ref="W140:X140"/>
    <mergeCell ref="Y140:AB140"/>
    <mergeCell ref="AC140:AC142"/>
    <mergeCell ref="AD140:AD142"/>
    <mergeCell ref="AI140:AK142"/>
    <mergeCell ref="U141:V141"/>
    <mergeCell ref="W141:X141"/>
    <mergeCell ref="Y141:AB141"/>
    <mergeCell ref="U142:V142"/>
    <mergeCell ref="W142:X142"/>
    <mergeCell ref="Y142:AB142"/>
    <mergeCell ref="J177:J178"/>
    <mergeCell ref="K177:K178"/>
    <mergeCell ref="P177:R178"/>
    <mergeCell ref="P173:R173"/>
    <mergeCell ref="B174:C174"/>
    <mergeCell ref="D174:E174"/>
    <mergeCell ref="F174:I174"/>
    <mergeCell ref="P174:R174"/>
    <mergeCell ref="F175:I175"/>
    <mergeCell ref="P175:R175"/>
    <mergeCell ref="B176:C176"/>
    <mergeCell ref="D176:E176"/>
    <mergeCell ref="F176:I176"/>
    <mergeCell ref="P176:R176"/>
    <mergeCell ref="B178:C178"/>
    <mergeCell ref="D178:E178"/>
    <mergeCell ref="F178:I178"/>
    <mergeCell ref="B175:C175"/>
    <mergeCell ref="D175:E175"/>
    <mergeCell ref="A140:A141"/>
    <mergeCell ref="A142:A144"/>
    <mergeCell ref="J140:J141"/>
    <mergeCell ref="K140:K141"/>
    <mergeCell ref="P140:R141"/>
    <mergeCell ref="J142:J144"/>
    <mergeCell ref="K142:K144"/>
    <mergeCell ref="P142:R144"/>
    <mergeCell ref="A105:A107"/>
    <mergeCell ref="B105:C105"/>
    <mergeCell ref="D105:E105"/>
    <mergeCell ref="F105:I105"/>
    <mergeCell ref="J105:J107"/>
    <mergeCell ref="K105:K107"/>
    <mergeCell ref="P105:R107"/>
    <mergeCell ref="B106:C106"/>
    <mergeCell ref="D106:E106"/>
    <mergeCell ref="A115:A116"/>
    <mergeCell ref="B115:C116"/>
    <mergeCell ref="D115:E116"/>
    <mergeCell ref="F115:I116"/>
    <mergeCell ref="J115:J116"/>
    <mergeCell ref="K115:K116"/>
    <mergeCell ref="M115:M116"/>
  </mergeCells>
  <phoneticPr fontId="11"/>
  <printOptions horizontalCentered="1" verticalCentered="1"/>
  <pageMargins left="0.11811023622047245" right="0.11811023622047245" top="0.11811023622047245" bottom="0.11811023622047245" header="0.11811023622047245" footer="0.11811023622047245"/>
  <pageSetup paperSize="9" scale="80" orientation="landscape" horizontalDpi="300" verticalDpi="300" r:id="rId1"/>
  <rowBreaks count="4" manualBreakCount="4">
    <brk id="37" max="16383" man="1"/>
    <brk id="74" max="17" man="1"/>
    <brk id="111" max="17" man="1"/>
    <brk id="148" max="17" man="1"/>
  </rowBreaks>
  <colBreaks count="1" manualBreakCount="1">
    <brk id="18" max="169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D86E-2BB0-4234-8847-48E0417F846F}">
  <sheetPr>
    <tabColor rgb="FF00B050"/>
  </sheetPr>
  <dimension ref="A1:AF74"/>
  <sheetViews>
    <sheetView view="pageBreakPreview" topLeftCell="A28" zoomScale="85" zoomScaleNormal="100" zoomScaleSheetLayoutView="85" workbookViewId="0">
      <selection activeCell="A39" sqref="A39:R76"/>
    </sheetView>
  </sheetViews>
  <sheetFormatPr defaultRowHeight="18"/>
  <cols>
    <col min="1" max="1" width="5.69921875" customWidth="1"/>
    <col min="2" max="2" width="7.59765625" customWidth="1"/>
    <col min="3" max="3" width="9.19921875" customWidth="1"/>
    <col min="4" max="5" width="5.69921875" customWidth="1"/>
    <col min="6" max="8" width="7.59765625" customWidth="1"/>
    <col min="9" max="9" width="5.59765625" customWidth="1"/>
    <col min="10" max="11" width="30.69921875" customWidth="1"/>
    <col min="12" max="12" width="7.59765625" customWidth="1"/>
    <col min="13" max="15" width="5.69921875" customWidth="1"/>
    <col min="16" max="18" width="7.59765625" customWidth="1"/>
    <col min="19" max="20" width="8.69921875" customWidth="1"/>
  </cols>
  <sheetData>
    <row r="1" spans="1:18" ht="18.75" customHeight="1">
      <c r="A1" s="262" t="s">
        <v>967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47"/>
      <c r="P1" s="39"/>
      <c r="Q1" s="39"/>
      <c r="R1" s="39"/>
    </row>
    <row r="2" spans="1:18" ht="18.75" customHeight="1">
      <c r="A2" s="267" t="s">
        <v>1141</v>
      </c>
      <c r="B2" s="464"/>
      <c r="C2" s="464"/>
      <c r="D2" s="39"/>
      <c r="E2" s="39"/>
      <c r="F2" s="39"/>
      <c r="G2" s="39"/>
      <c r="H2" s="39"/>
      <c r="I2" s="39"/>
      <c r="J2" s="39"/>
      <c r="K2" s="39"/>
      <c r="L2" s="465"/>
      <c r="M2" s="39"/>
      <c r="N2" s="39"/>
      <c r="O2" s="47"/>
      <c r="P2" s="39"/>
      <c r="Q2" s="39"/>
      <c r="R2" s="39"/>
    </row>
    <row r="3" spans="1:18" ht="15.9" customHeight="1">
      <c r="A3" s="49" t="s">
        <v>366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7"/>
      <c r="P3" s="39"/>
      <c r="Q3" s="39" t="s">
        <v>983</v>
      </c>
      <c r="R3" s="39"/>
    </row>
    <row r="4" spans="1:18" ht="15.9" customHeight="1">
      <c r="A4" s="710" t="s">
        <v>2</v>
      </c>
      <c r="B4" s="712" t="s">
        <v>3</v>
      </c>
      <c r="C4" s="712"/>
      <c r="D4" s="650" t="s">
        <v>4</v>
      </c>
      <c r="E4" s="650"/>
      <c r="F4" s="712" t="s">
        <v>5</v>
      </c>
      <c r="G4" s="712"/>
      <c r="H4" s="712"/>
      <c r="I4" s="712"/>
      <c r="J4" s="713" t="s">
        <v>491</v>
      </c>
      <c r="K4" s="715" t="s">
        <v>7</v>
      </c>
      <c r="L4" s="185" t="s">
        <v>407</v>
      </c>
      <c r="M4" s="696" t="s">
        <v>1095</v>
      </c>
      <c r="N4" s="716" t="s">
        <v>1096</v>
      </c>
      <c r="O4" s="715" t="s">
        <v>1097</v>
      </c>
      <c r="P4" s="674" t="s">
        <v>8</v>
      </c>
      <c r="Q4" s="675"/>
      <c r="R4" s="676"/>
    </row>
    <row r="5" spans="1:18" ht="15.9" customHeight="1">
      <c r="A5" s="711"/>
      <c r="B5" s="712"/>
      <c r="C5" s="712"/>
      <c r="D5" s="650"/>
      <c r="E5" s="650"/>
      <c r="F5" s="712"/>
      <c r="G5" s="712"/>
      <c r="H5" s="712"/>
      <c r="I5" s="712"/>
      <c r="J5" s="714"/>
      <c r="K5" s="715"/>
      <c r="L5" s="186" t="s">
        <v>410</v>
      </c>
      <c r="M5" s="706"/>
      <c r="N5" s="717"/>
      <c r="O5" s="715"/>
      <c r="P5" s="674"/>
      <c r="Q5" s="675"/>
      <c r="R5" s="676"/>
    </row>
    <row r="6" spans="1:18" ht="18" customHeight="1">
      <c r="A6" s="614" t="s">
        <v>106</v>
      </c>
      <c r="B6" s="661" t="s">
        <v>10</v>
      </c>
      <c r="C6" s="661"/>
      <c r="D6" s="661" t="s">
        <v>43</v>
      </c>
      <c r="E6" s="661"/>
      <c r="F6" s="659" t="s">
        <v>810</v>
      </c>
      <c r="G6" s="659"/>
      <c r="H6" s="659"/>
      <c r="I6" s="659"/>
      <c r="J6" s="685" t="s">
        <v>1228</v>
      </c>
      <c r="K6" s="687"/>
      <c r="L6" s="88"/>
      <c r="M6" s="8">
        <v>140</v>
      </c>
      <c r="N6" s="8">
        <v>1</v>
      </c>
      <c r="O6" s="124">
        <v>500</v>
      </c>
      <c r="P6" s="660" t="s">
        <v>12</v>
      </c>
      <c r="Q6" s="660"/>
      <c r="R6" s="660"/>
    </row>
    <row r="7" spans="1:18" ht="18" customHeight="1">
      <c r="A7" s="616"/>
      <c r="B7" s="700" t="s">
        <v>13</v>
      </c>
      <c r="C7" s="701"/>
      <c r="D7" s="700" t="s">
        <v>14</v>
      </c>
      <c r="E7" s="701"/>
      <c r="F7" s="659" t="s">
        <v>811</v>
      </c>
      <c r="G7" s="659"/>
      <c r="H7" s="659"/>
      <c r="I7" s="659"/>
      <c r="J7" s="686"/>
      <c r="K7" s="726"/>
      <c r="L7" s="88"/>
      <c r="M7" s="8"/>
      <c r="N7" s="8"/>
      <c r="O7" s="124"/>
      <c r="P7" s="660"/>
      <c r="Q7" s="660"/>
      <c r="R7" s="660"/>
    </row>
    <row r="8" spans="1:18" ht="18" customHeight="1">
      <c r="A8" s="614" t="s">
        <v>233</v>
      </c>
      <c r="B8" s="661" t="s">
        <v>10</v>
      </c>
      <c r="C8" s="661"/>
      <c r="D8" s="700" t="s">
        <v>43</v>
      </c>
      <c r="E8" s="701"/>
      <c r="F8" s="653" t="s">
        <v>823</v>
      </c>
      <c r="G8" s="653"/>
      <c r="H8" s="653"/>
      <c r="I8" s="653"/>
      <c r="J8" s="625" t="s">
        <v>1304</v>
      </c>
      <c r="K8" s="703"/>
      <c r="L8" s="88"/>
      <c r="M8" s="8">
        <v>140</v>
      </c>
      <c r="N8" s="8">
        <v>2</v>
      </c>
      <c r="O8" s="124">
        <v>2680</v>
      </c>
      <c r="P8" s="660" t="s">
        <v>68</v>
      </c>
      <c r="Q8" s="660"/>
      <c r="R8" s="660"/>
    </row>
    <row r="9" spans="1:18" ht="18" customHeight="1">
      <c r="A9" s="616"/>
      <c r="B9" s="700" t="s">
        <v>13</v>
      </c>
      <c r="C9" s="701"/>
      <c r="D9" s="700" t="s">
        <v>11</v>
      </c>
      <c r="E9" s="701"/>
      <c r="F9" s="653" t="s">
        <v>414</v>
      </c>
      <c r="G9" s="653"/>
      <c r="H9" s="653"/>
      <c r="I9" s="653"/>
      <c r="J9" s="627"/>
      <c r="K9" s="673"/>
      <c r="L9" s="88"/>
      <c r="M9" s="8"/>
      <c r="N9" s="8"/>
      <c r="O9" s="124"/>
      <c r="P9" s="660"/>
      <c r="Q9" s="660"/>
      <c r="R9" s="660"/>
    </row>
    <row r="10" spans="1:18" ht="18" customHeight="1">
      <c r="A10" s="614" t="s">
        <v>27</v>
      </c>
      <c r="B10" s="661" t="s">
        <v>10</v>
      </c>
      <c r="C10" s="661"/>
      <c r="D10" s="700" t="s">
        <v>11</v>
      </c>
      <c r="E10" s="701"/>
      <c r="F10" s="659" t="s">
        <v>415</v>
      </c>
      <c r="G10" s="659"/>
      <c r="H10" s="659"/>
      <c r="I10" s="659"/>
      <c r="J10" s="625" t="s">
        <v>1312</v>
      </c>
      <c r="K10" s="704" t="s">
        <v>1074</v>
      </c>
      <c r="L10" s="88"/>
      <c r="M10" s="8">
        <v>140</v>
      </c>
      <c r="N10" s="8">
        <v>1</v>
      </c>
      <c r="O10" s="124">
        <v>10140</v>
      </c>
      <c r="P10" s="660" t="s">
        <v>417</v>
      </c>
      <c r="Q10" s="660"/>
      <c r="R10" s="660"/>
    </row>
    <row r="11" spans="1:18" ht="18" customHeight="1">
      <c r="A11" s="616"/>
      <c r="B11" s="700" t="s">
        <v>13</v>
      </c>
      <c r="C11" s="701"/>
      <c r="D11" s="700" t="s">
        <v>11</v>
      </c>
      <c r="E11" s="701"/>
      <c r="F11" s="659" t="s">
        <v>418</v>
      </c>
      <c r="G11" s="659"/>
      <c r="H11" s="659"/>
      <c r="I11" s="659"/>
      <c r="J11" s="627"/>
      <c r="K11" s="705"/>
      <c r="L11" s="88"/>
      <c r="M11" s="8"/>
      <c r="N11" s="8"/>
      <c r="O11" s="124"/>
      <c r="P11" s="660"/>
      <c r="Q11" s="660"/>
      <c r="R11" s="660"/>
    </row>
    <row r="12" spans="1:18" ht="18" customHeight="1">
      <c r="A12" s="614" t="s">
        <v>384</v>
      </c>
      <c r="B12" s="661" t="s">
        <v>199</v>
      </c>
      <c r="C12" s="661"/>
      <c r="D12" s="661" t="s">
        <v>11</v>
      </c>
      <c r="E12" s="661"/>
      <c r="F12" s="659" t="s">
        <v>419</v>
      </c>
      <c r="G12" s="659"/>
      <c r="H12" s="659"/>
      <c r="I12" s="659"/>
      <c r="J12" s="685"/>
      <c r="K12" s="702" t="s">
        <v>420</v>
      </c>
      <c r="L12" s="88"/>
      <c r="M12" s="8">
        <v>140</v>
      </c>
      <c r="N12" s="8">
        <v>1</v>
      </c>
      <c r="O12" s="124">
        <v>4140</v>
      </c>
      <c r="P12" s="660" t="s">
        <v>323</v>
      </c>
      <c r="Q12" s="660"/>
      <c r="R12" s="660"/>
    </row>
    <row r="13" spans="1:18" ht="18" customHeight="1">
      <c r="A13" s="616"/>
      <c r="B13" s="661" t="s">
        <v>202</v>
      </c>
      <c r="C13" s="661"/>
      <c r="D13" s="661" t="s">
        <v>11</v>
      </c>
      <c r="E13" s="661"/>
      <c r="F13" s="659" t="s">
        <v>203</v>
      </c>
      <c r="G13" s="659"/>
      <c r="H13" s="659"/>
      <c r="I13" s="659"/>
      <c r="J13" s="686"/>
      <c r="K13" s="691"/>
      <c r="L13" s="88"/>
      <c r="M13" s="8"/>
      <c r="N13" s="8"/>
      <c r="O13" s="124"/>
      <c r="P13" s="660"/>
      <c r="Q13" s="660"/>
      <c r="R13" s="660"/>
    </row>
    <row r="14" spans="1:18" ht="18" customHeight="1">
      <c r="A14" s="614" t="s">
        <v>421</v>
      </c>
      <c r="B14" s="661" t="s">
        <v>35</v>
      </c>
      <c r="C14" s="661"/>
      <c r="D14" s="661" t="s">
        <v>11</v>
      </c>
      <c r="E14" s="661"/>
      <c r="F14" s="699" t="s">
        <v>303</v>
      </c>
      <c r="G14" s="699"/>
      <c r="H14" s="699"/>
      <c r="I14" s="699"/>
      <c r="J14" s="685"/>
      <c r="K14" s="702" t="s">
        <v>37</v>
      </c>
      <c r="L14" s="88"/>
      <c r="M14" s="8">
        <v>140</v>
      </c>
      <c r="N14" s="8">
        <v>1</v>
      </c>
      <c r="O14" s="124">
        <v>1000</v>
      </c>
      <c r="P14" s="660" t="s">
        <v>38</v>
      </c>
      <c r="Q14" s="660"/>
      <c r="R14" s="660"/>
    </row>
    <row r="15" spans="1:18" ht="18" customHeight="1">
      <c r="A15" s="616"/>
      <c r="B15" s="661" t="s">
        <v>304</v>
      </c>
      <c r="C15" s="661"/>
      <c r="D15" s="661" t="s">
        <v>11</v>
      </c>
      <c r="E15" s="661"/>
      <c r="F15" s="699" t="s">
        <v>422</v>
      </c>
      <c r="G15" s="699"/>
      <c r="H15" s="699"/>
      <c r="I15" s="699"/>
      <c r="J15" s="686"/>
      <c r="K15" s="691"/>
      <c r="L15" s="88"/>
      <c r="M15" s="8"/>
      <c r="N15" s="8"/>
      <c r="O15" s="124"/>
      <c r="P15" s="660"/>
      <c r="Q15" s="660"/>
      <c r="R15" s="660"/>
    </row>
    <row r="16" spans="1:18" ht="18" customHeight="1">
      <c r="A16" s="59" t="s">
        <v>423</v>
      </c>
      <c r="B16" s="650" t="s">
        <v>236</v>
      </c>
      <c r="C16" s="650"/>
      <c r="D16" s="650" t="s">
        <v>49</v>
      </c>
      <c r="E16" s="650"/>
      <c r="F16" s="651" t="s">
        <v>1171</v>
      </c>
      <c r="G16" s="651"/>
      <c r="H16" s="651"/>
      <c r="I16" s="651"/>
      <c r="J16" s="15" t="s">
        <v>1228</v>
      </c>
      <c r="K16" s="15"/>
      <c r="L16" s="97" t="s">
        <v>436</v>
      </c>
      <c r="M16" s="25">
        <v>140</v>
      </c>
      <c r="N16" s="25">
        <v>1</v>
      </c>
      <c r="O16" s="32">
        <v>12140</v>
      </c>
      <c r="P16" s="708" t="s">
        <v>426</v>
      </c>
      <c r="Q16" s="708"/>
      <c r="R16" s="708"/>
    </row>
    <row r="17" spans="1:18" ht="18" customHeight="1">
      <c r="A17" s="59" t="s">
        <v>427</v>
      </c>
      <c r="B17" s="706" t="s">
        <v>178</v>
      </c>
      <c r="C17" s="706"/>
      <c r="D17" s="650" t="s">
        <v>240</v>
      </c>
      <c r="E17" s="650"/>
      <c r="F17" s="707" t="s">
        <v>1067</v>
      </c>
      <c r="G17" s="707"/>
      <c r="H17" s="707"/>
      <c r="I17" s="707"/>
      <c r="J17" s="23" t="s">
        <v>1303</v>
      </c>
      <c r="K17" s="536" t="s">
        <v>986</v>
      </c>
      <c r="L17" s="93" t="s">
        <v>425</v>
      </c>
      <c r="M17" s="25">
        <v>140</v>
      </c>
      <c r="N17" s="25">
        <v>2</v>
      </c>
      <c r="O17" s="43">
        <v>40280</v>
      </c>
      <c r="P17" s="708" t="s">
        <v>431</v>
      </c>
      <c r="Q17" s="708"/>
      <c r="R17" s="708"/>
    </row>
    <row r="18" spans="1:18" ht="30" customHeight="1">
      <c r="A18" s="59" t="s">
        <v>47</v>
      </c>
      <c r="B18" s="650" t="s">
        <v>211</v>
      </c>
      <c r="C18" s="650"/>
      <c r="D18" s="650" t="s">
        <v>63</v>
      </c>
      <c r="E18" s="650"/>
      <c r="F18" s="651" t="s">
        <v>788</v>
      </c>
      <c r="G18" s="651"/>
      <c r="H18" s="651"/>
      <c r="I18" s="651"/>
      <c r="J18" s="269" t="s">
        <v>1230</v>
      </c>
      <c r="K18" s="25"/>
      <c r="L18" s="93" t="s">
        <v>425</v>
      </c>
      <c r="M18" s="25">
        <v>140</v>
      </c>
      <c r="N18" s="25">
        <v>2</v>
      </c>
      <c r="O18" s="32">
        <v>10280</v>
      </c>
      <c r="P18" s="652" t="s">
        <v>871</v>
      </c>
      <c r="Q18" s="623"/>
      <c r="R18" s="624"/>
    </row>
    <row r="19" spans="1:18" ht="18" customHeight="1">
      <c r="A19" s="73" t="s">
        <v>434</v>
      </c>
      <c r="B19" s="696" t="s">
        <v>1114</v>
      </c>
      <c r="C19" s="696"/>
      <c r="D19" s="696" t="s">
        <v>1115</v>
      </c>
      <c r="E19" s="696"/>
      <c r="F19" s="697" t="s">
        <v>1116</v>
      </c>
      <c r="G19" s="697"/>
      <c r="H19" s="697"/>
      <c r="I19" s="697"/>
      <c r="J19" s="67" t="s">
        <v>1305</v>
      </c>
      <c r="K19" s="67"/>
      <c r="L19" s="97" t="s">
        <v>425</v>
      </c>
      <c r="M19" s="25">
        <v>140</v>
      </c>
      <c r="N19" s="25">
        <v>1</v>
      </c>
      <c r="O19" s="52">
        <v>10140</v>
      </c>
      <c r="P19" s="698" t="s">
        <v>438</v>
      </c>
      <c r="Q19" s="698"/>
      <c r="R19" s="698"/>
    </row>
    <row r="20" spans="1:18" ht="30" customHeight="1" thickBot="1">
      <c r="A20" s="98" t="s">
        <v>439</v>
      </c>
      <c r="B20" s="650" t="s">
        <v>147</v>
      </c>
      <c r="C20" s="650"/>
      <c r="D20" s="727" t="s">
        <v>49</v>
      </c>
      <c r="E20" s="727"/>
      <c r="F20" s="728" t="s">
        <v>441</v>
      </c>
      <c r="G20" s="728"/>
      <c r="H20" s="728"/>
      <c r="I20" s="728"/>
      <c r="J20" s="296" t="s">
        <v>1306</v>
      </c>
      <c r="K20" s="269" t="s">
        <v>1290</v>
      </c>
      <c r="L20" s="100" t="s">
        <v>425</v>
      </c>
      <c r="M20" s="99">
        <v>140</v>
      </c>
      <c r="N20" s="99">
        <v>1</v>
      </c>
      <c r="O20" s="48">
        <v>4140</v>
      </c>
      <c r="P20" s="660" t="s">
        <v>872</v>
      </c>
      <c r="Q20" s="660"/>
      <c r="R20" s="660"/>
    </row>
    <row r="21" spans="1:18" ht="18" customHeight="1" thickTop="1">
      <c r="A21" s="729" t="s">
        <v>443</v>
      </c>
      <c r="B21" s="730" t="s">
        <v>10</v>
      </c>
      <c r="C21" s="730"/>
      <c r="D21" s="730" t="s">
        <v>14</v>
      </c>
      <c r="E21" s="730"/>
      <c r="F21" s="731" t="s">
        <v>445</v>
      </c>
      <c r="G21" s="731"/>
      <c r="H21" s="731"/>
      <c r="I21" s="731"/>
      <c r="J21" s="677" t="s">
        <v>1307</v>
      </c>
      <c r="K21" s="678" t="s">
        <v>986</v>
      </c>
      <c r="L21" s="105"/>
      <c r="M21" s="14">
        <v>140</v>
      </c>
      <c r="N21" s="14">
        <v>1</v>
      </c>
      <c r="O21" s="542">
        <v>2140</v>
      </c>
      <c r="P21" s="732" t="s">
        <v>792</v>
      </c>
      <c r="Q21" s="733"/>
      <c r="R21" s="734"/>
    </row>
    <row r="22" spans="1:18" ht="18" customHeight="1">
      <c r="A22" s="615"/>
      <c r="B22" s="637" t="s">
        <v>227</v>
      </c>
      <c r="C22" s="637"/>
      <c r="D22" s="637" t="s">
        <v>14</v>
      </c>
      <c r="E22" s="637"/>
      <c r="F22" s="653" t="s">
        <v>448</v>
      </c>
      <c r="G22" s="653"/>
      <c r="H22" s="653"/>
      <c r="I22" s="653"/>
      <c r="J22" s="626"/>
      <c r="K22" s="629"/>
      <c r="L22" s="108"/>
      <c r="M22" s="8"/>
      <c r="N22" s="8"/>
      <c r="O22" s="51"/>
      <c r="P22" s="631"/>
      <c r="Q22" s="632"/>
      <c r="R22" s="633"/>
    </row>
    <row r="23" spans="1:18" ht="18" customHeight="1">
      <c r="A23" s="616"/>
      <c r="B23" s="637" t="s">
        <v>83</v>
      </c>
      <c r="C23" s="637"/>
      <c r="D23" s="638" t="s">
        <v>14</v>
      </c>
      <c r="E23" s="639"/>
      <c r="F23" s="659" t="s">
        <v>449</v>
      </c>
      <c r="G23" s="659"/>
      <c r="H23" s="659"/>
      <c r="I23" s="659"/>
      <c r="J23" s="627"/>
      <c r="K23" s="630"/>
      <c r="L23" s="108"/>
      <c r="M23" s="8"/>
      <c r="N23" s="8"/>
      <c r="O23" s="51"/>
      <c r="P23" s="634"/>
      <c r="Q23" s="635"/>
      <c r="R23" s="636"/>
    </row>
    <row r="24" spans="1:18" ht="18" customHeight="1">
      <c r="A24" s="664" t="s">
        <v>450</v>
      </c>
      <c r="B24" s="637" t="s">
        <v>10</v>
      </c>
      <c r="C24" s="637"/>
      <c r="D24" s="638" t="s">
        <v>43</v>
      </c>
      <c r="E24" s="639"/>
      <c r="F24" s="666" t="s">
        <v>890</v>
      </c>
      <c r="G24" s="667"/>
      <c r="H24" s="667"/>
      <c r="I24" s="667"/>
      <c r="J24" s="735" t="s">
        <v>1314</v>
      </c>
      <c r="K24" s="738"/>
      <c r="L24" s="108"/>
      <c r="M24" s="8">
        <v>140</v>
      </c>
      <c r="N24" s="8">
        <v>1</v>
      </c>
      <c r="O24" s="51">
        <v>3140</v>
      </c>
      <c r="P24" s="631" t="s">
        <v>910</v>
      </c>
      <c r="Q24" s="632"/>
      <c r="R24" s="633"/>
    </row>
    <row r="25" spans="1:18" ht="18" customHeight="1">
      <c r="A25" s="664"/>
      <c r="B25" s="637" t="s">
        <v>81</v>
      </c>
      <c r="C25" s="637"/>
      <c r="D25" s="661" t="s">
        <v>11</v>
      </c>
      <c r="E25" s="661"/>
      <c r="F25" s="662" t="s">
        <v>891</v>
      </c>
      <c r="G25" s="663"/>
      <c r="H25" s="663"/>
      <c r="I25" s="663"/>
      <c r="J25" s="736"/>
      <c r="K25" s="672"/>
      <c r="L25" s="108"/>
      <c r="M25" s="8"/>
      <c r="N25" s="8"/>
      <c r="O25" s="51"/>
      <c r="P25" s="631"/>
      <c r="Q25" s="632"/>
      <c r="R25" s="633"/>
    </row>
    <row r="26" spans="1:18" ht="18" customHeight="1">
      <c r="A26" s="665"/>
      <c r="B26" s="637" t="s">
        <v>83</v>
      </c>
      <c r="C26" s="637"/>
      <c r="D26" s="661" t="s">
        <v>11</v>
      </c>
      <c r="E26" s="661"/>
      <c r="F26" s="659" t="s">
        <v>968</v>
      </c>
      <c r="G26" s="659"/>
      <c r="H26" s="659"/>
      <c r="I26" s="659"/>
      <c r="J26" s="737"/>
      <c r="K26" s="673"/>
      <c r="L26" s="108"/>
      <c r="M26" s="8"/>
      <c r="N26" s="8"/>
      <c r="O26" s="51"/>
      <c r="P26" s="634"/>
      <c r="Q26" s="635"/>
      <c r="R26" s="636"/>
    </row>
    <row r="27" spans="1:18" ht="30" customHeight="1">
      <c r="A27" s="59" t="s">
        <v>455</v>
      </c>
      <c r="B27" s="650" t="s">
        <v>178</v>
      </c>
      <c r="C27" s="650"/>
      <c r="D27" s="650" t="s">
        <v>72</v>
      </c>
      <c r="E27" s="650"/>
      <c r="F27" s="620" t="s">
        <v>922</v>
      </c>
      <c r="G27" s="621"/>
      <c r="H27" s="621"/>
      <c r="I27" s="622"/>
      <c r="J27" s="532" t="s">
        <v>1354</v>
      </c>
      <c r="K27" s="537" t="s">
        <v>1441</v>
      </c>
      <c r="L27" s="97" t="s">
        <v>436</v>
      </c>
      <c r="M27" s="25">
        <v>140</v>
      </c>
      <c r="N27" s="25">
        <v>1</v>
      </c>
      <c r="O27" s="32">
        <v>5140</v>
      </c>
      <c r="P27" s="660" t="s">
        <v>458</v>
      </c>
      <c r="Q27" s="660"/>
      <c r="R27" s="660"/>
    </row>
    <row r="28" spans="1:18" ht="18" customHeight="1">
      <c r="A28" s="73" t="s">
        <v>794</v>
      </c>
      <c r="B28" s="650" t="s">
        <v>211</v>
      </c>
      <c r="C28" s="650"/>
      <c r="D28" s="650" t="s">
        <v>72</v>
      </c>
      <c r="E28" s="650"/>
      <c r="F28" s="651" t="s">
        <v>465</v>
      </c>
      <c r="G28" s="651"/>
      <c r="H28" s="651"/>
      <c r="I28" s="651"/>
      <c r="J28" s="25" t="s">
        <v>1298</v>
      </c>
      <c r="K28" s="25"/>
      <c r="L28" s="97" t="s">
        <v>436</v>
      </c>
      <c r="M28" s="25">
        <v>140</v>
      </c>
      <c r="N28" s="25">
        <v>2</v>
      </c>
      <c r="O28" s="32">
        <v>20280</v>
      </c>
      <c r="P28" s="660" t="s">
        <v>909</v>
      </c>
      <c r="Q28" s="660"/>
      <c r="R28" s="660"/>
    </row>
    <row r="29" spans="1:18" ht="18" customHeight="1">
      <c r="A29" s="184" t="s">
        <v>464</v>
      </c>
      <c r="B29" s="650" t="s">
        <v>147</v>
      </c>
      <c r="C29" s="650"/>
      <c r="D29" s="650" t="s">
        <v>49</v>
      </c>
      <c r="E29" s="650"/>
      <c r="F29" s="651" t="s">
        <v>966</v>
      </c>
      <c r="G29" s="651"/>
      <c r="H29" s="651"/>
      <c r="I29" s="651"/>
      <c r="J29" s="25" t="s">
        <v>1309</v>
      </c>
      <c r="K29" s="25"/>
      <c r="L29" s="97" t="s">
        <v>425</v>
      </c>
      <c r="M29" s="25">
        <v>140</v>
      </c>
      <c r="N29" s="25">
        <v>3</v>
      </c>
      <c r="O29" s="32">
        <v>4020</v>
      </c>
      <c r="P29" s="660" t="s">
        <v>976</v>
      </c>
      <c r="Q29" s="660"/>
      <c r="R29" s="660"/>
    </row>
    <row r="30" spans="1:18" ht="18" customHeight="1">
      <c r="A30" s="73" t="s">
        <v>467</v>
      </c>
      <c r="B30" s="650" t="s">
        <v>147</v>
      </c>
      <c r="C30" s="650"/>
      <c r="D30" s="650" t="s">
        <v>49</v>
      </c>
      <c r="E30" s="650"/>
      <c r="F30" s="651" t="s">
        <v>1150</v>
      </c>
      <c r="G30" s="651"/>
      <c r="H30" s="651"/>
      <c r="I30" s="651"/>
      <c r="J30" s="25" t="s">
        <v>1310</v>
      </c>
      <c r="K30" s="109"/>
      <c r="L30" s="97" t="s">
        <v>1169</v>
      </c>
      <c r="M30" s="422">
        <v>140</v>
      </c>
      <c r="N30" s="323">
        <v>1</v>
      </c>
      <c r="O30" s="32">
        <v>2640</v>
      </c>
      <c r="P30" s="652" t="s">
        <v>977</v>
      </c>
      <c r="Q30" s="623"/>
      <c r="R30" s="624"/>
    </row>
    <row r="31" spans="1:18" ht="30" customHeight="1">
      <c r="A31" s="229" t="s">
        <v>908</v>
      </c>
      <c r="B31" s="650" t="s">
        <v>147</v>
      </c>
      <c r="C31" s="650"/>
      <c r="D31" s="650" t="s">
        <v>49</v>
      </c>
      <c r="E31" s="650"/>
      <c r="F31" s="651" t="s">
        <v>441</v>
      </c>
      <c r="G31" s="651"/>
      <c r="H31" s="651"/>
      <c r="I31" s="651"/>
      <c r="J31" s="296" t="s">
        <v>1306</v>
      </c>
      <c r="K31" s="269" t="s">
        <v>1440</v>
      </c>
      <c r="L31" s="97" t="s">
        <v>425</v>
      </c>
      <c r="M31" s="25">
        <v>140</v>
      </c>
      <c r="N31" s="25">
        <v>1</v>
      </c>
      <c r="O31" s="32">
        <v>20140</v>
      </c>
      <c r="P31" s="660" t="s">
        <v>877</v>
      </c>
      <c r="Q31" s="660"/>
      <c r="R31" s="660"/>
    </row>
    <row r="32" spans="1:18" ht="30" customHeight="1">
      <c r="A32" s="73" t="s">
        <v>473</v>
      </c>
      <c r="B32" s="618" t="s">
        <v>485</v>
      </c>
      <c r="C32" s="619"/>
      <c r="D32" s="618" t="s">
        <v>49</v>
      </c>
      <c r="E32" s="619"/>
      <c r="F32" s="620" t="s">
        <v>1149</v>
      </c>
      <c r="G32" s="621"/>
      <c r="H32" s="621"/>
      <c r="I32" s="622"/>
      <c r="J32" s="304" t="s">
        <v>1308</v>
      </c>
      <c r="K32" s="538" t="s">
        <v>1313</v>
      </c>
      <c r="L32" s="97" t="s">
        <v>425</v>
      </c>
      <c r="M32" s="25">
        <v>140</v>
      </c>
      <c r="N32" s="25">
        <v>1</v>
      </c>
      <c r="O32" s="32">
        <v>13140</v>
      </c>
      <c r="P32" s="652" t="s">
        <v>876</v>
      </c>
      <c r="Q32" s="623"/>
      <c r="R32" s="624"/>
    </row>
    <row r="33" spans="1:32" ht="18" customHeight="1">
      <c r="A33" s="59" t="s">
        <v>476</v>
      </c>
      <c r="B33" s="679" t="s">
        <v>868</v>
      </c>
      <c r="C33" s="680"/>
      <c r="D33" s="650" t="s">
        <v>240</v>
      </c>
      <c r="E33" s="650"/>
      <c r="F33" s="681" t="s">
        <v>1188</v>
      </c>
      <c r="G33" s="682"/>
      <c r="H33" s="682"/>
      <c r="I33" s="683"/>
      <c r="J33" s="255" t="s">
        <v>1296</v>
      </c>
      <c r="K33" s="96"/>
      <c r="L33" s="76" t="s">
        <v>425</v>
      </c>
      <c r="M33" s="320">
        <v>140</v>
      </c>
      <c r="N33" s="320">
        <v>1</v>
      </c>
      <c r="O33" s="463">
        <v>8140</v>
      </c>
      <c r="P33" s="674" t="s">
        <v>901</v>
      </c>
      <c r="Q33" s="675"/>
      <c r="R33" s="676"/>
    </row>
    <row r="34" spans="1:32" ht="18" customHeight="1">
      <c r="A34" s="739" t="s">
        <v>480</v>
      </c>
      <c r="B34" s="661" t="s">
        <v>10</v>
      </c>
      <c r="C34" s="661"/>
      <c r="D34" s="661" t="s">
        <v>43</v>
      </c>
      <c r="E34" s="661"/>
      <c r="F34" s="659" t="s">
        <v>185</v>
      </c>
      <c r="G34" s="659"/>
      <c r="H34" s="659"/>
      <c r="I34" s="659"/>
      <c r="J34" s="685" t="s">
        <v>1315</v>
      </c>
      <c r="K34" s="738" t="s">
        <v>982</v>
      </c>
      <c r="L34" s="88"/>
      <c r="M34" s="8">
        <v>140</v>
      </c>
      <c r="N34" s="8">
        <v>1</v>
      </c>
      <c r="O34" s="124">
        <v>10140</v>
      </c>
      <c r="P34" s="660" t="s">
        <v>1414</v>
      </c>
      <c r="Q34" s="660"/>
      <c r="R34" s="660"/>
    </row>
    <row r="35" spans="1:32" ht="18" customHeight="1">
      <c r="A35" s="739"/>
      <c r="B35" s="661" t="s">
        <v>13</v>
      </c>
      <c r="C35" s="661"/>
      <c r="D35" s="661" t="s">
        <v>49</v>
      </c>
      <c r="E35" s="661"/>
      <c r="F35" s="659" t="s">
        <v>69</v>
      </c>
      <c r="G35" s="659"/>
      <c r="H35" s="659"/>
      <c r="I35" s="659"/>
      <c r="J35" s="686"/>
      <c r="K35" s="705"/>
      <c r="L35" s="88"/>
      <c r="M35" s="8"/>
      <c r="N35" s="8"/>
      <c r="O35" s="124"/>
      <c r="P35" s="660"/>
      <c r="Q35" s="660"/>
      <c r="R35" s="660"/>
    </row>
    <row r="36" spans="1:32" ht="19.2" customHeight="1">
      <c r="A36" s="278" t="s">
        <v>1367</v>
      </c>
      <c r="B36" s="272"/>
      <c r="C36" s="270"/>
      <c r="D36" s="271"/>
      <c r="E36" s="205"/>
      <c r="F36" s="206"/>
      <c r="G36" s="206"/>
      <c r="H36" s="206"/>
      <c r="I36" s="206"/>
      <c r="J36" s="207"/>
      <c r="K36" s="207"/>
      <c r="L36" s="207"/>
      <c r="M36" s="207"/>
      <c r="N36" s="207"/>
      <c r="O36" s="466"/>
      <c r="P36" s="214"/>
      <c r="Q36" s="214"/>
      <c r="R36" s="214"/>
    </row>
    <row r="39" spans="1:32" ht="18.600000000000001" customHeight="1" thickBot="1">
      <c r="A39" s="262" t="s">
        <v>967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47"/>
      <c r="P39" s="39"/>
      <c r="Q39" s="39"/>
      <c r="R39" s="39"/>
    </row>
    <row r="40" spans="1:32" ht="18.600000000000001" customHeight="1">
      <c r="A40" s="267" t="s">
        <v>1141</v>
      </c>
      <c r="B40" s="464"/>
      <c r="C40" s="464"/>
      <c r="D40" s="39"/>
      <c r="E40" s="39"/>
      <c r="F40" s="39"/>
      <c r="G40" s="39"/>
      <c r="H40" s="39"/>
      <c r="I40" s="39"/>
      <c r="J40" s="39"/>
      <c r="K40" s="39"/>
      <c r="L40" s="465"/>
      <c r="M40" s="39"/>
      <c r="N40" s="39"/>
      <c r="O40" s="47"/>
      <c r="P40" s="39"/>
      <c r="Q40" s="39"/>
      <c r="R40" s="39"/>
      <c r="U40" s="832" t="s">
        <v>1356</v>
      </c>
      <c r="V40" s="644" t="s">
        <v>1357</v>
      </c>
      <c r="W40" s="644"/>
      <c r="X40" s="644" t="s">
        <v>1358</v>
      </c>
      <c r="Y40" s="644"/>
      <c r="Z40" s="644"/>
      <c r="AA40" s="644"/>
      <c r="AB40" s="644"/>
      <c r="AC40" s="644"/>
      <c r="AD40" s="553" t="s">
        <v>1359</v>
      </c>
      <c r="AE40" s="553" t="s">
        <v>1360</v>
      </c>
      <c r="AF40" s="554" t="s">
        <v>1361</v>
      </c>
    </row>
    <row r="41" spans="1:32" ht="15.6" customHeight="1">
      <c r="A41" s="49" t="s">
        <v>366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47"/>
      <c r="P41" s="39"/>
      <c r="Q41" s="39" t="s">
        <v>983</v>
      </c>
      <c r="R41" s="39"/>
      <c r="U41" s="833"/>
      <c r="V41" s="645"/>
      <c r="W41" s="646"/>
      <c r="X41" s="646"/>
      <c r="Y41" s="646"/>
      <c r="Z41" s="646"/>
      <c r="AA41" s="646"/>
      <c r="AB41" s="646"/>
      <c r="AC41" s="646"/>
      <c r="AD41" s="555"/>
      <c r="AE41" s="555"/>
      <c r="AF41" s="556"/>
    </row>
    <row r="42" spans="1:32" ht="15.6" customHeight="1">
      <c r="A42" s="710" t="s">
        <v>2</v>
      </c>
      <c r="B42" s="712" t="s">
        <v>3</v>
      </c>
      <c r="C42" s="712"/>
      <c r="D42" s="650" t="s">
        <v>4</v>
      </c>
      <c r="E42" s="650"/>
      <c r="F42" s="712" t="s">
        <v>5</v>
      </c>
      <c r="G42" s="712"/>
      <c r="H42" s="712"/>
      <c r="I42" s="712"/>
      <c r="J42" s="713" t="s">
        <v>491</v>
      </c>
      <c r="K42" s="715" t="s">
        <v>7</v>
      </c>
      <c r="L42" s="185" t="s">
        <v>407</v>
      </c>
      <c r="M42" s="696" t="s">
        <v>1095</v>
      </c>
      <c r="N42" s="716" t="s">
        <v>1096</v>
      </c>
      <c r="O42" s="715" t="s">
        <v>1097</v>
      </c>
      <c r="P42" s="674" t="s">
        <v>8</v>
      </c>
      <c r="Q42" s="675"/>
      <c r="R42" s="676"/>
      <c r="U42" s="833"/>
      <c r="V42" s="645" t="s">
        <v>1457</v>
      </c>
      <c r="W42" s="646"/>
      <c r="X42" s="646" t="s">
        <v>1460</v>
      </c>
      <c r="Y42" s="646"/>
      <c r="Z42" s="646"/>
      <c r="AA42" s="646"/>
      <c r="AB42" s="646"/>
      <c r="AC42" s="646"/>
      <c r="AD42" s="555" t="s">
        <v>1461</v>
      </c>
      <c r="AE42" s="555" t="s">
        <v>1429</v>
      </c>
      <c r="AF42" s="556" t="s">
        <v>1462</v>
      </c>
    </row>
    <row r="43" spans="1:32" ht="15.6" customHeight="1" thickBot="1">
      <c r="A43" s="711"/>
      <c r="B43" s="712"/>
      <c r="C43" s="712"/>
      <c r="D43" s="650"/>
      <c r="E43" s="650"/>
      <c r="F43" s="712"/>
      <c r="G43" s="712"/>
      <c r="H43" s="712"/>
      <c r="I43" s="712"/>
      <c r="J43" s="714"/>
      <c r="K43" s="715"/>
      <c r="L43" s="186" t="s">
        <v>410</v>
      </c>
      <c r="M43" s="706"/>
      <c r="N43" s="717"/>
      <c r="O43" s="715"/>
      <c r="P43" s="674"/>
      <c r="Q43" s="675"/>
      <c r="R43" s="676"/>
      <c r="U43" s="834"/>
      <c r="V43" s="647" t="s">
        <v>1362</v>
      </c>
      <c r="W43" s="617"/>
      <c r="X43" s="617" t="s">
        <v>1363</v>
      </c>
      <c r="Y43" s="617"/>
      <c r="Z43" s="617"/>
      <c r="AA43" s="617"/>
      <c r="AB43" s="617"/>
      <c r="AC43" s="617"/>
      <c r="AD43" s="557" t="s">
        <v>1364</v>
      </c>
      <c r="AE43" s="557" t="s">
        <v>1365</v>
      </c>
      <c r="AF43" s="558" t="s">
        <v>1366</v>
      </c>
    </row>
    <row r="44" spans="1:32" ht="18.600000000000001" customHeight="1">
      <c r="A44" s="614" t="s">
        <v>106</v>
      </c>
      <c r="B44" s="661" t="s">
        <v>10</v>
      </c>
      <c r="C44" s="661"/>
      <c r="D44" s="661" t="s">
        <v>43</v>
      </c>
      <c r="E44" s="661"/>
      <c r="F44" s="659" t="s">
        <v>810</v>
      </c>
      <c r="G44" s="659"/>
      <c r="H44" s="659"/>
      <c r="I44" s="659"/>
      <c r="J44" s="685" t="s">
        <v>1228</v>
      </c>
      <c r="K44" s="687"/>
      <c r="L44" s="88"/>
      <c r="M44" s="8">
        <v>140</v>
      </c>
      <c r="N44" s="8">
        <v>1</v>
      </c>
      <c r="O44" s="124">
        <v>500</v>
      </c>
      <c r="P44" s="660" t="s">
        <v>12</v>
      </c>
      <c r="Q44" s="660"/>
      <c r="R44" s="660"/>
    </row>
    <row r="45" spans="1:32" ht="18.600000000000001" customHeight="1">
      <c r="A45" s="616"/>
      <c r="B45" s="700" t="s">
        <v>13</v>
      </c>
      <c r="C45" s="701"/>
      <c r="D45" s="700" t="s">
        <v>14</v>
      </c>
      <c r="E45" s="701"/>
      <c r="F45" s="659" t="s">
        <v>811</v>
      </c>
      <c r="G45" s="659"/>
      <c r="H45" s="659"/>
      <c r="I45" s="659"/>
      <c r="J45" s="686"/>
      <c r="K45" s="726"/>
      <c r="L45" s="88"/>
      <c r="M45" s="8"/>
      <c r="N45" s="8"/>
      <c r="O45" s="124"/>
      <c r="P45" s="660"/>
      <c r="Q45" s="660"/>
      <c r="R45" s="660"/>
    </row>
    <row r="46" spans="1:32" ht="18.600000000000001" customHeight="1">
      <c r="A46" s="614" t="s">
        <v>233</v>
      </c>
      <c r="B46" s="661" t="s">
        <v>10</v>
      </c>
      <c r="C46" s="661"/>
      <c r="D46" s="700" t="s">
        <v>43</v>
      </c>
      <c r="E46" s="701"/>
      <c r="F46" s="653" t="s">
        <v>1525</v>
      </c>
      <c r="G46" s="653"/>
      <c r="H46" s="653"/>
      <c r="I46" s="653"/>
      <c r="J46" s="625" t="s">
        <v>1304</v>
      </c>
      <c r="K46" s="703"/>
      <c r="L46" s="88"/>
      <c r="M46" s="8">
        <v>140</v>
      </c>
      <c r="N46" s="8">
        <v>2</v>
      </c>
      <c r="O46" s="124">
        <v>2680</v>
      </c>
      <c r="P46" s="660" t="s">
        <v>68</v>
      </c>
      <c r="Q46" s="660"/>
      <c r="R46" s="660"/>
    </row>
    <row r="47" spans="1:32" ht="18.600000000000001" customHeight="1">
      <c r="A47" s="616"/>
      <c r="B47" s="700" t="s">
        <v>13</v>
      </c>
      <c r="C47" s="701"/>
      <c r="D47" s="700" t="s">
        <v>11</v>
      </c>
      <c r="E47" s="701"/>
      <c r="F47" s="653" t="s">
        <v>414</v>
      </c>
      <c r="G47" s="653"/>
      <c r="H47" s="653"/>
      <c r="I47" s="653"/>
      <c r="J47" s="627"/>
      <c r="K47" s="673"/>
      <c r="L47" s="88"/>
      <c r="M47" s="8"/>
      <c r="N47" s="8"/>
      <c r="O47" s="124"/>
      <c r="P47" s="660"/>
      <c r="Q47" s="660"/>
      <c r="R47" s="660"/>
    </row>
    <row r="48" spans="1:32" ht="18.600000000000001" customHeight="1">
      <c r="A48" s="614" t="s">
        <v>27</v>
      </c>
      <c r="B48" s="661" t="s">
        <v>10</v>
      </c>
      <c r="C48" s="661"/>
      <c r="D48" s="700" t="s">
        <v>11</v>
      </c>
      <c r="E48" s="701"/>
      <c r="F48" s="659" t="s">
        <v>415</v>
      </c>
      <c r="G48" s="659"/>
      <c r="H48" s="659"/>
      <c r="I48" s="659"/>
      <c r="J48" s="625" t="s">
        <v>1312</v>
      </c>
      <c r="K48" s="704" t="s">
        <v>1074</v>
      </c>
      <c r="L48" s="88"/>
      <c r="M48" s="8">
        <v>140</v>
      </c>
      <c r="N48" s="8">
        <v>1</v>
      </c>
      <c r="O48" s="124">
        <v>10140</v>
      </c>
      <c r="P48" s="660" t="s">
        <v>417</v>
      </c>
      <c r="Q48" s="660"/>
      <c r="R48" s="660"/>
    </row>
    <row r="49" spans="1:18" ht="18.600000000000001" customHeight="1">
      <c r="A49" s="616"/>
      <c r="B49" s="700" t="s">
        <v>13</v>
      </c>
      <c r="C49" s="701"/>
      <c r="D49" s="700" t="s">
        <v>11</v>
      </c>
      <c r="E49" s="701"/>
      <c r="F49" s="659" t="s">
        <v>418</v>
      </c>
      <c r="G49" s="659"/>
      <c r="H49" s="659"/>
      <c r="I49" s="659"/>
      <c r="J49" s="627"/>
      <c r="K49" s="705"/>
      <c r="L49" s="88"/>
      <c r="M49" s="8"/>
      <c r="N49" s="8"/>
      <c r="O49" s="124"/>
      <c r="P49" s="660"/>
      <c r="Q49" s="660"/>
      <c r="R49" s="660"/>
    </row>
    <row r="50" spans="1:18" ht="18.600000000000001" customHeight="1">
      <c r="A50" s="614" t="s">
        <v>384</v>
      </c>
      <c r="B50" s="661" t="s">
        <v>199</v>
      </c>
      <c r="C50" s="661"/>
      <c r="D50" s="661" t="s">
        <v>11</v>
      </c>
      <c r="E50" s="661"/>
      <c r="F50" s="659" t="s">
        <v>419</v>
      </c>
      <c r="G50" s="659"/>
      <c r="H50" s="659"/>
      <c r="I50" s="659"/>
      <c r="J50" s="685"/>
      <c r="K50" s="702" t="s">
        <v>420</v>
      </c>
      <c r="L50" s="88"/>
      <c r="M50" s="8">
        <v>140</v>
      </c>
      <c r="N50" s="8">
        <v>1</v>
      </c>
      <c r="O50" s="124">
        <v>4140</v>
      </c>
      <c r="P50" s="660" t="s">
        <v>323</v>
      </c>
      <c r="Q50" s="660"/>
      <c r="R50" s="660"/>
    </row>
    <row r="51" spans="1:18" ht="18.600000000000001" customHeight="1">
      <c r="A51" s="616"/>
      <c r="B51" s="661" t="s">
        <v>202</v>
      </c>
      <c r="C51" s="661"/>
      <c r="D51" s="661" t="s">
        <v>11</v>
      </c>
      <c r="E51" s="661"/>
      <c r="F51" s="659" t="s">
        <v>203</v>
      </c>
      <c r="G51" s="659"/>
      <c r="H51" s="659"/>
      <c r="I51" s="659"/>
      <c r="J51" s="686"/>
      <c r="K51" s="691"/>
      <c r="L51" s="88"/>
      <c r="M51" s="8"/>
      <c r="N51" s="8"/>
      <c r="O51" s="124"/>
      <c r="P51" s="660"/>
      <c r="Q51" s="660"/>
      <c r="R51" s="660"/>
    </row>
    <row r="52" spans="1:18" ht="18.600000000000001" customHeight="1">
      <c r="A52" s="614" t="s">
        <v>421</v>
      </c>
      <c r="B52" s="661" t="s">
        <v>35</v>
      </c>
      <c r="C52" s="661"/>
      <c r="D52" s="661" t="s">
        <v>11</v>
      </c>
      <c r="E52" s="661"/>
      <c r="F52" s="699" t="s">
        <v>1190</v>
      </c>
      <c r="G52" s="699"/>
      <c r="H52" s="699"/>
      <c r="I52" s="699"/>
      <c r="J52" s="685"/>
      <c r="K52" s="702" t="s">
        <v>37</v>
      </c>
      <c r="L52" s="88"/>
      <c r="M52" s="8">
        <v>140</v>
      </c>
      <c r="N52" s="8">
        <v>1</v>
      </c>
      <c r="O52" s="124">
        <v>1200</v>
      </c>
      <c r="P52" s="660" t="s">
        <v>38</v>
      </c>
      <c r="Q52" s="660"/>
      <c r="R52" s="660"/>
    </row>
    <row r="53" spans="1:18" ht="18.600000000000001" customHeight="1">
      <c r="A53" s="616"/>
      <c r="B53" s="661" t="s">
        <v>304</v>
      </c>
      <c r="C53" s="661"/>
      <c r="D53" s="661" t="s">
        <v>11</v>
      </c>
      <c r="E53" s="661"/>
      <c r="F53" s="699" t="s">
        <v>1416</v>
      </c>
      <c r="G53" s="699"/>
      <c r="H53" s="699"/>
      <c r="I53" s="699"/>
      <c r="J53" s="686"/>
      <c r="K53" s="691"/>
      <c r="L53" s="88"/>
      <c r="M53" s="8"/>
      <c r="N53" s="8"/>
      <c r="O53" s="124"/>
      <c r="P53" s="660"/>
      <c r="Q53" s="660"/>
      <c r="R53" s="660"/>
    </row>
    <row r="54" spans="1:18" ht="18.600000000000001" customHeight="1">
      <c r="A54" s="59" t="s">
        <v>423</v>
      </c>
      <c r="B54" s="650" t="s">
        <v>236</v>
      </c>
      <c r="C54" s="650"/>
      <c r="D54" s="650" t="s">
        <v>49</v>
      </c>
      <c r="E54" s="650"/>
      <c r="F54" s="651" t="s">
        <v>1171</v>
      </c>
      <c r="G54" s="651"/>
      <c r="H54" s="651"/>
      <c r="I54" s="651"/>
      <c r="J54" s="15" t="s">
        <v>1228</v>
      </c>
      <c r="K54" s="15"/>
      <c r="L54" s="97" t="s">
        <v>436</v>
      </c>
      <c r="M54" s="25">
        <v>140</v>
      </c>
      <c r="N54" s="25">
        <v>1</v>
      </c>
      <c r="O54" s="32">
        <v>12140</v>
      </c>
      <c r="P54" s="708" t="s">
        <v>426</v>
      </c>
      <c r="Q54" s="708"/>
      <c r="R54" s="708"/>
    </row>
    <row r="55" spans="1:18" ht="18.600000000000001" customHeight="1">
      <c r="A55" s="59" t="s">
        <v>427</v>
      </c>
      <c r="B55" s="706" t="s">
        <v>178</v>
      </c>
      <c r="C55" s="706"/>
      <c r="D55" s="650" t="s">
        <v>240</v>
      </c>
      <c r="E55" s="650"/>
      <c r="F55" s="707" t="s">
        <v>1067</v>
      </c>
      <c r="G55" s="707"/>
      <c r="H55" s="707"/>
      <c r="I55" s="707"/>
      <c r="J55" s="23" t="s">
        <v>1459</v>
      </c>
      <c r="K55" s="536" t="s">
        <v>986</v>
      </c>
      <c r="L55" s="93" t="s">
        <v>425</v>
      </c>
      <c r="M55" s="25">
        <v>140</v>
      </c>
      <c r="N55" s="25">
        <v>2</v>
      </c>
      <c r="O55" s="43">
        <v>40280</v>
      </c>
      <c r="P55" s="708" t="s">
        <v>431</v>
      </c>
      <c r="Q55" s="708"/>
      <c r="R55" s="708"/>
    </row>
    <row r="56" spans="1:18" ht="30.6" customHeight="1">
      <c r="A56" s="59" t="s">
        <v>47</v>
      </c>
      <c r="B56" s="650" t="s">
        <v>211</v>
      </c>
      <c r="C56" s="650"/>
      <c r="D56" s="650" t="s">
        <v>63</v>
      </c>
      <c r="E56" s="650"/>
      <c r="F56" s="651" t="s">
        <v>788</v>
      </c>
      <c r="G56" s="651"/>
      <c r="H56" s="651"/>
      <c r="I56" s="651"/>
      <c r="J56" s="269" t="s">
        <v>1230</v>
      </c>
      <c r="K56" s="25"/>
      <c r="L56" s="93" t="s">
        <v>425</v>
      </c>
      <c r="M56" s="25">
        <v>140</v>
      </c>
      <c r="N56" s="25">
        <v>2</v>
      </c>
      <c r="O56" s="32">
        <v>10280</v>
      </c>
      <c r="P56" s="652" t="s">
        <v>871</v>
      </c>
      <c r="Q56" s="623"/>
      <c r="R56" s="624"/>
    </row>
    <row r="57" spans="1:18">
      <c r="A57" s="73" t="s">
        <v>434</v>
      </c>
      <c r="B57" s="696" t="s">
        <v>1114</v>
      </c>
      <c r="C57" s="696"/>
      <c r="D57" s="696" t="s">
        <v>1115</v>
      </c>
      <c r="E57" s="696"/>
      <c r="F57" s="697" t="s">
        <v>1116</v>
      </c>
      <c r="G57" s="697"/>
      <c r="H57" s="697"/>
      <c r="I57" s="697"/>
      <c r="J57" s="67" t="s">
        <v>1305</v>
      </c>
      <c r="K57" s="67"/>
      <c r="L57" s="97" t="s">
        <v>425</v>
      </c>
      <c r="M57" s="25">
        <v>140</v>
      </c>
      <c r="N57" s="25">
        <v>1</v>
      </c>
      <c r="O57" s="52">
        <v>10140</v>
      </c>
      <c r="P57" s="698" t="s">
        <v>438</v>
      </c>
      <c r="Q57" s="698"/>
      <c r="R57" s="698"/>
    </row>
    <row r="58" spans="1:18" ht="30.6" customHeight="1" thickBot="1">
      <c r="A58" s="98" t="s">
        <v>439</v>
      </c>
      <c r="B58" s="650" t="s">
        <v>147</v>
      </c>
      <c r="C58" s="650"/>
      <c r="D58" s="727" t="s">
        <v>49</v>
      </c>
      <c r="E58" s="727"/>
      <c r="F58" s="728" t="s">
        <v>441</v>
      </c>
      <c r="G58" s="728"/>
      <c r="H58" s="728"/>
      <c r="I58" s="728"/>
      <c r="J58" s="296" t="s">
        <v>1468</v>
      </c>
      <c r="K58" s="269" t="s">
        <v>1290</v>
      </c>
      <c r="L58" s="100" t="s">
        <v>425</v>
      </c>
      <c r="M58" s="99">
        <v>140</v>
      </c>
      <c r="N58" s="99">
        <v>1</v>
      </c>
      <c r="O58" s="48">
        <v>4140</v>
      </c>
      <c r="P58" s="660" t="s">
        <v>872</v>
      </c>
      <c r="Q58" s="660"/>
      <c r="R58" s="660"/>
    </row>
    <row r="59" spans="1:18" ht="18.600000000000001" customHeight="1" thickTop="1">
      <c r="A59" s="729" t="s">
        <v>443</v>
      </c>
      <c r="B59" s="730" t="s">
        <v>10</v>
      </c>
      <c r="C59" s="730"/>
      <c r="D59" s="730" t="s">
        <v>14</v>
      </c>
      <c r="E59" s="730"/>
      <c r="F59" s="731" t="s">
        <v>445</v>
      </c>
      <c r="G59" s="731"/>
      <c r="H59" s="731"/>
      <c r="I59" s="731"/>
      <c r="J59" s="677" t="s">
        <v>1458</v>
      </c>
      <c r="K59" s="678" t="s">
        <v>986</v>
      </c>
      <c r="L59" s="105"/>
      <c r="M59" s="14">
        <v>140</v>
      </c>
      <c r="N59" s="14">
        <v>1</v>
      </c>
      <c r="O59" s="542">
        <v>2140</v>
      </c>
      <c r="P59" s="732" t="s">
        <v>792</v>
      </c>
      <c r="Q59" s="733"/>
      <c r="R59" s="734"/>
    </row>
    <row r="60" spans="1:18" ht="18.600000000000001" customHeight="1">
      <c r="A60" s="615"/>
      <c r="B60" s="637" t="s">
        <v>227</v>
      </c>
      <c r="C60" s="637"/>
      <c r="D60" s="637" t="s">
        <v>14</v>
      </c>
      <c r="E60" s="637"/>
      <c r="F60" s="653" t="s">
        <v>448</v>
      </c>
      <c r="G60" s="653"/>
      <c r="H60" s="653"/>
      <c r="I60" s="653"/>
      <c r="J60" s="626"/>
      <c r="K60" s="629"/>
      <c r="L60" s="108"/>
      <c r="M60" s="8"/>
      <c r="N60" s="8"/>
      <c r="O60" s="51"/>
      <c r="P60" s="631"/>
      <c r="Q60" s="632"/>
      <c r="R60" s="633"/>
    </row>
    <row r="61" spans="1:18" ht="18.600000000000001" customHeight="1">
      <c r="A61" s="616"/>
      <c r="B61" s="637" t="s">
        <v>83</v>
      </c>
      <c r="C61" s="637"/>
      <c r="D61" s="638" t="s">
        <v>14</v>
      </c>
      <c r="E61" s="639"/>
      <c r="F61" s="659" t="s">
        <v>449</v>
      </c>
      <c r="G61" s="659"/>
      <c r="H61" s="659"/>
      <c r="I61" s="659"/>
      <c r="J61" s="627"/>
      <c r="K61" s="630"/>
      <c r="L61" s="108"/>
      <c r="M61" s="8"/>
      <c r="N61" s="8"/>
      <c r="O61" s="51"/>
      <c r="P61" s="634"/>
      <c r="Q61" s="635"/>
      <c r="R61" s="636"/>
    </row>
    <row r="62" spans="1:18" ht="18.600000000000001" customHeight="1">
      <c r="A62" s="664" t="s">
        <v>450</v>
      </c>
      <c r="B62" s="637" t="s">
        <v>10</v>
      </c>
      <c r="C62" s="637"/>
      <c r="D62" s="638" t="s">
        <v>43</v>
      </c>
      <c r="E62" s="639"/>
      <c r="F62" s="666" t="s">
        <v>890</v>
      </c>
      <c r="G62" s="667"/>
      <c r="H62" s="667"/>
      <c r="I62" s="667"/>
      <c r="J62" s="735" t="s">
        <v>1314</v>
      </c>
      <c r="K62" s="738"/>
      <c r="L62" s="108"/>
      <c r="M62" s="8">
        <v>140</v>
      </c>
      <c r="N62" s="8">
        <v>1</v>
      </c>
      <c r="O62" s="51">
        <v>3140</v>
      </c>
      <c r="P62" s="631" t="s">
        <v>910</v>
      </c>
      <c r="Q62" s="632"/>
      <c r="R62" s="633"/>
    </row>
    <row r="63" spans="1:18" ht="18.600000000000001" customHeight="1">
      <c r="A63" s="664"/>
      <c r="B63" s="637" t="s">
        <v>81</v>
      </c>
      <c r="C63" s="637"/>
      <c r="D63" s="661" t="s">
        <v>11</v>
      </c>
      <c r="E63" s="661"/>
      <c r="F63" s="662" t="s">
        <v>891</v>
      </c>
      <c r="G63" s="663"/>
      <c r="H63" s="663"/>
      <c r="I63" s="663"/>
      <c r="J63" s="736"/>
      <c r="K63" s="672"/>
      <c r="L63" s="108"/>
      <c r="M63" s="8"/>
      <c r="N63" s="8"/>
      <c r="O63" s="51"/>
      <c r="P63" s="631"/>
      <c r="Q63" s="632"/>
      <c r="R63" s="633"/>
    </row>
    <row r="64" spans="1:18" ht="18.600000000000001" customHeight="1">
      <c r="A64" s="665"/>
      <c r="B64" s="637" t="s">
        <v>83</v>
      </c>
      <c r="C64" s="637"/>
      <c r="D64" s="661" t="s">
        <v>11</v>
      </c>
      <c r="E64" s="661"/>
      <c r="F64" s="659" t="s">
        <v>968</v>
      </c>
      <c r="G64" s="659"/>
      <c r="H64" s="659"/>
      <c r="I64" s="659"/>
      <c r="J64" s="737"/>
      <c r="K64" s="673"/>
      <c r="L64" s="108"/>
      <c r="M64" s="8"/>
      <c r="N64" s="8"/>
      <c r="O64" s="51"/>
      <c r="P64" s="634"/>
      <c r="Q64" s="635"/>
      <c r="R64" s="636"/>
    </row>
    <row r="65" spans="1:18" ht="30.6" customHeight="1">
      <c r="A65" s="59" t="s">
        <v>455</v>
      </c>
      <c r="B65" s="650" t="s">
        <v>178</v>
      </c>
      <c r="C65" s="650"/>
      <c r="D65" s="650" t="s">
        <v>72</v>
      </c>
      <c r="E65" s="650"/>
      <c r="F65" s="620" t="s">
        <v>922</v>
      </c>
      <c r="G65" s="621"/>
      <c r="H65" s="621"/>
      <c r="I65" s="622"/>
      <c r="J65" s="532" t="s">
        <v>1464</v>
      </c>
      <c r="K65" s="537" t="s">
        <v>1441</v>
      </c>
      <c r="L65" s="97" t="s">
        <v>436</v>
      </c>
      <c r="M65" s="25">
        <v>140</v>
      </c>
      <c r="N65" s="25">
        <v>1</v>
      </c>
      <c r="O65" s="32">
        <v>5140</v>
      </c>
      <c r="P65" s="660" t="s">
        <v>458</v>
      </c>
      <c r="Q65" s="660"/>
      <c r="R65" s="660"/>
    </row>
    <row r="66" spans="1:18">
      <c r="A66" s="73" t="s">
        <v>794</v>
      </c>
      <c r="B66" s="650" t="s">
        <v>211</v>
      </c>
      <c r="C66" s="650"/>
      <c r="D66" s="650" t="s">
        <v>72</v>
      </c>
      <c r="E66" s="650"/>
      <c r="F66" s="651" t="s">
        <v>465</v>
      </c>
      <c r="G66" s="651"/>
      <c r="H66" s="651"/>
      <c r="I66" s="651"/>
      <c r="J66" s="25" t="s">
        <v>1298</v>
      </c>
      <c r="K66" s="25"/>
      <c r="L66" s="97" t="s">
        <v>436</v>
      </c>
      <c r="M66" s="25">
        <v>140</v>
      </c>
      <c r="N66" s="25">
        <v>2</v>
      </c>
      <c r="O66" s="32">
        <v>20280</v>
      </c>
      <c r="P66" s="660" t="s">
        <v>909</v>
      </c>
      <c r="Q66" s="660"/>
      <c r="R66" s="660"/>
    </row>
    <row r="67" spans="1:18">
      <c r="A67" s="184" t="s">
        <v>464</v>
      </c>
      <c r="B67" s="650" t="s">
        <v>147</v>
      </c>
      <c r="C67" s="650"/>
      <c r="D67" s="650" t="s">
        <v>49</v>
      </c>
      <c r="E67" s="650"/>
      <c r="F67" s="651" t="s">
        <v>966</v>
      </c>
      <c r="G67" s="651"/>
      <c r="H67" s="651"/>
      <c r="I67" s="651"/>
      <c r="J67" s="25" t="s">
        <v>1571</v>
      </c>
      <c r="K67" s="25" t="s">
        <v>1573</v>
      </c>
      <c r="L67" s="97" t="s">
        <v>425</v>
      </c>
      <c r="M67" s="25">
        <v>140</v>
      </c>
      <c r="N67" s="25">
        <v>3</v>
      </c>
      <c r="O67" s="32">
        <v>4020</v>
      </c>
      <c r="P67" s="660" t="s">
        <v>976</v>
      </c>
      <c r="Q67" s="660"/>
      <c r="R67" s="660"/>
    </row>
    <row r="68" spans="1:18">
      <c r="A68" s="73" t="s">
        <v>467</v>
      </c>
      <c r="B68" s="650" t="s">
        <v>147</v>
      </c>
      <c r="C68" s="650"/>
      <c r="D68" s="650" t="s">
        <v>49</v>
      </c>
      <c r="E68" s="650"/>
      <c r="F68" s="651" t="s">
        <v>1150</v>
      </c>
      <c r="G68" s="651"/>
      <c r="H68" s="651"/>
      <c r="I68" s="651"/>
      <c r="J68" s="25" t="s">
        <v>1572</v>
      </c>
      <c r="K68" s="25" t="s">
        <v>1573</v>
      </c>
      <c r="L68" s="97" t="s">
        <v>1169</v>
      </c>
      <c r="M68" s="422">
        <v>140</v>
      </c>
      <c r="N68" s="323">
        <v>1</v>
      </c>
      <c r="O68" s="32">
        <v>2640</v>
      </c>
      <c r="P68" s="652" t="s">
        <v>977</v>
      </c>
      <c r="Q68" s="623"/>
      <c r="R68" s="624"/>
    </row>
    <row r="69" spans="1:18" ht="30.6" customHeight="1">
      <c r="A69" s="229" t="s">
        <v>908</v>
      </c>
      <c r="B69" s="650" t="s">
        <v>147</v>
      </c>
      <c r="C69" s="650"/>
      <c r="D69" s="650" t="s">
        <v>49</v>
      </c>
      <c r="E69" s="650"/>
      <c r="F69" s="651" t="s">
        <v>441</v>
      </c>
      <c r="G69" s="651"/>
      <c r="H69" s="651"/>
      <c r="I69" s="651"/>
      <c r="J69" s="296" t="s">
        <v>1294</v>
      </c>
      <c r="K69" s="269" t="s">
        <v>1440</v>
      </c>
      <c r="L69" s="97" t="s">
        <v>425</v>
      </c>
      <c r="M69" s="25">
        <v>140</v>
      </c>
      <c r="N69" s="25">
        <v>1</v>
      </c>
      <c r="O69" s="32">
        <v>20140</v>
      </c>
      <c r="P69" s="660" t="s">
        <v>877</v>
      </c>
      <c r="Q69" s="660"/>
      <c r="R69" s="660"/>
    </row>
    <row r="70" spans="1:18" ht="30.6" customHeight="1">
      <c r="A70" s="73" t="s">
        <v>473</v>
      </c>
      <c r="B70" s="618" t="s">
        <v>485</v>
      </c>
      <c r="C70" s="619"/>
      <c r="D70" s="618" t="s">
        <v>49</v>
      </c>
      <c r="E70" s="619"/>
      <c r="F70" s="620" t="s">
        <v>1149</v>
      </c>
      <c r="G70" s="621"/>
      <c r="H70" s="621"/>
      <c r="I70" s="622"/>
      <c r="J70" s="304" t="s">
        <v>1465</v>
      </c>
      <c r="K70" s="538" t="s">
        <v>1470</v>
      </c>
      <c r="L70" s="97" t="s">
        <v>425</v>
      </c>
      <c r="M70" s="25">
        <v>140</v>
      </c>
      <c r="N70" s="25">
        <v>1</v>
      </c>
      <c r="O70" s="32">
        <v>13140</v>
      </c>
      <c r="P70" s="652" t="s">
        <v>876</v>
      </c>
      <c r="Q70" s="623"/>
      <c r="R70" s="624"/>
    </row>
    <row r="71" spans="1:18" ht="18.600000000000001" customHeight="1">
      <c r="A71" s="59" t="s">
        <v>476</v>
      </c>
      <c r="B71" s="679" t="s">
        <v>868</v>
      </c>
      <c r="C71" s="680"/>
      <c r="D71" s="650" t="s">
        <v>240</v>
      </c>
      <c r="E71" s="650"/>
      <c r="F71" s="681" t="s">
        <v>1188</v>
      </c>
      <c r="G71" s="682"/>
      <c r="H71" s="682"/>
      <c r="I71" s="683"/>
      <c r="J71" s="255" t="s">
        <v>1296</v>
      </c>
      <c r="K71" s="96"/>
      <c r="L71" s="76" t="s">
        <v>425</v>
      </c>
      <c r="M71" s="320">
        <v>140</v>
      </c>
      <c r="N71" s="320">
        <v>1</v>
      </c>
      <c r="O71" s="463">
        <v>8140</v>
      </c>
      <c r="P71" s="674" t="s">
        <v>901</v>
      </c>
      <c r="Q71" s="675"/>
      <c r="R71" s="676"/>
    </row>
    <row r="72" spans="1:18" ht="18.600000000000001" customHeight="1">
      <c r="A72" s="739" t="s">
        <v>480</v>
      </c>
      <c r="B72" s="661" t="s">
        <v>10</v>
      </c>
      <c r="C72" s="661"/>
      <c r="D72" s="661" t="s">
        <v>43</v>
      </c>
      <c r="E72" s="661"/>
      <c r="F72" s="659" t="s">
        <v>185</v>
      </c>
      <c r="G72" s="659"/>
      <c r="H72" s="659"/>
      <c r="I72" s="659"/>
      <c r="J72" s="685" t="s">
        <v>1469</v>
      </c>
      <c r="K72" s="738" t="s">
        <v>982</v>
      </c>
      <c r="L72" s="88"/>
      <c r="M72" s="8">
        <v>140</v>
      </c>
      <c r="N72" s="8">
        <v>1</v>
      </c>
      <c r="O72" s="124">
        <v>10140</v>
      </c>
      <c r="P72" s="660" t="s">
        <v>1414</v>
      </c>
      <c r="Q72" s="660"/>
      <c r="R72" s="660"/>
    </row>
    <row r="73" spans="1:18" ht="18.600000000000001" customHeight="1">
      <c r="A73" s="739"/>
      <c r="B73" s="661" t="s">
        <v>13</v>
      </c>
      <c r="C73" s="661"/>
      <c r="D73" s="661" t="s">
        <v>49</v>
      </c>
      <c r="E73" s="661"/>
      <c r="F73" s="659" t="s">
        <v>69</v>
      </c>
      <c r="G73" s="659"/>
      <c r="H73" s="659"/>
      <c r="I73" s="659"/>
      <c r="J73" s="686"/>
      <c r="K73" s="705"/>
      <c r="L73" s="88"/>
      <c r="M73" s="8"/>
      <c r="N73" s="8"/>
      <c r="O73" s="124"/>
      <c r="P73" s="660"/>
      <c r="Q73" s="660"/>
      <c r="R73" s="660"/>
    </row>
    <row r="74" spans="1:18" ht="19.2">
      <c r="A74" s="278" t="s">
        <v>1367</v>
      </c>
      <c r="B74" s="272"/>
      <c r="C74" s="270"/>
      <c r="D74" s="271"/>
      <c r="E74" s="205"/>
      <c r="F74" s="206"/>
      <c r="G74" s="206"/>
      <c r="H74" s="206"/>
      <c r="I74" s="206"/>
      <c r="J74" s="207"/>
      <c r="K74" s="207"/>
      <c r="L74" s="207"/>
      <c r="M74" s="207"/>
      <c r="N74" s="207"/>
      <c r="O74" s="466"/>
      <c r="P74" s="214"/>
      <c r="Q74" s="214"/>
      <c r="R74" s="214"/>
    </row>
  </sheetData>
  <mergeCells count="297">
    <mergeCell ref="V40:W40"/>
    <mergeCell ref="X40:AC40"/>
    <mergeCell ref="V41:W41"/>
    <mergeCell ref="X41:AC41"/>
    <mergeCell ref="V42:W42"/>
    <mergeCell ref="X42:AC42"/>
    <mergeCell ref="V43:W43"/>
    <mergeCell ref="X43:AC43"/>
    <mergeCell ref="U40:U43"/>
    <mergeCell ref="P4:R5"/>
    <mergeCell ref="A6:A7"/>
    <mergeCell ref="B6:C6"/>
    <mergeCell ref="D6:E6"/>
    <mergeCell ref="F6:I6"/>
    <mergeCell ref="J6:J7"/>
    <mergeCell ref="K6:K7"/>
    <mergeCell ref="P6:R7"/>
    <mergeCell ref="B7:C7"/>
    <mergeCell ref="D7:E7"/>
    <mergeCell ref="F7:I7"/>
    <mergeCell ref="A4:A5"/>
    <mergeCell ref="B4:C5"/>
    <mergeCell ref="D4:E5"/>
    <mergeCell ref="F4:I5"/>
    <mergeCell ref="J4:J5"/>
    <mergeCell ref="K4:K5"/>
    <mergeCell ref="M4:M5"/>
    <mergeCell ref="N4:N5"/>
    <mergeCell ref="O4:O5"/>
    <mergeCell ref="A8:A9"/>
    <mergeCell ref="B8:C8"/>
    <mergeCell ref="D8:E8"/>
    <mergeCell ref="F8:I8"/>
    <mergeCell ref="J8:J9"/>
    <mergeCell ref="K8:K9"/>
    <mergeCell ref="P8:R9"/>
    <mergeCell ref="B9:C9"/>
    <mergeCell ref="D9:E9"/>
    <mergeCell ref="F9:I9"/>
    <mergeCell ref="A10:A11"/>
    <mergeCell ref="B10:C10"/>
    <mergeCell ref="D10:E10"/>
    <mergeCell ref="F10:I10"/>
    <mergeCell ref="J10:J11"/>
    <mergeCell ref="K10:K11"/>
    <mergeCell ref="P10:R11"/>
    <mergeCell ref="B11:C11"/>
    <mergeCell ref="D11:E11"/>
    <mergeCell ref="F11:I11"/>
    <mergeCell ref="A12:A13"/>
    <mergeCell ref="B12:C12"/>
    <mergeCell ref="D12:E12"/>
    <mergeCell ref="F12:I12"/>
    <mergeCell ref="J12:J13"/>
    <mergeCell ref="K12:K13"/>
    <mergeCell ref="P12:R13"/>
    <mergeCell ref="B13:C13"/>
    <mergeCell ref="D13:E13"/>
    <mergeCell ref="F13:I13"/>
    <mergeCell ref="A14:A15"/>
    <mergeCell ref="B14:C14"/>
    <mergeCell ref="D14:E14"/>
    <mergeCell ref="F14:I14"/>
    <mergeCell ref="J14:J15"/>
    <mergeCell ref="K14:K15"/>
    <mergeCell ref="P14:R15"/>
    <mergeCell ref="B15:C15"/>
    <mergeCell ref="D15:E15"/>
    <mergeCell ref="F15:I15"/>
    <mergeCell ref="B16:C16"/>
    <mergeCell ref="D16:E16"/>
    <mergeCell ref="F16:I16"/>
    <mergeCell ref="P16:R16"/>
    <mergeCell ref="B17:C17"/>
    <mergeCell ref="D17:E17"/>
    <mergeCell ref="F17:I17"/>
    <mergeCell ref="P17:R17"/>
    <mergeCell ref="B18:C18"/>
    <mergeCell ref="D18:E18"/>
    <mergeCell ref="F18:I18"/>
    <mergeCell ref="P18:R18"/>
    <mergeCell ref="B19:C19"/>
    <mergeCell ref="D19:E19"/>
    <mergeCell ref="F19:I19"/>
    <mergeCell ref="P19:R19"/>
    <mergeCell ref="B20:C20"/>
    <mergeCell ref="D20:E20"/>
    <mergeCell ref="F20:I20"/>
    <mergeCell ref="P20:R20"/>
    <mergeCell ref="A21:A23"/>
    <mergeCell ref="B21:C21"/>
    <mergeCell ref="D21:E21"/>
    <mergeCell ref="F21:I21"/>
    <mergeCell ref="J21:J23"/>
    <mergeCell ref="K21:K23"/>
    <mergeCell ref="P21:R23"/>
    <mergeCell ref="B22:C22"/>
    <mergeCell ref="D22:E22"/>
    <mergeCell ref="F22:I22"/>
    <mergeCell ref="B23:C23"/>
    <mergeCell ref="D23:E23"/>
    <mergeCell ref="F23:I23"/>
    <mergeCell ref="A24:A26"/>
    <mergeCell ref="B24:C24"/>
    <mergeCell ref="D24:E24"/>
    <mergeCell ref="F24:I24"/>
    <mergeCell ref="J24:J26"/>
    <mergeCell ref="K24:K26"/>
    <mergeCell ref="P24:R26"/>
    <mergeCell ref="B25:C25"/>
    <mergeCell ref="D25:E25"/>
    <mergeCell ref="F25:I25"/>
    <mergeCell ref="B26:C26"/>
    <mergeCell ref="D26:E26"/>
    <mergeCell ref="F26:I26"/>
    <mergeCell ref="B27:C27"/>
    <mergeCell ref="D27:E27"/>
    <mergeCell ref="F27:I27"/>
    <mergeCell ref="P27:R27"/>
    <mergeCell ref="B28:C28"/>
    <mergeCell ref="D28:E28"/>
    <mergeCell ref="F28:I28"/>
    <mergeCell ref="P28:R28"/>
    <mergeCell ref="B29:C29"/>
    <mergeCell ref="D29:E29"/>
    <mergeCell ref="F29:I29"/>
    <mergeCell ref="P29:R29"/>
    <mergeCell ref="B30:C30"/>
    <mergeCell ref="D30:E30"/>
    <mergeCell ref="F30:I30"/>
    <mergeCell ref="P30:R30"/>
    <mergeCell ref="B32:C32"/>
    <mergeCell ref="D32:E32"/>
    <mergeCell ref="F32:I32"/>
    <mergeCell ref="P32:R32"/>
    <mergeCell ref="B31:C31"/>
    <mergeCell ref="D31:E31"/>
    <mergeCell ref="F31:I31"/>
    <mergeCell ref="P31:R31"/>
    <mergeCell ref="B33:C33"/>
    <mergeCell ref="D33:E33"/>
    <mergeCell ref="F33:I33"/>
    <mergeCell ref="P33:R33"/>
    <mergeCell ref="A34:A35"/>
    <mergeCell ref="B34:C34"/>
    <mergeCell ref="D34:E34"/>
    <mergeCell ref="F34:I34"/>
    <mergeCell ref="J34:J35"/>
    <mergeCell ref="K34:K35"/>
    <mergeCell ref="P34:R35"/>
    <mergeCell ref="B35:C35"/>
    <mergeCell ref="D35:E35"/>
    <mergeCell ref="F35:I35"/>
    <mergeCell ref="P42:R43"/>
    <mergeCell ref="A44:A45"/>
    <mergeCell ref="B44:C44"/>
    <mergeCell ref="D44:E44"/>
    <mergeCell ref="F44:I44"/>
    <mergeCell ref="J44:J45"/>
    <mergeCell ref="K44:K45"/>
    <mergeCell ref="P44:R45"/>
    <mergeCell ref="B45:C45"/>
    <mergeCell ref="D45:E45"/>
    <mergeCell ref="F45:I45"/>
    <mergeCell ref="A42:A43"/>
    <mergeCell ref="B42:C43"/>
    <mergeCell ref="D42:E43"/>
    <mergeCell ref="F42:I43"/>
    <mergeCell ref="J42:J43"/>
    <mergeCell ref="K42:K43"/>
    <mergeCell ref="M42:M43"/>
    <mergeCell ref="N42:N43"/>
    <mergeCell ref="O42:O43"/>
    <mergeCell ref="A46:A47"/>
    <mergeCell ref="B46:C46"/>
    <mergeCell ref="D46:E46"/>
    <mergeCell ref="F46:I46"/>
    <mergeCell ref="J46:J47"/>
    <mergeCell ref="K46:K47"/>
    <mergeCell ref="P46:R47"/>
    <mergeCell ref="B47:C47"/>
    <mergeCell ref="D47:E47"/>
    <mergeCell ref="F47:I47"/>
    <mergeCell ref="A48:A49"/>
    <mergeCell ref="B48:C48"/>
    <mergeCell ref="D48:E48"/>
    <mergeCell ref="F48:I48"/>
    <mergeCell ref="J48:J49"/>
    <mergeCell ref="K48:K49"/>
    <mergeCell ref="P48:R49"/>
    <mergeCell ref="B49:C49"/>
    <mergeCell ref="D49:E49"/>
    <mergeCell ref="F49:I49"/>
    <mergeCell ref="A50:A51"/>
    <mergeCell ref="B50:C50"/>
    <mergeCell ref="D50:E50"/>
    <mergeCell ref="F50:I50"/>
    <mergeCell ref="J50:J51"/>
    <mergeCell ref="K50:K51"/>
    <mergeCell ref="P50:R51"/>
    <mergeCell ref="B51:C51"/>
    <mergeCell ref="D51:E51"/>
    <mergeCell ref="F51:I51"/>
    <mergeCell ref="A52:A53"/>
    <mergeCell ref="B52:C52"/>
    <mergeCell ref="D52:E52"/>
    <mergeCell ref="F52:I52"/>
    <mergeCell ref="J52:J53"/>
    <mergeCell ref="K52:K53"/>
    <mergeCell ref="P52:R53"/>
    <mergeCell ref="B53:C53"/>
    <mergeCell ref="D53:E53"/>
    <mergeCell ref="F53:I53"/>
    <mergeCell ref="B54:C54"/>
    <mergeCell ref="D54:E54"/>
    <mergeCell ref="F54:I54"/>
    <mergeCell ref="P54:R54"/>
    <mergeCell ref="B55:C55"/>
    <mergeCell ref="D55:E55"/>
    <mergeCell ref="F55:I55"/>
    <mergeCell ref="P55:R55"/>
    <mergeCell ref="B56:C56"/>
    <mergeCell ref="D56:E56"/>
    <mergeCell ref="F56:I56"/>
    <mergeCell ref="P56:R56"/>
    <mergeCell ref="B57:C57"/>
    <mergeCell ref="D57:E57"/>
    <mergeCell ref="F57:I57"/>
    <mergeCell ref="P57:R57"/>
    <mergeCell ref="B58:C58"/>
    <mergeCell ref="D58:E58"/>
    <mergeCell ref="F58:I58"/>
    <mergeCell ref="P58:R58"/>
    <mergeCell ref="A59:A61"/>
    <mergeCell ref="B59:C59"/>
    <mergeCell ref="D59:E59"/>
    <mergeCell ref="F59:I59"/>
    <mergeCell ref="J59:J61"/>
    <mergeCell ref="K59:K61"/>
    <mergeCell ref="P59:R61"/>
    <mergeCell ref="B60:C60"/>
    <mergeCell ref="D60:E60"/>
    <mergeCell ref="F60:I60"/>
    <mergeCell ref="B61:C61"/>
    <mergeCell ref="D61:E61"/>
    <mergeCell ref="F61:I61"/>
    <mergeCell ref="A62:A64"/>
    <mergeCell ref="B62:C62"/>
    <mergeCell ref="D62:E62"/>
    <mergeCell ref="F62:I62"/>
    <mergeCell ref="J62:J64"/>
    <mergeCell ref="K62:K64"/>
    <mergeCell ref="P62:R64"/>
    <mergeCell ref="B63:C63"/>
    <mergeCell ref="D63:E63"/>
    <mergeCell ref="F63:I63"/>
    <mergeCell ref="B64:C64"/>
    <mergeCell ref="D64:E64"/>
    <mergeCell ref="F64:I64"/>
    <mergeCell ref="B65:C65"/>
    <mergeCell ref="D65:E65"/>
    <mergeCell ref="F65:I65"/>
    <mergeCell ref="P65:R65"/>
    <mergeCell ref="B66:C66"/>
    <mergeCell ref="D66:E66"/>
    <mergeCell ref="F66:I66"/>
    <mergeCell ref="P66:R66"/>
    <mergeCell ref="B67:C67"/>
    <mergeCell ref="D67:E67"/>
    <mergeCell ref="F67:I67"/>
    <mergeCell ref="P67:R67"/>
    <mergeCell ref="B68:C68"/>
    <mergeCell ref="D68:E68"/>
    <mergeCell ref="F68:I68"/>
    <mergeCell ref="P68:R68"/>
    <mergeCell ref="B69:C69"/>
    <mergeCell ref="D69:E69"/>
    <mergeCell ref="F69:I69"/>
    <mergeCell ref="P69:R69"/>
    <mergeCell ref="B70:C70"/>
    <mergeCell ref="D70:E70"/>
    <mergeCell ref="F70:I70"/>
    <mergeCell ref="P70:R70"/>
    <mergeCell ref="B71:C71"/>
    <mergeCell ref="D71:E71"/>
    <mergeCell ref="F71:I71"/>
    <mergeCell ref="P71:R71"/>
    <mergeCell ref="A72:A73"/>
    <mergeCell ref="B72:C72"/>
    <mergeCell ref="D72:E72"/>
    <mergeCell ref="F72:I72"/>
    <mergeCell ref="J72:J73"/>
    <mergeCell ref="K72:K73"/>
    <mergeCell ref="P72:R73"/>
    <mergeCell ref="B73:C73"/>
    <mergeCell ref="D73:E73"/>
    <mergeCell ref="F73:I73"/>
  </mergeCells>
  <phoneticPr fontId="11"/>
  <printOptions horizontalCentered="1" verticalCentered="1"/>
  <pageMargins left="0.11811023622047245" right="0.11811023622047245" top="0.11811023622047245" bottom="0.11811023622047245" header="0.11811023622047245" footer="0.11811023622047245"/>
  <pageSetup paperSize="9" scale="74" fitToWidth="0" fitToHeight="0" orientation="landscape" r:id="rId1"/>
  <rowBreaks count="1" manualBreakCount="1">
    <brk id="38" max="17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07FA-BB0D-4EF4-88DA-B8D0AD6C4927}">
  <sheetPr>
    <tabColor rgb="FF00B050"/>
  </sheetPr>
  <dimension ref="A1:AF114"/>
  <sheetViews>
    <sheetView view="pageBreakPreview" topLeftCell="A61" zoomScale="85" zoomScaleNormal="100" zoomScaleSheetLayoutView="85" workbookViewId="0">
      <selection activeCell="A39" sqref="A39"/>
    </sheetView>
  </sheetViews>
  <sheetFormatPr defaultRowHeight="18"/>
  <cols>
    <col min="1" max="1" width="5.69921875" customWidth="1"/>
    <col min="2" max="3" width="7.59765625" customWidth="1"/>
    <col min="4" max="5" width="5.69921875" customWidth="1"/>
    <col min="6" max="9" width="8.69921875" customWidth="1"/>
    <col min="10" max="11" width="30.69921875" customWidth="1"/>
    <col min="12" max="12" width="7.59765625" customWidth="1"/>
    <col min="13" max="13" width="5.69921875" customWidth="1"/>
    <col min="14" max="14" width="5.69921875" style="330" customWidth="1"/>
    <col min="15" max="15" width="5.69921875" customWidth="1"/>
    <col min="16" max="18" width="11.09765625" customWidth="1"/>
  </cols>
  <sheetData>
    <row r="1" spans="1:18" ht="18.75" customHeight="1">
      <c r="A1" s="262" t="s">
        <v>967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69"/>
      <c r="O1" s="39"/>
      <c r="P1" s="39"/>
      <c r="Q1" s="39"/>
      <c r="R1" s="39"/>
    </row>
    <row r="2" spans="1:18" ht="18.75" customHeight="1">
      <c r="A2" s="267" t="s">
        <v>1183</v>
      </c>
      <c r="B2" s="464"/>
      <c r="C2" s="464"/>
      <c r="D2" s="464"/>
      <c r="E2" s="39"/>
      <c r="F2" s="39"/>
      <c r="G2" s="39"/>
      <c r="H2" s="39"/>
      <c r="I2" s="39"/>
      <c r="J2" s="39"/>
      <c r="K2" s="39"/>
      <c r="L2" s="465"/>
      <c r="M2" s="39"/>
      <c r="N2" s="469"/>
      <c r="O2" s="39"/>
      <c r="P2" s="39"/>
      <c r="Q2" s="39"/>
      <c r="R2" s="39"/>
    </row>
    <row r="3" spans="1:18" ht="15.9" customHeight="1">
      <c r="A3" s="49" t="s">
        <v>366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469"/>
      <c r="O3" s="39"/>
      <c r="P3" s="39"/>
      <c r="Q3" s="709" t="s">
        <v>983</v>
      </c>
      <c r="R3" s="709"/>
    </row>
    <row r="4" spans="1:18" ht="15.9" customHeight="1">
      <c r="A4" s="710" t="s">
        <v>2</v>
      </c>
      <c r="B4" s="712" t="s">
        <v>3</v>
      </c>
      <c r="C4" s="712"/>
      <c r="D4" s="650" t="s">
        <v>4</v>
      </c>
      <c r="E4" s="650"/>
      <c r="F4" s="712" t="s">
        <v>5</v>
      </c>
      <c r="G4" s="712"/>
      <c r="H4" s="712"/>
      <c r="I4" s="712"/>
      <c r="J4" s="713" t="s">
        <v>491</v>
      </c>
      <c r="K4" s="715" t="s">
        <v>7</v>
      </c>
      <c r="L4" s="185" t="s">
        <v>1168</v>
      </c>
      <c r="M4" s="696" t="s">
        <v>1095</v>
      </c>
      <c r="N4" s="716" t="s">
        <v>1096</v>
      </c>
      <c r="O4" s="715" t="s">
        <v>1097</v>
      </c>
      <c r="P4" s="674" t="s">
        <v>8</v>
      </c>
      <c r="Q4" s="675"/>
      <c r="R4" s="676"/>
    </row>
    <row r="5" spans="1:18" ht="15.9" customHeight="1">
      <c r="A5" s="711"/>
      <c r="B5" s="712"/>
      <c r="C5" s="712"/>
      <c r="D5" s="650"/>
      <c r="E5" s="650"/>
      <c r="F5" s="712"/>
      <c r="G5" s="712"/>
      <c r="H5" s="712"/>
      <c r="I5" s="712"/>
      <c r="J5" s="714"/>
      <c r="K5" s="715"/>
      <c r="L5" s="186" t="s">
        <v>1170</v>
      </c>
      <c r="M5" s="706"/>
      <c r="N5" s="717"/>
      <c r="O5" s="715"/>
      <c r="P5" s="674"/>
      <c r="Q5" s="675"/>
      <c r="R5" s="676"/>
    </row>
    <row r="6" spans="1:18" ht="18.600000000000001" customHeight="1">
      <c r="A6" s="59" t="s">
        <v>233</v>
      </c>
      <c r="B6" s="706" t="s">
        <v>178</v>
      </c>
      <c r="C6" s="706"/>
      <c r="D6" s="650" t="s">
        <v>240</v>
      </c>
      <c r="E6" s="650"/>
      <c r="F6" s="707" t="s">
        <v>1067</v>
      </c>
      <c r="G6" s="707"/>
      <c r="H6" s="707"/>
      <c r="I6" s="707"/>
      <c r="J6" s="23" t="s">
        <v>1303</v>
      </c>
      <c r="K6" s="536" t="s">
        <v>986</v>
      </c>
      <c r="L6" s="93" t="s">
        <v>425</v>
      </c>
      <c r="M6" s="422">
        <v>130</v>
      </c>
      <c r="N6" s="323">
        <v>1</v>
      </c>
      <c r="O6" s="43">
        <v>20130</v>
      </c>
      <c r="P6" s="708" t="s">
        <v>873</v>
      </c>
      <c r="Q6" s="708"/>
      <c r="R6" s="708"/>
    </row>
    <row r="7" spans="1:18" ht="18.75" customHeight="1">
      <c r="A7" s="57" t="s">
        <v>239</v>
      </c>
      <c r="B7" s="618" t="s">
        <v>236</v>
      </c>
      <c r="C7" s="619"/>
      <c r="D7" s="618" t="s">
        <v>49</v>
      </c>
      <c r="E7" s="619"/>
      <c r="F7" s="620" t="s">
        <v>1171</v>
      </c>
      <c r="G7" s="621"/>
      <c r="H7" s="621"/>
      <c r="I7" s="622"/>
      <c r="J7" s="15" t="s">
        <v>1228</v>
      </c>
      <c r="K7" s="15"/>
      <c r="L7" s="97" t="s">
        <v>436</v>
      </c>
      <c r="M7" s="422">
        <v>130</v>
      </c>
      <c r="N7" s="323">
        <v>1</v>
      </c>
      <c r="O7" s="32">
        <v>12130</v>
      </c>
      <c r="P7" s="652" t="s">
        <v>426</v>
      </c>
      <c r="Q7" s="623"/>
      <c r="R7" s="624"/>
    </row>
    <row r="8" spans="1:18" ht="18.75" customHeight="1">
      <c r="A8" s="614" t="s">
        <v>242</v>
      </c>
      <c r="B8" s="661" t="s">
        <v>10</v>
      </c>
      <c r="C8" s="661"/>
      <c r="D8" s="661" t="s">
        <v>11</v>
      </c>
      <c r="E8" s="661"/>
      <c r="F8" s="659" t="s">
        <v>415</v>
      </c>
      <c r="G8" s="659"/>
      <c r="H8" s="659"/>
      <c r="I8" s="659"/>
      <c r="J8" s="625" t="s">
        <v>1355</v>
      </c>
      <c r="K8" s="704" t="s">
        <v>1074</v>
      </c>
      <c r="L8" s="88"/>
      <c r="M8" s="423">
        <v>130</v>
      </c>
      <c r="N8" s="324">
        <v>1</v>
      </c>
      <c r="O8" s="124">
        <v>10130</v>
      </c>
      <c r="P8" s="656" t="s">
        <v>875</v>
      </c>
      <c r="Q8" s="657"/>
      <c r="R8" s="658"/>
    </row>
    <row r="9" spans="1:18" ht="18.75" customHeight="1">
      <c r="A9" s="616"/>
      <c r="B9" s="700" t="s">
        <v>13</v>
      </c>
      <c r="C9" s="701"/>
      <c r="D9" s="661" t="s">
        <v>11</v>
      </c>
      <c r="E9" s="661"/>
      <c r="F9" s="659" t="s">
        <v>418</v>
      </c>
      <c r="G9" s="659"/>
      <c r="H9" s="659"/>
      <c r="I9" s="659"/>
      <c r="J9" s="627"/>
      <c r="K9" s="705"/>
      <c r="L9" s="88"/>
      <c r="M9" s="423"/>
      <c r="N9" s="324"/>
      <c r="O9" s="124"/>
      <c r="P9" s="634"/>
      <c r="Q9" s="635"/>
      <c r="R9" s="636"/>
    </row>
    <row r="10" spans="1:18" ht="18.75" customHeight="1">
      <c r="A10" s="614" t="s">
        <v>807</v>
      </c>
      <c r="B10" s="661" t="s">
        <v>10</v>
      </c>
      <c r="C10" s="661"/>
      <c r="D10" s="661" t="s">
        <v>43</v>
      </c>
      <c r="E10" s="661"/>
      <c r="F10" s="653" t="s">
        <v>823</v>
      </c>
      <c r="G10" s="653"/>
      <c r="H10" s="653"/>
      <c r="I10" s="653"/>
      <c r="J10" s="625" t="s">
        <v>1304</v>
      </c>
      <c r="K10" s="703"/>
      <c r="L10" s="88"/>
      <c r="M10" s="423">
        <v>130</v>
      </c>
      <c r="N10" s="324">
        <v>1</v>
      </c>
      <c r="O10" s="124">
        <v>1130</v>
      </c>
      <c r="P10" s="656" t="s">
        <v>874</v>
      </c>
      <c r="Q10" s="657"/>
      <c r="R10" s="658"/>
    </row>
    <row r="11" spans="1:18" ht="18.75" customHeight="1">
      <c r="A11" s="616"/>
      <c r="B11" s="700" t="s">
        <v>13</v>
      </c>
      <c r="C11" s="701"/>
      <c r="D11" s="661" t="s">
        <v>11</v>
      </c>
      <c r="E11" s="661"/>
      <c r="F11" s="653" t="s">
        <v>414</v>
      </c>
      <c r="G11" s="653"/>
      <c r="H11" s="653"/>
      <c r="I11" s="653"/>
      <c r="J11" s="627"/>
      <c r="K11" s="673"/>
      <c r="L11" s="88"/>
      <c r="M11" s="423"/>
      <c r="N11" s="324"/>
      <c r="O11" s="124"/>
      <c r="P11" s="634"/>
      <c r="Q11" s="635"/>
      <c r="R11" s="636"/>
    </row>
    <row r="12" spans="1:18" ht="18.75" customHeight="1">
      <c r="A12" s="614" t="s">
        <v>808</v>
      </c>
      <c r="B12" s="661" t="s">
        <v>35</v>
      </c>
      <c r="C12" s="661"/>
      <c r="D12" s="661" t="s">
        <v>11</v>
      </c>
      <c r="E12" s="661"/>
      <c r="F12" s="699" t="s">
        <v>303</v>
      </c>
      <c r="G12" s="699"/>
      <c r="H12" s="699"/>
      <c r="I12" s="699"/>
      <c r="J12" s="685"/>
      <c r="K12" s="702" t="s">
        <v>37</v>
      </c>
      <c r="L12" s="88"/>
      <c r="M12" s="423">
        <v>130</v>
      </c>
      <c r="N12" s="324">
        <v>1</v>
      </c>
      <c r="O12" s="124">
        <v>1000</v>
      </c>
      <c r="P12" s="660" t="s">
        <v>38</v>
      </c>
      <c r="Q12" s="660"/>
      <c r="R12" s="660"/>
    </row>
    <row r="13" spans="1:18" ht="18.75" customHeight="1">
      <c r="A13" s="616"/>
      <c r="B13" s="661" t="s">
        <v>304</v>
      </c>
      <c r="C13" s="661"/>
      <c r="D13" s="661" t="s">
        <v>11</v>
      </c>
      <c r="E13" s="661"/>
      <c r="F13" s="699" t="s">
        <v>393</v>
      </c>
      <c r="G13" s="699"/>
      <c r="H13" s="699"/>
      <c r="I13" s="699"/>
      <c r="J13" s="686"/>
      <c r="K13" s="691"/>
      <c r="L13" s="88"/>
      <c r="M13" s="423"/>
      <c r="N13" s="324"/>
      <c r="O13" s="124"/>
      <c r="P13" s="660"/>
      <c r="Q13" s="660"/>
      <c r="R13" s="660"/>
    </row>
    <row r="14" spans="1:18" ht="30.6" customHeight="1">
      <c r="A14" s="59" t="s">
        <v>549</v>
      </c>
      <c r="B14" s="618" t="s">
        <v>164</v>
      </c>
      <c r="C14" s="619"/>
      <c r="D14" s="618" t="s">
        <v>63</v>
      </c>
      <c r="E14" s="619"/>
      <c r="F14" s="620" t="s">
        <v>788</v>
      </c>
      <c r="G14" s="621"/>
      <c r="H14" s="621"/>
      <c r="I14" s="622"/>
      <c r="J14" s="269" t="s">
        <v>1230</v>
      </c>
      <c r="K14" s="25"/>
      <c r="L14" s="93" t="s">
        <v>425</v>
      </c>
      <c r="M14" s="422">
        <v>130</v>
      </c>
      <c r="N14" s="323">
        <v>1</v>
      </c>
      <c r="O14" s="32">
        <v>5130</v>
      </c>
      <c r="P14" s="652" t="s">
        <v>871</v>
      </c>
      <c r="Q14" s="623"/>
      <c r="R14" s="624"/>
    </row>
    <row r="15" spans="1:18" ht="18.75" customHeight="1">
      <c r="A15" s="57" t="s">
        <v>434</v>
      </c>
      <c r="B15" s="696" t="s">
        <v>1114</v>
      </c>
      <c r="C15" s="696"/>
      <c r="D15" s="696" t="s">
        <v>1115</v>
      </c>
      <c r="E15" s="696"/>
      <c r="F15" s="697" t="s">
        <v>1116</v>
      </c>
      <c r="G15" s="697"/>
      <c r="H15" s="697"/>
      <c r="I15" s="697"/>
      <c r="J15" s="67" t="s">
        <v>1305</v>
      </c>
      <c r="K15" s="67"/>
      <c r="L15" s="97" t="s">
        <v>425</v>
      </c>
      <c r="M15" s="422">
        <v>130</v>
      </c>
      <c r="N15" s="323">
        <v>1</v>
      </c>
      <c r="O15" s="52">
        <v>10130</v>
      </c>
      <c r="P15" s="698" t="s">
        <v>438</v>
      </c>
      <c r="Q15" s="698"/>
      <c r="R15" s="698"/>
    </row>
    <row r="16" spans="1:18" ht="30" customHeight="1">
      <c r="A16" s="229" t="s">
        <v>309</v>
      </c>
      <c r="B16" s="650" t="s">
        <v>147</v>
      </c>
      <c r="C16" s="650"/>
      <c r="D16" s="650" t="s">
        <v>49</v>
      </c>
      <c r="E16" s="650"/>
      <c r="F16" s="651" t="s">
        <v>441</v>
      </c>
      <c r="G16" s="651"/>
      <c r="H16" s="651"/>
      <c r="I16" s="651"/>
      <c r="J16" s="296" t="s">
        <v>1306</v>
      </c>
      <c r="K16" s="269" t="s">
        <v>1290</v>
      </c>
      <c r="L16" s="113" t="s">
        <v>425</v>
      </c>
      <c r="M16" s="422">
        <v>130</v>
      </c>
      <c r="N16" s="323">
        <v>1</v>
      </c>
      <c r="O16" s="32">
        <v>4130</v>
      </c>
      <c r="P16" s="660" t="s">
        <v>872</v>
      </c>
      <c r="Q16" s="660"/>
      <c r="R16" s="660"/>
    </row>
    <row r="17" spans="1:22" ht="18.75" customHeight="1">
      <c r="A17" s="614" t="s">
        <v>809</v>
      </c>
      <c r="B17" s="661" t="s">
        <v>199</v>
      </c>
      <c r="C17" s="661"/>
      <c r="D17" s="661" t="s">
        <v>11</v>
      </c>
      <c r="E17" s="661"/>
      <c r="F17" s="659" t="s">
        <v>419</v>
      </c>
      <c r="G17" s="659"/>
      <c r="H17" s="659"/>
      <c r="I17" s="659"/>
      <c r="J17" s="689"/>
      <c r="K17" s="690" t="s">
        <v>420</v>
      </c>
      <c r="L17" s="88"/>
      <c r="M17" s="423">
        <v>130</v>
      </c>
      <c r="N17" s="324">
        <v>1</v>
      </c>
      <c r="O17" s="124">
        <v>2130</v>
      </c>
      <c r="P17" s="660" t="s">
        <v>323</v>
      </c>
      <c r="Q17" s="660"/>
      <c r="R17" s="660"/>
      <c r="V17" s="560"/>
    </row>
    <row r="18" spans="1:22" ht="18.75" customHeight="1">
      <c r="A18" s="616"/>
      <c r="B18" s="661" t="s">
        <v>202</v>
      </c>
      <c r="C18" s="661"/>
      <c r="D18" s="661" t="s">
        <v>11</v>
      </c>
      <c r="E18" s="661"/>
      <c r="F18" s="659" t="s">
        <v>203</v>
      </c>
      <c r="G18" s="659"/>
      <c r="H18" s="659"/>
      <c r="I18" s="659"/>
      <c r="J18" s="686"/>
      <c r="K18" s="691"/>
      <c r="L18" s="88"/>
      <c r="M18" s="423"/>
      <c r="N18" s="324"/>
      <c r="O18" s="124"/>
      <c r="P18" s="660"/>
      <c r="Q18" s="660"/>
      <c r="R18" s="660"/>
    </row>
    <row r="19" spans="1:22" ht="18.75" customHeight="1">
      <c r="A19" s="614" t="s">
        <v>127</v>
      </c>
      <c r="B19" s="661" t="s">
        <v>10</v>
      </c>
      <c r="C19" s="661"/>
      <c r="D19" s="661" t="s">
        <v>43</v>
      </c>
      <c r="E19" s="661"/>
      <c r="F19" s="659" t="s">
        <v>810</v>
      </c>
      <c r="G19" s="659"/>
      <c r="H19" s="659"/>
      <c r="I19" s="659"/>
      <c r="J19" s="685" t="s">
        <v>1228</v>
      </c>
      <c r="K19" s="687"/>
      <c r="L19" s="88"/>
      <c r="M19" s="423">
        <v>130</v>
      </c>
      <c r="N19" s="324">
        <v>1</v>
      </c>
      <c r="O19" s="124">
        <v>500</v>
      </c>
      <c r="P19" s="660" t="s">
        <v>12</v>
      </c>
      <c r="Q19" s="660"/>
      <c r="R19" s="660"/>
    </row>
    <row r="20" spans="1:22" ht="18.75" customHeight="1" thickBot="1">
      <c r="A20" s="684"/>
      <c r="B20" s="693" t="s">
        <v>13</v>
      </c>
      <c r="C20" s="694"/>
      <c r="D20" s="693" t="s">
        <v>14</v>
      </c>
      <c r="E20" s="694"/>
      <c r="F20" s="695" t="s">
        <v>811</v>
      </c>
      <c r="G20" s="695"/>
      <c r="H20" s="695"/>
      <c r="I20" s="695"/>
      <c r="J20" s="686"/>
      <c r="K20" s="688"/>
      <c r="L20" s="224"/>
      <c r="M20" s="424"/>
      <c r="N20" s="325"/>
      <c r="O20" s="363"/>
      <c r="P20" s="692"/>
      <c r="Q20" s="692"/>
      <c r="R20" s="692"/>
    </row>
    <row r="21" spans="1:22" ht="18.75" customHeight="1" thickTop="1">
      <c r="A21" s="664" t="s">
        <v>380</v>
      </c>
      <c r="B21" s="637" t="s">
        <v>10</v>
      </c>
      <c r="C21" s="637"/>
      <c r="D21" s="638" t="s">
        <v>14</v>
      </c>
      <c r="E21" s="639"/>
      <c r="F21" s="653" t="s">
        <v>445</v>
      </c>
      <c r="G21" s="653"/>
      <c r="H21" s="653"/>
      <c r="I21" s="653"/>
      <c r="J21" s="677" t="s">
        <v>1307</v>
      </c>
      <c r="K21" s="678" t="s">
        <v>986</v>
      </c>
      <c r="L21" s="108"/>
      <c r="M21" s="425">
        <v>130</v>
      </c>
      <c r="N21" s="326">
        <v>1</v>
      </c>
      <c r="O21" s="51">
        <v>2130</v>
      </c>
      <c r="P21" s="631" t="s">
        <v>825</v>
      </c>
      <c r="Q21" s="632"/>
      <c r="R21" s="633"/>
    </row>
    <row r="22" spans="1:22" ht="18.75" customHeight="1">
      <c r="A22" s="664"/>
      <c r="B22" s="637" t="s">
        <v>81</v>
      </c>
      <c r="C22" s="637"/>
      <c r="D22" s="638" t="s">
        <v>14</v>
      </c>
      <c r="E22" s="639"/>
      <c r="F22" s="653" t="s">
        <v>448</v>
      </c>
      <c r="G22" s="653"/>
      <c r="H22" s="653"/>
      <c r="I22" s="653"/>
      <c r="J22" s="626"/>
      <c r="K22" s="629"/>
      <c r="L22" s="108"/>
      <c r="M22" s="423"/>
      <c r="N22" s="324"/>
      <c r="O22" s="51"/>
      <c r="P22" s="631"/>
      <c r="Q22" s="632"/>
      <c r="R22" s="633"/>
    </row>
    <row r="23" spans="1:22" ht="18.75" customHeight="1">
      <c r="A23" s="665"/>
      <c r="B23" s="637" t="s">
        <v>83</v>
      </c>
      <c r="C23" s="637"/>
      <c r="D23" s="638" t="s">
        <v>11</v>
      </c>
      <c r="E23" s="639"/>
      <c r="F23" s="659" t="s">
        <v>1165</v>
      </c>
      <c r="G23" s="659"/>
      <c r="H23" s="659"/>
      <c r="I23" s="659"/>
      <c r="J23" s="627"/>
      <c r="K23" s="630"/>
      <c r="L23" s="108"/>
      <c r="M23" s="423"/>
      <c r="N23" s="324"/>
      <c r="O23" s="51"/>
      <c r="P23" s="634"/>
      <c r="Q23" s="635"/>
      <c r="R23" s="636"/>
    </row>
    <row r="24" spans="1:22" ht="18.75" customHeight="1">
      <c r="A24" s="59" t="s">
        <v>269</v>
      </c>
      <c r="B24" s="679" t="s">
        <v>868</v>
      </c>
      <c r="C24" s="680"/>
      <c r="D24" s="838" t="s">
        <v>240</v>
      </c>
      <c r="E24" s="838"/>
      <c r="F24" s="839" t="s">
        <v>1188</v>
      </c>
      <c r="G24" s="840"/>
      <c r="H24" s="840"/>
      <c r="I24" s="841"/>
      <c r="J24" s="255" t="s">
        <v>1296</v>
      </c>
      <c r="K24" s="96"/>
      <c r="L24" s="76" t="s">
        <v>425</v>
      </c>
      <c r="M24" s="427">
        <v>130</v>
      </c>
      <c r="N24" s="320">
        <v>1</v>
      </c>
      <c r="O24" s="43">
        <v>8130</v>
      </c>
      <c r="P24" s="674" t="s">
        <v>918</v>
      </c>
      <c r="Q24" s="675"/>
      <c r="R24" s="676"/>
    </row>
    <row r="25" spans="1:22" ht="31.2" customHeight="1">
      <c r="A25" s="59" t="s">
        <v>156</v>
      </c>
      <c r="B25" s="618" t="s">
        <v>485</v>
      </c>
      <c r="C25" s="619"/>
      <c r="D25" s="618" t="s">
        <v>49</v>
      </c>
      <c r="E25" s="619"/>
      <c r="F25" s="620" t="s">
        <v>1149</v>
      </c>
      <c r="G25" s="621"/>
      <c r="H25" s="621"/>
      <c r="I25" s="622"/>
      <c r="J25" s="304" t="s">
        <v>1308</v>
      </c>
      <c r="K25" s="538" t="s">
        <v>1302</v>
      </c>
      <c r="L25" s="97" t="s">
        <v>425</v>
      </c>
      <c r="M25" s="422">
        <v>130</v>
      </c>
      <c r="N25" s="323">
        <v>1</v>
      </c>
      <c r="O25" s="32">
        <v>13130</v>
      </c>
      <c r="P25" s="652" t="s">
        <v>876</v>
      </c>
      <c r="Q25" s="623"/>
      <c r="R25" s="624"/>
    </row>
    <row r="26" spans="1:22" ht="31.2" customHeight="1">
      <c r="A26" s="231" t="s">
        <v>70</v>
      </c>
      <c r="B26" s="650" t="s">
        <v>147</v>
      </c>
      <c r="C26" s="650"/>
      <c r="D26" s="650" t="s">
        <v>49</v>
      </c>
      <c r="E26" s="650"/>
      <c r="F26" s="651" t="s">
        <v>441</v>
      </c>
      <c r="G26" s="651"/>
      <c r="H26" s="651"/>
      <c r="I26" s="651"/>
      <c r="J26" s="296" t="s">
        <v>1306</v>
      </c>
      <c r="K26" s="269" t="s">
        <v>1290</v>
      </c>
      <c r="L26" s="97" t="s">
        <v>425</v>
      </c>
      <c r="M26" s="422">
        <v>130</v>
      </c>
      <c r="N26" s="323">
        <v>1</v>
      </c>
      <c r="O26" s="32">
        <v>20130</v>
      </c>
      <c r="P26" s="660" t="s">
        <v>877</v>
      </c>
      <c r="Q26" s="660"/>
      <c r="R26" s="660"/>
    </row>
    <row r="27" spans="1:22" ht="18.75" customHeight="1">
      <c r="A27" s="664" t="s">
        <v>141</v>
      </c>
      <c r="B27" s="637" t="s">
        <v>10</v>
      </c>
      <c r="C27" s="637"/>
      <c r="D27" s="638" t="s">
        <v>43</v>
      </c>
      <c r="E27" s="639"/>
      <c r="F27" s="666" t="s">
        <v>890</v>
      </c>
      <c r="G27" s="667"/>
      <c r="H27" s="667"/>
      <c r="I27" s="667"/>
      <c r="J27" s="668" t="s">
        <v>1311</v>
      </c>
      <c r="K27" s="671"/>
      <c r="L27" s="108"/>
      <c r="M27" s="423">
        <v>130</v>
      </c>
      <c r="N27" s="324">
        <v>1</v>
      </c>
      <c r="O27" s="51">
        <v>3130</v>
      </c>
      <c r="P27" s="631" t="s">
        <v>910</v>
      </c>
      <c r="Q27" s="632"/>
      <c r="R27" s="633"/>
    </row>
    <row r="28" spans="1:22" ht="18.75" customHeight="1">
      <c r="A28" s="664"/>
      <c r="B28" s="637" t="s">
        <v>81</v>
      </c>
      <c r="C28" s="637"/>
      <c r="D28" s="661" t="s">
        <v>11</v>
      </c>
      <c r="E28" s="661"/>
      <c r="F28" s="662" t="s">
        <v>891</v>
      </c>
      <c r="G28" s="663"/>
      <c r="H28" s="663"/>
      <c r="I28" s="663"/>
      <c r="J28" s="669"/>
      <c r="K28" s="672"/>
      <c r="L28" s="108"/>
      <c r="M28" s="423"/>
      <c r="N28" s="324"/>
      <c r="O28" s="51"/>
      <c r="P28" s="631"/>
      <c r="Q28" s="632"/>
      <c r="R28" s="633"/>
    </row>
    <row r="29" spans="1:22" ht="18.75" customHeight="1">
      <c r="A29" s="665"/>
      <c r="B29" s="637" t="s">
        <v>83</v>
      </c>
      <c r="C29" s="637"/>
      <c r="D29" s="661" t="s">
        <v>11</v>
      </c>
      <c r="E29" s="661"/>
      <c r="F29" s="659" t="s">
        <v>892</v>
      </c>
      <c r="G29" s="659"/>
      <c r="H29" s="659"/>
      <c r="I29" s="659"/>
      <c r="J29" s="670"/>
      <c r="K29" s="673"/>
      <c r="L29" s="108"/>
      <c r="M29" s="423"/>
      <c r="N29" s="324"/>
      <c r="O29" s="51"/>
      <c r="P29" s="634"/>
      <c r="Q29" s="635"/>
      <c r="R29" s="636"/>
    </row>
    <row r="30" spans="1:22" ht="18.75" customHeight="1">
      <c r="A30" s="184" t="s">
        <v>352</v>
      </c>
      <c r="B30" s="650" t="s">
        <v>147</v>
      </c>
      <c r="C30" s="650"/>
      <c r="D30" s="650" t="s">
        <v>49</v>
      </c>
      <c r="E30" s="650"/>
      <c r="F30" s="651" t="s">
        <v>966</v>
      </c>
      <c r="G30" s="651"/>
      <c r="H30" s="651"/>
      <c r="I30" s="651"/>
      <c r="J30" s="25" t="s">
        <v>1309</v>
      </c>
      <c r="K30" s="32"/>
      <c r="L30" s="97" t="s">
        <v>425</v>
      </c>
      <c r="M30" s="32">
        <v>130</v>
      </c>
      <c r="N30" s="327">
        <v>1</v>
      </c>
      <c r="O30" s="428">
        <v>1330</v>
      </c>
      <c r="P30" s="652" t="s">
        <v>976</v>
      </c>
      <c r="Q30" s="623"/>
      <c r="R30" s="624"/>
    </row>
    <row r="31" spans="1:22" ht="18.75" customHeight="1">
      <c r="A31" s="59" t="s">
        <v>78</v>
      </c>
      <c r="B31" s="650" t="s">
        <v>211</v>
      </c>
      <c r="C31" s="650"/>
      <c r="D31" s="650" t="s">
        <v>72</v>
      </c>
      <c r="E31" s="650"/>
      <c r="F31" s="651" t="s">
        <v>893</v>
      </c>
      <c r="G31" s="651"/>
      <c r="H31" s="651"/>
      <c r="I31" s="651"/>
      <c r="J31" s="25" t="s">
        <v>1298</v>
      </c>
      <c r="K31" s="25"/>
      <c r="L31" s="97" t="s">
        <v>436</v>
      </c>
      <c r="M31" s="422">
        <v>130</v>
      </c>
      <c r="N31" s="323">
        <v>1</v>
      </c>
      <c r="O31" s="32">
        <v>10130</v>
      </c>
      <c r="P31" s="660" t="s">
        <v>466</v>
      </c>
      <c r="Q31" s="660"/>
      <c r="R31" s="660"/>
    </row>
    <row r="32" spans="1:22" ht="18.75" customHeight="1">
      <c r="A32" s="59" t="s">
        <v>1167</v>
      </c>
      <c r="B32" s="650" t="s">
        <v>147</v>
      </c>
      <c r="C32" s="650"/>
      <c r="D32" s="650" t="s">
        <v>49</v>
      </c>
      <c r="E32" s="650"/>
      <c r="F32" s="651" t="s">
        <v>1150</v>
      </c>
      <c r="G32" s="651"/>
      <c r="H32" s="651"/>
      <c r="I32" s="651"/>
      <c r="J32" s="25" t="s">
        <v>1310</v>
      </c>
      <c r="K32" s="109"/>
      <c r="L32" s="97" t="s">
        <v>1169</v>
      </c>
      <c r="M32" s="422">
        <v>130</v>
      </c>
      <c r="N32" s="323">
        <v>1</v>
      </c>
      <c r="O32" s="32">
        <v>2630</v>
      </c>
      <c r="P32" s="652" t="s">
        <v>977</v>
      </c>
      <c r="Q32" s="623"/>
      <c r="R32" s="624"/>
    </row>
    <row r="33" spans="1:18" ht="18.75" customHeight="1">
      <c r="A33" s="59" t="s">
        <v>920</v>
      </c>
      <c r="B33" s="618" t="s">
        <v>62</v>
      </c>
      <c r="C33" s="619"/>
      <c r="D33" s="618" t="s">
        <v>63</v>
      </c>
      <c r="E33" s="619"/>
      <c r="F33" s="620" t="s">
        <v>882</v>
      </c>
      <c r="G33" s="621"/>
      <c r="H33" s="621"/>
      <c r="I33" s="622"/>
      <c r="J33" s="25" t="s">
        <v>1298</v>
      </c>
      <c r="K33" s="25"/>
      <c r="L33" s="257" t="s">
        <v>425</v>
      </c>
      <c r="M33" s="426">
        <v>130</v>
      </c>
      <c r="N33" s="323">
        <v>1</v>
      </c>
      <c r="O33" s="32">
        <v>20130</v>
      </c>
      <c r="P33" s="623" t="s">
        <v>883</v>
      </c>
      <c r="Q33" s="623"/>
      <c r="R33" s="624"/>
    </row>
    <row r="34" spans="1:18" ht="31.95" customHeight="1">
      <c r="A34" s="61" t="s">
        <v>921</v>
      </c>
      <c r="B34" s="618" t="s">
        <v>178</v>
      </c>
      <c r="C34" s="619"/>
      <c r="D34" s="618" t="s">
        <v>72</v>
      </c>
      <c r="E34" s="619"/>
      <c r="F34" s="620" t="s">
        <v>922</v>
      </c>
      <c r="G34" s="621"/>
      <c r="H34" s="621"/>
      <c r="I34" s="622"/>
      <c r="J34" s="532" t="s">
        <v>1354</v>
      </c>
      <c r="K34" s="537" t="s">
        <v>1091</v>
      </c>
      <c r="L34" s="97" t="s">
        <v>436</v>
      </c>
      <c r="M34" s="422">
        <v>130</v>
      </c>
      <c r="N34" s="323">
        <v>1</v>
      </c>
      <c r="O34" s="32">
        <v>5130</v>
      </c>
      <c r="P34" s="660" t="s">
        <v>878</v>
      </c>
      <c r="Q34" s="660"/>
      <c r="R34" s="660"/>
    </row>
    <row r="35" spans="1:18" ht="18.600000000000001" customHeight="1">
      <c r="A35" s="278" t="s">
        <v>1367</v>
      </c>
      <c r="B35" s="276"/>
      <c r="C35" s="276"/>
      <c r="D35" s="205"/>
      <c r="E35" s="205"/>
      <c r="F35" s="206"/>
      <c r="G35" s="206"/>
      <c r="H35" s="206"/>
      <c r="I35" s="206"/>
      <c r="J35" s="207"/>
      <c r="K35" s="207"/>
      <c r="L35" s="207"/>
      <c r="M35" s="207"/>
      <c r="N35" s="329"/>
      <c r="O35" s="466"/>
      <c r="P35" s="214"/>
      <c r="Q35" s="214"/>
      <c r="R35" s="214"/>
    </row>
    <row r="36" spans="1:18" ht="18.600000000000001" customHeight="1">
      <c r="A36" s="279"/>
      <c r="B36" s="116"/>
      <c r="C36" s="116"/>
      <c r="D36" s="205"/>
      <c r="E36" s="205"/>
      <c r="F36" s="206"/>
      <c r="G36" s="206"/>
      <c r="H36" s="206"/>
      <c r="I36" s="206"/>
      <c r="J36" s="207"/>
      <c r="K36" s="207"/>
      <c r="L36" s="207"/>
      <c r="M36" s="207"/>
      <c r="N36" s="329"/>
      <c r="O36" s="466"/>
      <c r="P36" s="214"/>
      <c r="Q36" s="214"/>
      <c r="R36" s="214"/>
    </row>
    <row r="37" spans="1:18" ht="18.600000000000001" customHeight="1">
      <c r="A37" s="279"/>
      <c r="B37" s="116"/>
      <c r="C37" s="116"/>
      <c r="D37" s="205"/>
      <c r="E37" s="205"/>
      <c r="F37" s="206"/>
      <c r="G37" s="206"/>
      <c r="H37" s="206"/>
      <c r="I37" s="206"/>
      <c r="J37" s="207"/>
      <c r="K37" s="207"/>
      <c r="L37" s="207"/>
      <c r="M37" s="207"/>
      <c r="N37" s="329"/>
      <c r="O37" s="466"/>
      <c r="P37" s="214"/>
      <c r="Q37" s="214"/>
      <c r="R37" s="214"/>
    </row>
    <row r="38" spans="1:18" ht="18.600000000000001" customHeight="1">
      <c r="A38" s="279"/>
      <c r="B38" s="116"/>
      <c r="C38" s="116"/>
      <c r="D38" s="205"/>
      <c r="E38" s="205"/>
      <c r="F38" s="206"/>
      <c r="G38" s="206"/>
      <c r="H38" s="206"/>
      <c r="I38" s="206"/>
      <c r="J38" s="207"/>
      <c r="K38" s="207"/>
      <c r="L38" s="207"/>
      <c r="M38" s="207"/>
      <c r="N38" s="329"/>
      <c r="O38" s="466"/>
      <c r="P38" s="214"/>
      <c r="Q38" s="214"/>
      <c r="R38" s="214"/>
    </row>
    <row r="39" spans="1:18" ht="18.600000000000001" customHeight="1">
      <c r="A39" s="262" t="s">
        <v>967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469"/>
      <c r="O39" s="39"/>
      <c r="P39" s="39"/>
      <c r="Q39" s="39"/>
      <c r="R39" s="39"/>
    </row>
    <row r="40" spans="1:18" ht="18.600000000000001" customHeight="1">
      <c r="A40" s="267" t="s">
        <v>1118</v>
      </c>
      <c r="B40" s="464"/>
      <c r="C40" s="464"/>
      <c r="D40" s="464"/>
      <c r="E40" s="464"/>
      <c r="F40" s="464"/>
      <c r="G40" s="533"/>
      <c r="H40" s="39"/>
      <c r="I40" s="39"/>
      <c r="J40" s="39"/>
      <c r="K40" s="39"/>
      <c r="L40" s="465"/>
      <c r="M40" s="39"/>
      <c r="N40" s="469"/>
      <c r="O40" s="39"/>
      <c r="P40" s="39"/>
      <c r="Q40" s="39"/>
      <c r="R40" s="39"/>
    </row>
    <row r="41" spans="1:18" ht="15.6" customHeight="1">
      <c r="A41" s="49" t="s">
        <v>366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469"/>
      <c r="O41" s="39"/>
      <c r="P41" s="39"/>
      <c r="Q41" s="709" t="s">
        <v>983</v>
      </c>
      <c r="R41" s="709"/>
    </row>
    <row r="42" spans="1:18" ht="15.6" customHeight="1">
      <c r="A42" s="710" t="s">
        <v>2</v>
      </c>
      <c r="B42" s="712" t="s">
        <v>3</v>
      </c>
      <c r="C42" s="712"/>
      <c r="D42" s="650" t="s">
        <v>4</v>
      </c>
      <c r="E42" s="650"/>
      <c r="F42" s="712" t="s">
        <v>5</v>
      </c>
      <c r="G42" s="712"/>
      <c r="H42" s="712"/>
      <c r="I42" s="712"/>
      <c r="J42" s="713" t="s">
        <v>491</v>
      </c>
      <c r="K42" s="715" t="s">
        <v>7</v>
      </c>
      <c r="L42" s="185" t="s">
        <v>1168</v>
      </c>
      <c r="M42" s="696" t="s">
        <v>1095</v>
      </c>
      <c r="N42" s="716" t="s">
        <v>1096</v>
      </c>
      <c r="O42" s="715" t="s">
        <v>1097</v>
      </c>
      <c r="P42" s="674" t="s">
        <v>8</v>
      </c>
      <c r="Q42" s="675"/>
      <c r="R42" s="676"/>
    </row>
    <row r="43" spans="1:18" ht="15.6" customHeight="1">
      <c r="A43" s="711"/>
      <c r="B43" s="712"/>
      <c r="C43" s="712"/>
      <c r="D43" s="650"/>
      <c r="E43" s="650"/>
      <c r="F43" s="712"/>
      <c r="G43" s="712"/>
      <c r="H43" s="712"/>
      <c r="I43" s="712"/>
      <c r="J43" s="714"/>
      <c r="K43" s="715"/>
      <c r="L43" s="186" t="s">
        <v>1170</v>
      </c>
      <c r="M43" s="706"/>
      <c r="N43" s="717"/>
      <c r="O43" s="715"/>
      <c r="P43" s="674"/>
      <c r="Q43" s="675"/>
      <c r="R43" s="676"/>
    </row>
    <row r="44" spans="1:18" ht="18.75" customHeight="1">
      <c r="A44" s="59" t="s">
        <v>233</v>
      </c>
      <c r="B44" s="706" t="s">
        <v>178</v>
      </c>
      <c r="C44" s="706"/>
      <c r="D44" s="650" t="s">
        <v>240</v>
      </c>
      <c r="E44" s="650"/>
      <c r="F44" s="707" t="s">
        <v>1067</v>
      </c>
      <c r="G44" s="707"/>
      <c r="H44" s="707"/>
      <c r="I44" s="707"/>
      <c r="J44" s="23" t="s">
        <v>1303</v>
      </c>
      <c r="K44" s="536" t="s">
        <v>986</v>
      </c>
      <c r="L44" s="93" t="s">
        <v>425</v>
      </c>
      <c r="M44" s="25">
        <v>110</v>
      </c>
      <c r="N44" s="323">
        <v>1</v>
      </c>
      <c r="O44" s="43">
        <v>20110</v>
      </c>
      <c r="P44" s="708" t="s">
        <v>873</v>
      </c>
      <c r="Q44" s="708"/>
      <c r="R44" s="708"/>
    </row>
    <row r="45" spans="1:18" ht="18.75" customHeight="1">
      <c r="A45" s="59" t="s">
        <v>22</v>
      </c>
      <c r="B45" s="679" t="s">
        <v>868</v>
      </c>
      <c r="C45" s="680"/>
      <c r="D45" s="618" t="s">
        <v>72</v>
      </c>
      <c r="E45" s="619"/>
      <c r="F45" s="681" t="s">
        <v>1174</v>
      </c>
      <c r="G45" s="682"/>
      <c r="H45" s="682"/>
      <c r="I45" s="683"/>
      <c r="J45" s="255" t="s">
        <v>1296</v>
      </c>
      <c r="K45" s="535"/>
      <c r="L45" s="76" t="s">
        <v>425</v>
      </c>
      <c r="M45" s="320">
        <v>110</v>
      </c>
      <c r="N45" s="320">
        <v>1</v>
      </c>
      <c r="O45" s="463">
        <v>8110</v>
      </c>
      <c r="P45" s="674" t="s">
        <v>918</v>
      </c>
      <c r="Q45" s="675"/>
      <c r="R45" s="676"/>
    </row>
    <row r="46" spans="1:18" ht="18.75" customHeight="1">
      <c r="A46" s="57" t="s">
        <v>239</v>
      </c>
      <c r="B46" s="618" t="s">
        <v>236</v>
      </c>
      <c r="C46" s="619"/>
      <c r="D46" s="618" t="s">
        <v>49</v>
      </c>
      <c r="E46" s="619"/>
      <c r="F46" s="620" t="s">
        <v>804</v>
      </c>
      <c r="G46" s="621"/>
      <c r="H46" s="621"/>
      <c r="I46" s="622"/>
      <c r="J46" s="15" t="s">
        <v>1228</v>
      </c>
      <c r="K46" s="506"/>
      <c r="L46" s="97" t="s">
        <v>436</v>
      </c>
      <c r="M46" s="25">
        <v>110</v>
      </c>
      <c r="N46" s="323">
        <v>1</v>
      </c>
      <c r="O46" s="32">
        <v>12110</v>
      </c>
      <c r="P46" s="652" t="s">
        <v>426</v>
      </c>
      <c r="Q46" s="623"/>
      <c r="R46" s="624"/>
    </row>
    <row r="47" spans="1:18" ht="18.75" customHeight="1">
      <c r="A47" s="614" t="s">
        <v>242</v>
      </c>
      <c r="B47" s="661" t="s">
        <v>10</v>
      </c>
      <c r="C47" s="661"/>
      <c r="D47" s="661" t="s">
        <v>11</v>
      </c>
      <c r="E47" s="661"/>
      <c r="F47" s="659" t="s">
        <v>415</v>
      </c>
      <c r="G47" s="659"/>
      <c r="H47" s="659"/>
      <c r="I47" s="659"/>
      <c r="J47" s="625" t="s">
        <v>1312</v>
      </c>
      <c r="K47" s="704" t="s">
        <v>1074</v>
      </c>
      <c r="L47" s="88"/>
      <c r="M47" s="8">
        <v>110</v>
      </c>
      <c r="N47" s="324">
        <v>1</v>
      </c>
      <c r="O47" s="124">
        <v>10110</v>
      </c>
      <c r="P47" s="656" t="s">
        <v>875</v>
      </c>
      <c r="Q47" s="657"/>
      <c r="R47" s="658"/>
    </row>
    <row r="48" spans="1:18" ht="18.75" customHeight="1">
      <c r="A48" s="616"/>
      <c r="B48" s="700" t="s">
        <v>13</v>
      </c>
      <c r="C48" s="701"/>
      <c r="D48" s="661" t="s">
        <v>11</v>
      </c>
      <c r="E48" s="661"/>
      <c r="F48" s="659" t="s">
        <v>418</v>
      </c>
      <c r="G48" s="659"/>
      <c r="H48" s="659"/>
      <c r="I48" s="659"/>
      <c r="J48" s="627"/>
      <c r="K48" s="705"/>
      <c r="L48" s="88"/>
      <c r="M48" s="8"/>
      <c r="N48" s="324"/>
      <c r="O48" s="124"/>
      <c r="P48" s="634"/>
      <c r="Q48" s="635"/>
      <c r="R48" s="636"/>
    </row>
    <row r="49" spans="1:18" ht="18.75" customHeight="1">
      <c r="A49" s="614" t="s">
        <v>807</v>
      </c>
      <c r="B49" s="661" t="s">
        <v>10</v>
      </c>
      <c r="C49" s="661"/>
      <c r="D49" s="661" t="s">
        <v>43</v>
      </c>
      <c r="E49" s="661"/>
      <c r="F49" s="653" t="s">
        <v>823</v>
      </c>
      <c r="G49" s="653"/>
      <c r="H49" s="653"/>
      <c r="I49" s="653"/>
      <c r="J49" s="625" t="s">
        <v>1304</v>
      </c>
      <c r="K49" s="703"/>
      <c r="L49" s="88"/>
      <c r="M49" s="8">
        <v>110</v>
      </c>
      <c r="N49" s="324">
        <v>1</v>
      </c>
      <c r="O49" s="124">
        <v>1110</v>
      </c>
      <c r="P49" s="656" t="s">
        <v>874</v>
      </c>
      <c r="Q49" s="657"/>
      <c r="R49" s="658"/>
    </row>
    <row r="50" spans="1:18" ht="18.75" customHeight="1">
      <c r="A50" s="616"/>
      <c r="B50" s="700" t="s">
        <v>13</v>
      </c>
      <c r="C50" s="701"/>
      <c r="D50" s="661" t="s">
        <v>11</v>
      </c>
      <c r="E50" s="661"/>
      <c r="F50" s="653" t="s">
        <v>414</v>
      </c>
      <c r="G50" s="653"/>
      <c r="H50" s="653"/>
      <c r="I50" s="653"/>
      <c r="J50" s="627"/>
      <c r="K50" s="673"/>
      <c r="L50" s="88"/>
      <c r="M50" s="8"/>
      <c r="N50" s="324"/>
      <c r="O50" s="124"/>
      <c r="P50" s="634"/>
      <c r="Q50" s="635"/>
      <c r="R50" s="636"/>
    </row>
    <row r="51" spans="1:18" ht="18.75" customHeight="1">
      <c r="A51" s="614" t="s">
        <v>808</v>
      </c>
      <c r="B51" s="661" t="s">
        <v>35</v>
      </c>
      <c r="C51" s="661"/>
      <c r="D51" s="661" t="s">
        <v>11</v>
      </c>
      <c r="E51" s="661"/>
      <c r="F51" s="699" t="s">
        <v>303</v>
      </c>
      <c r="G51" s="699"/>
      <c r="H51" s="699"/>
      <c r="I51" s="699"/>
      <c r="J51" s="778"/>
      <c r="K51" s="702" t="s">
        <v>37</v>
      </c>
      <c r="L51" s="88"/>
      <c r="M51" s="8">
        <v>110</v>
      </c>
      <c r="N51" s="324">
        <v>1</v>
      </c>
      <c r="O51" s="124">
        <v>1000</v>
      </c>
      <c r="P51" s="660" t="s">
        <v>38</v>
      </c>
      <c r="Q51" s="660"/>
      <c r="R51" s="660"/>
    </row>
    <row r="52" spans="1:18" ht="18.75" customHeight="1">
      <c r="A52" s="616"/>
      <c r="B52" s="661" t="s">
        <v>304</v>
      </c>
      <c r="C52" s="661"/>
      <c r="D52" s="661" t="s">
        <v>11</v>
      </c>
      <c r="E52" s="661"/>
      <c r="F52" s="699" t="s">
        <v>393</v>
      </c>
      <c r="G52" s="699"/>
      <c r="H52" s="699"/>
      <c r="I52" s="699"/>
      <c r="J52" s="800"/>
      <c r="K52" s="691"/>
      <c r="L52" s="88"/>
      <c r="M52" s="8"/>
      <c r="N52" s="324"/>
      <c r="O52" s="124"/>
      <c r="P52" s="660"/>
      <c r="Q52" s="660"/>
      <c r="R52" s="660"/>
    </row>
    <row r="53" spans="1:18" ht="31.2" customHeight="1">
      <c r="A53" s="59" t="s">
        <v>549</v>
      </c>
      <c r="B53" s="618" t="s">
        <v>164</v>
      </c>
      <c r="C53" s="619"/>
      <c r="D53" s="618" t="s">
        <v>63</v>
      </c>
      <c r="E53" s="619"/>
      <c r="F53" s="620" t="s">
        <v>788</v>
      </c>
      <c r="G53" s="621"/>
      <c r="H53" s="621"/>
      <c r="I53" s="622"/>
      <c r="J53" s="507" t="s">
        <v>1230</v>
      </c>
      <c r="K53" s="25"/>
      <c r="L53" s="93" t="s">
        <v>425</v>
      </c>
      <c r="M53" s="25">
        <v>110</v>
      </c>
      <c r="N53" s="323">
        <v>1</v>
      </c>
      <c r="O53" s="32">
        <v>5110</v>
      </c>
      <c r="P53" s="652" t="s">
        <v>871</v>
      </c>
      <c r="Q53" s="623"/>
      <c r="R53" s="624"/>
    </row>
    <row r="54" spans="1:18" ht="18.75" customHeight="1">
      <c r="A54" s="57" t="s">
        <v>434</v>
      </c>
      <c r="B54" s="696" t="s">
        <v>1114</v>
      </c>
      <c r="C54" s="696"/>
      <c r="D54" s="696" t="s">
        <v>1115</v>
      </c>
      <c r="E54" s="696"/>
      <c r="F54" s="697" t="s">
        <v>1116</v>
      </c>
      <c r="G54" s="697"/>
      <c r="H54" s="697"/>
      <c r="I54" s="697"/>
      <c r="J54" s="67" t="s">
        <v>1305</v>
      </c>
      <c r="K54" s="67"/>
      <c r="L54" s="97" t="s">
        <v>425</v>
      </c>
      <c r="M54" s="25">
        <v>110</v>
      </c>
      <c r="N54" s="323">
        <v>1</v>
      </c>
      <c r="O54" s="52">
        <v>10110</v>
      </c>
      <c r="P54" s="698" t="s">
        <v>438</v>
      </c>
      <c r="Q54" s="698"/>
      <c r="R54" s="698"/>
    </row>
    <row r="55" spans="1:18" ht="31.2" customHeight="1">
      <c r="A55" s="229" t="s">
        <v>309</v>
      </c>
      <c r="B55" s="650" t="s">
        <v>147</v>
      </c>
      <c r="C55" s="650"/>
      <c r="D55" s="650" t="s">
        <v>49</v>
      </c>
      <c r="E55" s="650"/>
      <c r="F55" s="651" t="s">
        <v>441</v>
      </c>
      <c r="G55" s="651"/>
      <c r="H55" s="651"/>
      <c r="I55" s="651"/>
      <c r="J55" s="296" t="s">
        <v>1306</v>
      </c>
      <c r="K55" s="269" t="s">
        <v>1290</v>
      </c>
      <c r="L55" s="113" t="s">
        <v>425</v>
      </c>
      <c r="M55" s="25">
        <v>110</v>
      </c>
      <c r="N55" s="323">
        <v>1</v>
      </c>
      <c r="O55" s="32">
        <v>4110</v>
      </c>
      <c r="P55" s="660" t="s">
        <v>872</v>
      </c>
      <c r="Q55" s="660"/>
      <c r="R55" s="660"/>
    </row>
    <row r="56" spans="1:18" ht="18.75" customHeight="1">
      <c r="A56" s="614" t="s">
        <v>809</v>
      </c>
      <c r="B56" s="661" t="s">
        <v>199</v>
      </c>
      <c r="C56" s="661"/>
      <c r="D56" s="661" t="s">
        <v>11</v>
      </c>
      <c r="E56" s="661"/>
      <c r="F56" s="659" t="s">
        <v>419</v>
      </c>
      <c r="G56" s="659"/>
      <c r="H56" s="659"/>
      <c r="I56" s="659"/>
      <c r="J56" s="848"/>
      <c r="K56" s="690" t="s">
        <v>420</v>
      </c>
      <c r="L56" s="88"/>
      <c r="M56" s="8">
        <v>110</v>
      </c>
      <c r="N56" s="324">
        <v>1</v>
      </c>
      <c r="O56" s="124">
        <v>2110</v>
      </c>
      <c r="P56" s="660" t="s">
        <v>323</v>
      </c>
      <c r="Q56" s="660"/>
      <c r="R56" s="660"/>
    </row>
    <row r="57" spans="1:18" ht="18.75" customHeight="1">
      <c r="A57" s="616"/>
      <c r="B57" s="661" t="s">
        <v>202</v>
      </c>
      <c r="C57" s="661"/>
      <c r="D57" s="661" t="s">
        <v>11</v>
      </c>
      <c r="E57" s="661"/>
      <c r="F57" s="659" t="s">
        <v>203</v>
      </c>
      <c r="G57" s="659"/>
      <c r="H57" s="659"/>
      <c r="I57" s="659"/>
      <c r="J57" s="800"/>
      <c r="K57" s="691"/>
      <c r="L57" s="88"/>
      <c r="M57" s="8"/>
      <c r="N57" s="324"/>
      <c r="O57" s="124"/>
      <c r="P57" s="660"/>
      <c r="Q57" s="660"/>
      <c r="R57" s="660"/>
    </row>
    <row r="58" spans="1:18" ht="18.75" customHeight="1">
      <c r="A58" s="614" t="s">
        <v>127</v>
      </c>
      <c r="B58" s="661" t="s">
        <v>10</v>
      </c>
      <c r="C58" s="661"/>
      <c r="D58" s="661" t="s">
        <v>43</v>
      </c>
      <c r="E58" s="661"/>
      <c r="F58" s="659" t="s">
        <v>810</v>
      </c>
      <c r="G58" s="659"/>
      <c r="H58" s="659"/>
      <c r="I58" s="659"/>
      <c r="J58" s="685" t="s">
        <v>1228</v>
      </c>
      <c r="K58" s="846"/>
      <c r="L58" s="88"/>
      <c r="M58" s="8">
        <v>110</v>
      </c>
      <c r="N58" s="324">
        <v>1</v>
      </c>
      <c r="O58" s="124">
        <v>500</v>
      </c>
      <c r="P58" s="660" t="s">
        <v>12</v>
      </c>
      <c r="Q58" s="660"/>
      <c r="R58" s="660"/>
    </row>
    <row r="59" spans="1:18" ht="18.75" customHeight="1" thickBot="1">
      <c r="A59" s="684"/>
      <c r="B59" s="693" t="s">
        <v>13</v>
      </c>
      <c r="C59" s="694"/>
      <c r="D59" s="693" t="s">
        <v>14</v>
      </c>
      <c r="E59" s="694"/>
      <c r="F59" s="695" t="s">
        <v>811</v>
      </c>
      <c r="G59" s="695"/>
      <c r="H59" s="695"/>
      <c r="I59" s="695"/>
      <c r="J59" s="689"/>
      <c r="K59" s="847"/>
      <c r="L59" s="224"/>
      <c r="M59" s="24"/>
      <c r="N59" s="325"/>
      <c r="O59" s="363"/>
      <c r="P59" s="692"/>
      <c r="Q59" s="692"/>
      <c r="R59" s="692"/>
    </row>
    <row r="60" spans="1:18" ht="18.75" customHeight="1" thickTop="1">
      <c r="A60" s="228" t="s">
        <v>380</v>
      </c>
      <c r="B60" s="650" t="s">
        <v>147</v>
      </c>
      <c r="C60" s="650"/>
      <c r="D60" s="650" t="s">
        <v>49</v>
      </c>
      <c r="E60" s="650"/>
      <c r="F60" s="651" t="s">
        <v>1150</v>
      </c>
      <c r="G60" s="651"/>
      <c r="H60" s="651"/>
      <c r="I60" s="651"/>
      <c r="J60" s="303" t="s">
        <v>1310</v>
      </c>
      <c r="K60" s="540"/>
      <c r="L60" s="97" t="s">
        <v>1169</v>
      </c>
      <c r="M60" s="25">
        <v>110</v>
      </c>
      <c r="N60" s="323">
        <v>1</v>
      </c>
      <c r="O60" s="32">
        <v>2610</v>
      </c>
      <c r="P60" s="652" t="s">
        <v>977</v>
      </c>
      <c r="Q60" s="623"/>
      <c r="R60" s="624"/>
    </row>
    <row r="61" spans="1:18" ht="18.75" customHeight="1">
      <c r="A61" s="664" t="s">
        <v>269</v>
      </c>
      <c r="B61" s="637" t="s">
        <v>10</v>
      </c>
      <c r="C61" s="637"/>
      <c r="D61" s="638" t="s">
        <v>14</v>
      </c>
      <c r="E61" s="639"/>
      <c r="F61" s="653" t="s">
        <v>445</v>
      </c>
      <c r="G61" s="653"/>
      <c r="H61" s="653"/>
      <c r="I61" s="653"/>
      <c r="J61" s="626" t="s">
        <v>1307</v>
      </c>
      <c r="K61" s="845" t="s">
        <v>986</v>
      </c>
      <c r="L61" s="108"/>
      <c r="M61" s="14">
        <v>110</v>
      </c>
      <c r="N61" s="326">
        <v>1</v>
      </c>
      <c r="O61" s="51">
        <v>2110</v>
      </c>
      <c r="P61" s="631" t="s">
        <v>825</v>
      </c>
      <c r="Q61" s="632"/>
      <c r="R61" s="633"/>
    </row>
    <row r="62" spans="1:18" ht="18.75" customHeight="1">
      <c r="A62" s="664"/>
      <c r="B62" s="637" t="s">
        <v>81</v>
      </c>
      <c r="C62" s="637"/>
      <c r="D62" s="638" t="s">
        <v>14</v>
      </c>
      <c r="E62" s="639"/>
      <c r="F62" s="653" t="s">
        <v>448</v>
      </c>
      <c r="G62" s="653"/>
      <c r="H62" s="653"/>
      <c r="I62" s="653"/>
      <c r="J62" s="626"/>
      <c r="K62" s="629"/>
      <c r="L62" s="108"/>
      <c r="M62" s="8"/>
      <c r="N62" s="324"/>
      <c r="O62" s="51"/>
      <c r="P62" s="631"/>
      <c r="Q62" s="632"/>
      <c r="R62" s="633"/>
    </row>
    <row r="63" spans="1:18" ht="18.75" customHeight="1">
      <c r="A63" s="665"/>
      <c r="B63" s="637" t="s">
        <v>83</v>
      </c>
      <c r="C63" s="637"/>
      <c r="D63" s="638" t="s">
        <v>14</v>
      </c>
      <c r="E63" s="639"/>
      <c r="F63" s="659" t="s">
        <v>812</v>
      </c>
      <c r="G63" s="659"/>
      <c r="H63" s="659"/>
      <c r="I63" s="659"/>
      <c r="J63" s="627"/>
      <c r="K63" s="630"/>
      <c r="L63" s="108"/>
      <c r="M63" s="8"/>
      <c r="N63" s="324"/>
      <c r="O63" s="51"/>
      <c r="P63" s="634"/>
      <c r="Q63" s="635"/>
      <c r="R63" s="636"/>
    </row>
    <row r="64" spans="1:18" ht="31.2" customHeight="1">
      <c r="A64" s="59" t="s">
        <v>156</v>
      </c>
      <c r="B64" s="618" t="s">
        <v>485</v>
      </c>
      <c r="C64" s="619"/>
      <c r="D64" s="618" t="s">
        <v>49</v>
      </c>
      <c r="E64" s="619"/>
      <c r="F64" s="620" t="s">
        <v>1149</v>
      </c>
      <c r="G64" s="621"/>
      <c r="H64" s="621"/>
      <c r="I64" s="622"/>
      <c r="J64" s="304" t="s">
        <v>1308</v>
      </c>
      <c r="K64" s="538" t="s">
        <v>1302</v>
      </c>
      <c r="L64" s="97" t="s">
        <v>425</v>
      </c>
      <c r="M64" s="25">
        <v>110</v>
      </c>
      <c r="N64" s="323">
        <v>1</v>
      </c>
      <c r="O64" s="32">
        <v>13110</v>
      </c>
      <c r="P64" s="652" t="s">
        <v>876</v>
      </c>
      <c r="Q64" s="623"/>
      <c r="R64" s="624"/>
    </row>
    <row r="65" spans="1:18" ht="30.6" customHeight="1">
      <c r="A65" s="231" t="s">
        <v>70</v>
      </c>
      <c r="B65" s="650" t="s">
        <v>147</v>
      </c>
      <c r="C65" s="650"/>
      <c r="D65" s="650" t="s">
        <v>49</v>
      </c>
      <c r="E65" s="650"/>
      <c r="F65" s="651" t="s">
        <v>441</v>
      </c>
      <c r="G65" s="651"/>
      <c r="H65" s="651"/>
      <c r="I65" s="651"/>
      <c r="J65" s="296" t="s">
        <v>1306</v>
      </c>
      <c r="K65" s="507" t="s">
        <v>1290</v>
      </c>
      <c r="L65" s="97" t="s">
        <v>425</v>
      </c>
      <c r="M65" s="25">
        <v>110</v>
      </c>
      <c r="N65" s="323">
        <v>1</v>
      </c>
      <c r="O65" s="32">
        <v>20110</v>
      </c>
      <c r="P65" s="660" t="s">
        <v>877</v>
      </c>
      <c r="Q65" s="660"/>
      <c r="R65" s="660"/>
    </row>
    <row r="66" spans="1:18" ht="30.6" customHeight="1">
      <c r="A66" s="60" t="s">
        <v>141</v>
      </c>
      <c r="B66" s="618" t="s">
        <v>178</v>
      </c>
      <c r="C66" s="619"/>
      <c r="D66" s="618" t="s">
        <v>72</v>
      </c>
      <c r="E66" s="619"/>
      <c r="F66" s="620" t="s">
        <v>922</v>
      </c>
      <c r="G66" s="621"/>
      <c r="H66" s="621"/>
      <c r="I66" s="622"/>
      <c r="J66" s="532" t="s">
        <v>1354</v>
      </c>
      <c r="K66" s="537" t="s">
        <v>1091</v>
      </c>
      <c r="L66" s="97" t="s">
        <v>436</v>
      </c>
      <c r="M66" s="25">
        <v>110</v>
      </c>
      <c r="N66" s="323">
        <v>1</v>
      </c>
      <c r="O66" s="32">
        <v>5110</v>
      </c>
      <c r="P66" s="660" t="s">
        <v>878</v>
      </c>
      <c r="Q66" s="660"/>
      <c r="R66" s="660"/>
    </row>
    <row r="67" spans="1:18" ht="18.75" customHeight="1">
      <c r="A67" s="184" t="s">
        <v>352</v>
      </c>
      <c r="B67" s="650" t="s">
        <v>147</v>
      </c>
      <c r="C67" s="650"/>
      <c r="D67" s="650" t="s">
        <v>49</v>
      </c>
      <c r="E67" s="650"/>
      <c r="F67" s="651" t="s">
        <v>966</v>
      </c>
      <c r="G67" s="651"/>
      <c r="H67" s="651"/>
      <c r="I67" s="651"/>
      <c r="J67" s="25" t="s">
        <v>1309</v>
      </c>
      <c r="K67" s="33"/>
      <c r="L67" s="97" t="s">
        <v>425</v>
      </c>
      <c r="M67" s="32">
        <v>110</v>
      </c>
      <c r="N67" s="327">
        <v>1</v>
      </c>
      <c r="O67" s="9">
        <v>1310</v>
      </c>
      <c r="P67" s="652" t="s">
        <v>976</v>
      </c>
      <c r="Q67" s="623"/>
      <c r="R67" s="624"/>
    </row>
    <row r="68" spans="1:18" ht="18.75" customHeight="1">
      <c r="A68" s="664" t="s">
        <v>75</v>
      </c>
      <c r="B68" s="637" t="s">
        <v>10</v>
      </c>
      <c r="C68" s="637"/>
      <c r="D68" s="638" t="s">
        <v>43</v>
      </c>
      <c r="E68" s="639"/>
      <c r="F68" s="666" t="s">
        <v>890</v>
      </c>
      <c r="G68" s="667"/>
      <c r="H68" s="667"/>
      <c r="I68" s="667"/>
      <c r="J68" s="668" t="s">
        <v>1311</v>
      </c>
      <c r="K68" s="842"/>
      <c r="L68" s="108"/>
      <c r="M68" s="8">
        <v>110</v>
      </c>
      <c r="N68" s="324">
        <v>1</v>
      </c>
      <c r="O68" s="51">
        <v>3110</v>
      </c>
      <c r="P68" s="631" t="s">
        <v>910</v>
      </c>
      <c r="Q68" s="632"/>
      <c r="R68" s="633"/>
    </row>
    <row r="69" spans="1:18" ht="18.75" customHeight="1">
      <c r="A69" s="664"/>
      <c r="B69" s="637" t="s">
        <v>81</v>
      </c>
      <c r="C69" s="637"/>
      <c r="D69" s="661" t="s">
        <v>11</v>
      </c>
      <c r="E69" s="661"/>
      <c r="F69" s="662" t="s">
        <v>891</v>
      </c>
      <c r="G69" s="663"/>
      <c r="H69" s="663"/>
      <c r="I69" s="663"/>
      <c r="J69" s="669"/>
      <c r="K69" s="843"/>
      <c r="L69" s="108"/>
      <c r="M69" s="8"/>
      <c r="N69" s="324"/>
      <c r="O69" s="51"/>
      <c r="P69" s="631"/>
      <c r="Q69" s="632"/>
      <c r="R69" s="633"/>
    </row>
    <row r="70" spans="1:18" ht="18.75" customHeight="1">
      <c r="A70" s="665"/>
      <c r="B70" s="637" t="s">
        <v>83</v>
      </c>
      <c r="C70" s="637"/>
      <c r="D70" s="661" t="s">
        <v>11</v>
      </c>
      <c r="E70" s="661"/>
      <c r="F70" s="659" t="s">
        <v>892</v>
      </c>
      <c r="G70" s="659"/>
      <c r="H70" s="659"/>
      <c r="I70" s="659"/>
      <c r="J70" s="670"/>
      <c r="K70" s="844"/>
      <c r="L70" s="108"/>
      <c r="M70" s="8"/>
      <c r="N70" s="324"/>
      <c r="O70" s="51"/>
      <c r="P70" s="634"/>
      <c r="Q70" s="635"/>
      <c r="R70" s="636"/>
    </row>
    <row r="71" spans="1:18" ht="18.75" customHeight="1">
      <c r="A71" s="59" t="s">
        <v>78</v>
      </c>
      <c r="B71" s="650" t="s">
        <v>211</v>
      </c>
      <c r="C71" s="650"/>
      <c r="D71" s="650" t="s">
        <v>72</v>
      </c>
      <c r="E71" s="650"/>
      <c r="F71" s="651" t="s">
        <v>893</v>
      </c>
      <c r="G71" s="651"/>
      <c r="H71" s="651"/>
      <c r="I71" s="651"/>
      <c r="J71" s="25" t="s">
        <v>1298</v>
      </c>
      <c r="K71" s="509"/>
      <c r="L71" s="97" t="s">
        <v>436</v>
      </c>
      <c r="M71" s="25">
        <v>110</v>
      </c>
      <c r="N71" s="323">
        <v>1</v>
      </c>
      <c r="O71" s="32">
        <v>10110</v>
      </c>
      <c r="P71" s="660" t="s">
        <v>466</v>
      </c>
      <c r="Q71" s="660"/>
      <c r="R71" s="660"/>
    </row>
    <row r="72" spans="1:18" ht="18.75" customHeight="1">
      <c r="A72" s="59" t="s">
        <v>907</v>
      </c>
      <c r="B72" s="618" t="s">
        <v>62</v>
      </c>
      <c r="C72" s="619"/>
      <c r="D72" s="618" t="s">
        <v>63</v>
      </c>
      <c r="E72" s="619"/>
      <c r="F72" s="620" t="s">
        <v>882</v>
      </c>
      <c r="G72" s="621"/>
      <c r="H72" s="621"/>
      <c r="I72" s="622"/>
      <c r="J72" s="25" t="s">
        <v>1298</v>
      </c>
      <c r="K72" s="509"/>
      <c r="L72" s="257" t="s">
        <v>425</v>
      </c>
      <c r="M72" s="25">
        <v>110</v>
      </c>
      <c r="N72" s="323">
        <v>1</v>
      </c>
      <c r="O72" s="32">
        <v>20110</v>
      </c>
      <c r="P72" s="623" t="s">
        <v>883</v>
      </c>
      <c r="Q72" s="623"/>
      <c r="R72" s="624"/>
    </row>
    <row r="73" spans="1:18" ht="18.600000000000001" customHeight="1">
      <c r="A73" s="278" t="s">
        <v>1367</v>
      </c>
      <c r="B73" s="276"/>
      <c r="C73" s="276"/>
      <c r="D73" s="205"/>
      <c r="E73" s="205"/>
      <c r="F73" s="206"/>
      <c r="G73" s="206"/>
      <c r="H73" s="206"/>
      <c r="I73" s="206"/>
      <c r="J73" s="207"/>
      <c r="K73" s="207"/>
      <c r="L73" s="207"/>
      <c r="M73" s="207"/>
      <c r="N73" s="329"/>
      <c r="O73" s="466"/>
      <c r="P73" s="214"/>
      <c r="Q73" s="214"/>
      <c r="R73" s="214"/>
    </row>
    <row r="74" spans="1:18" ht="18.600000000000001" customHeight="1">
      <c r="A74" s="279"/>
      <c r="B74" s="116"/>
      <c r="C74" s="116"/>
      <c r="D74" s="205"/>
      <c r="E74" s="205"/>
      <c r="F74" s="206"/>
      <c r="G74" s="206"/>
      <c r="H74" s="206"/>
      <c r="I74" s="206"/>
      <c r="J74" s="207"/>
      <c r="K74" s="207"/>
      <c r="L74" s="207"/>
      <c r="M74" s="207"/>
      <c r="N74" s="329"/>
      <c r="O74" s="466"/>
      <c r="P74" s="214"/>
      <c r="Q74" s="214"/>
      <c r="R74" s="214"/>
    </row>
    <row r="75" spans="1:18" ht="18.600000000000001" customHeight="1">
      <c r="A75" s="279"/>
      <c r="B75" s="116"/>
      <c r="C75" s="116"/>
      <c r="D75" s="205"/>
      <c r="E75" s="205"/>
      <c r="F75" s="206"/>
      <c r="G75" s="206"/>
      <c r="H75" s="206"/>
      <c r="I75" s="206"/>
      <c r="J75" s="207"/>
      <c r="K75" s="207"/>
      <c r="L75" s="207"/>
      <c r="M75" s="207"/>
      <c r="N75" s="329"/>
      <c r="O75" s="466"/>
      <c r="P75" s="214"/>
      <c r="Q75" s="214"/>
      <c r="R75" s="214"/>
    </row>
    <row r="76" spans="1:18" ht="18.600000000000001" customHeight="1">
      <c r="A76" s="531"/>
      <c r="B76" s="531"/>
      <c r="C76" s="531"/>
      <c r="D76" s="531"/>
      <c r="E76" s="531"/>
      <c r="F76" s="531"/>
      <c r="G76" s="531"/>
      <c r="H76" s="531"/>
      <c r="I76" s="531"/>
      <c r="J76" s="531"/>
      <c r="K76" s="531"/>
      <c r="L76" s="531"/>
      <c r="M76" s="531"/>
      <c r="N76" s="570"/>
      <c r="O76" s="531"/>
      <c r="P76" s="531"/>
      <c r="Q76" s="531"/>
      <c r="R76" s="531"/>
    </row>
    <row r="77" spans="1:18" ht="18.600000000000001" customHeight="1">
      <c r="A77" s="262" t="s">
        <v>967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469"/>
      <c r="O77" s="39"/>
      <c r="P77" s="39"/>
      <c r="Q77" s="39"/>
      <c r="R77" s="39"/>
    </row>
    <row r="78" spans="1:18" ht="18.600000000000001" customHeight="1">
      <c r="A78" s="267" t="s">
        <v>1183</v>
      </c>
      <c r="B78" s="464"/>
      <c r="C78" s="464"/>
      <c r="D78" s="464"/>
      <c r="E78" s="39"/>
      <c r="F78" s="39"/>
      <c r="G78" s="39"/>
      <c r="H78" s="39"/>
      <c r="I78" s="39"/>
      <c r="J78" s="39"/>
      <c r="K78" s="39"/>
      <c r="L78" s="465"/>
      <c r="M78" s="39"/>
      <c r="N78" s="469"/>
      <c r="O78" s="39"/>
      <c r="P78" s="39"/>
      <c r="Q78" s="39"/>
      <c r="R78" s="39"/>
    </row>
    <row r="79" spans="1:18" ht="15.6" customHeight="1">
      <c r="A79" s="49" t="s">
        <v>366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469"/>
      <c r="O79" s="39"/>
      <c r="P79" s="39"/>
      <c r="Q79" s="709" t="s">
        <v>983</v>
      </c>
      <c r="R79" s="709"/>
    </row>
    <row r="80" spans="1:18" ht="15.6" customHeight="1">
      <c r="A80" s="710" t="s">
        <v>2</v>
      </c>
      <c r="B80" s="712" t="s">
        <v>3</v>
      </c>
      <c r="C80" s="712"/>
      <c r="D80" s="650" t="s">
        <v>4</v>
      </c>
      <c r="E80" s="650"/>
      <c r="F80" s="712" t="s">
        <v>5</v>
      </c>
      <c r="G80" s="712"/>
      <c r="H80" s="712"/>
      <c r="I80" s="712"/>
      <c r="J80" s="713" t="s">
        <v>491</v>
      </c>
      <c r="K80" s="715" t="s">
        <v>7</v>
      </c>
      <c r="L80" s="185" t="s">
        <v>1168</v>
      </c>
      <c r="M80" s="696" t="s">
        <v>1095</v>
      </c>
      <c r="N80" s="716" t="s">
        <v>1096</v>
      </c>
      <c r="O80" s="715" t="s">
        <v>1097</v>
      </c>
      <c r="P80" s="674" t="s">
        <v>8</v>
      </c>
      <c r="Q80" s="675"/>
      <c r="R80" s="676"/>
    </row>
    <row r="81" spans="1:32" ht="15.6" customHeight="1">
      <c r="A81" s="711"/>
      <c r="B81" s="712"/>
      <c r="C81" s="712"/>
      <c r="D81" s="650"/>
      <c r="E81" s="650"/>
      <c r="F81" s="712"/>
      <c r="G81" s="712"/>
      <c r="H81" s="712"/>
      <c r="I81" s="712"/>
      <c r="J81" s="714"/>
      <c r="K81" s="715"/>
      <c r="L81" s="186" t="s">
        <v>1170</v>
      </c>
      <c r="M81" s="706"/>
      <c r="N81" s="717"/>
      <c r="O81" s="715"/>
      <c r="P81" s="674"/>
      <c r="Q81" s="675"/>
      <c r="R81" s="676"/>
    </row>
    <row r="82" spans="1:32" ht="18.600000000000001" customHeight="1" thickBot="1">
      <c r="A82" s="59" t="s">
        <v>233</v>
      </c>
      <c r="B82" s="706" t="s">
        <v>178</v>
      </c>
      <c r="C82" s="706"/>
      <c r="D82" s="650" t="s">
        <v>240</v>
      </c>
      <c r="E82" s="650"/>
      <c r="F82" s="707" t="s">
        <v>1067</v>
      </c>
      <c r="G82" s="707"/>
      <c r="H82" s="707"/>
      <c r="I82" s="707"/>
      <c r="J82" s="23" t="s">
        <v>1463</v>
      </c>
      <c r="K82" s="536" t="s">
        <v>986</v>
      </c>
      <c r="L82" s="93" t="s">
        <v>425</v>
      </c>
      <c r="M82" s="422">
        <v>130</v>
      </c>
      <c r="N82" s="323">
        <v>1</v>
      </c>
      <c r="O82" s="43">
        <v>20130</v>
      </c>
      <c r="P82" s="708" t="s">
        <v>873</v>
      </c>
      <c r="Q82" s="708"/>
      <c r="R82" s="708"/>
    </row>
    <row r="83" spans="1:32" ht="18.600000000000001" customHeight="1">
      <c r="A83" s="57" t="s">
        <v>239</v>
      </c>
      <c r="B83" s="618" t="s">
        <v>236</v>
      </c>
      <c r="C83" s="619"/>
      <c r="D83" s="618" t="s">
        <v>49</v>
      </c>
      <c r="E83" s="619"/>
      <c r="F83" s="620" t="s">
        <v>1171</v>
      </c>
      <c r="G83" s="621"/>
      <c r="H83" s="621"/>
      <c r="I83" s="622"/>
      <c r="J83" s="15" t="s">
        <v>1228</v>
      </c>
      <c r="K83" s="15"/>
      <c r="L83" s="97" t="s">
        <v>436</v>
      </c>
      <c r="M83" s="422">
        <v>130</v>
      </c>
      <c r="N83" s="323">
        <v>1</v>
      </c>
      <c r="O83" s="32">
        <v>12130</v>
      </c>
      <c r="P83" s="652" t="s">
        <v>426</v>
      </c>
      <c r="Q83" s="623"/>
      <c r="R83" s="624"/>
      <c r="U83" s="640" t="s">
        <v>1356</v>
      </c>
      <c r="V83" s="644" t="s">
        <v>1357</v>
      </c>
      <c r="W83" s="644"/>
      <c r="X83" s="644" t="s">
        <v>1358</v>
      </c>
      <c r="Y83" s="644"/>
      <c r="Z83" s="644"/>
      <c r="AA83" s="644"/>
      <c r="AB83" s="644"/>
      <c r="AC83" s="644"/>
      <c r="AD83" s="553" t="s">
        <v>1359</v>
      </c>
      <c r="AE83" s="553" t="s">
        <v>1360</v>
      </c>
      <c r="AF83" s="554" t="s">
        <v>1361</v>
      </c>
    </row>
    <row r="84" spans="1:32" ht="18.600000000000001" customHeight="1">
      <c r="A84" s="614" t="s">
        <v>242</v>
      </c>
      <c r="B84" s="661" t="s">
        <v>10</v>
      </c>
      <c r="C84" s="661"/>
      <c r="D84" s="661" t="s">
        <v>11</v>
      </c>
      <c r="E84" s="661"/>
      <c r="F84" s="659" t="s">
        <v>415</v>
      </c>
      <c r="G84" s="659"/>
      <c r="H84" s="659"/>
      <c r="I84" s="659"/>
      <c r="J84" s="625" t="s">
        <v>1312</v>
      </c>
      <c r="K84" s="704" t="s">
        <v>1074</v>
      </c>
      <c r="L84" s="88"/>
      <c r="M84" s="423">
        <v>130</v>
      </c>
      <c r="N84" s="324">
        <v>1</v>
      </c>
      <c r="O84" s="124">
        <v>10130</v>
      </c>
      <c r="P84" s="656" t="s">
        <v>875</v>
      </c>
      <c r="Q84" s="657"/>
      <c r="R84" s="658"/>
      <c r="U84" s="641"/>
      <c r="V84" s="645"/>
      <c r="W84" s="646"/>
      <c r="X84" s="646"/>
      <c r="Y84" s="646"/>
      <c r="Z84" s="646"/>
      <c r="AA84" s="646"/>
      <c r="AB84" s="646"/>
      <c r="AC84" s="646"/>
      <c r="AD84" s="555"/>
      <c r="AE84" s="555"/>
      <c r="AF84" s="556"/>
    </row>
    <row r="85" spans="1:32" ht="18.600000000000001" customHeight="1">
      <c r="A85" s="616"/>
      <c r="B85" s="700" t="s">
        <v>13</v>
      </c>
      <c r="C85" s="701"/>
      <c r="D85" s="661" t="s">
        <v>11</v>
      </c>
      <c r="E85" s="661"/>
      <c r="F85" s="659" t="s">
        <v>418</v>
      </c>
      <c r="G85" s="659"/>
      <c r="H85" s="659"/>
      <c r="I85" s="659"/>
      <c r="J85" s="627"/>
      <c r="K85" s="705"/>
      <c r="L85" s="88"/>
      <c r="M85" s="423"/>
      <c r="N85" s="324"/>
      <c r="O85" s="124"/>
      <c r="P85" s="634"/>
      <c r="Q85" s="635"/>
      <c r="R85" s="636"/>
      <c r="U85" s="641"/>
      <c r="V85" s="645"/>
      <c r="W85" s="646"/>
      <c r="X85" s="646"/>
      <c r="Y85" s="646"/>
      <c r="Z85" s="646"/>
      <c r="AA85" s="646"/>
      <c r="AB85" s="646"/>
      <c r="AC85" s="646"/>
      <c r="AD85" s="555"/>
      <c r="AE85" s="555"/>
      <c r="AF85" s="556"/>
    </row>
    <row r="86" spans="1:32" ht="18.600000000000001" customHeight="1">
      <c r="A86" s="614" t="s">
        <v>807</v>
      </c>
      <c r="B86" s="661" t="s">
        <v>10</v>
      </c>
      <c r="C86" s="661"/>
      <c r="D86" s="661" t="s">
        <v>43</v>
      </c>
      <c r="E86" s="661"/>
      <c r="F86" s="653" t="s">
        <v>1525</v>
      </c>
      <c r="G86" s="653"/>
      <c r="H86" s="653"/>
      <c r="I86" s="653"/>
      <c r="J86" s="625" t="s">
        <v>1304</v>
      </c>
      <c r="K86" s="703"/>
      <c r="L86" s="88"/>
      <c r="M86" s="423">
        <v>130</v>
      </c>
      <c r="N86" s="324">
        <v>1</v>
      </c>
      <c r="O86" s="124">
        <v>1230</v>
      </c>
      <c r="P86" s="656" t="s">
        <v>874</v>
      </c>
      <c r="Q86" s="657"/>
      <c r="R86" s="658"/>
      <c r="U86" s="642"/>
      <c r="V86" s="645" t="s">
        <v>1457</v>
      </c>
      <c r="W86" s="646"/>
      <c r="X86" s="646" t="s">
        <v>1460</v>
      </c>
      <c r="Y86" s="646"/>
      <c r="Z86" s="646"/>
      <c r="AA86" s="646"/>
      <c r="AB86" s="646"/>
      <c r="AC86" s="646"/>
      <c r="AD86" s="555" t="s">
        <v>1461</v>
      </c>
      <c r="AE86" s="555" t="s">
        <v>1429</v>
      </c>
      <c r="AF86" s="556" t="s">
        <v>1462</v>
      </c>
    </row>
    <row r="87" spans="1:32" ht="18.600000000000001" customHeight="1" thickBot="1">
      <c r="A87" s="616"/>
      <c r="B87" s="700" t="s">
        <v>13</v>
      </c>
      <c r="C87" s="701"/>
      <c r="D87" s="661" t="s">
        <v>11</v>
      </c>
      <c r="E87" s="661"/>
      <c r="F87" s="653" t="s">
        <v>414</v>
      </c>
      <c r="G87" s="653"/>
      <c r="H87" s="653"/>
      <c r="I87" s="653"/>
      <c r="J87" s="627"/>
      <c r="K87" s="673"/>
      <c r="L87" s="88"/>
      <c r="M87" s="423"/>
      <c r="N87" s="324"/>
      <c r="O87" s="124"/>
      <c r="P87" s="634"/>
      <c r="Q87" s="635"/>
      <c r="R87" s="636"/>
      <c r="U87" s="643"/>
      <c r="V87" s="647" t="s">
        <v>1362</v>
      </c>
      <c r="W87" s="617"/>
      <c r="X87" s="617" t="s">
        <v>1363</v>
      </c>
      <c r="Y87" s="617"/>
      <c r="Z87" s="617"/>
      <c r="AA87" s="617"/>
      <c r="AB87" s="617"/>
      <c r="AC87" s="617"/>
      <c r="AD87" s="557" t="s">
        <v>1364</v>
      </c>
      <c r="AE87" s="557" t="s">
        <v>1365</v>
      </c>
      <c r="AF87" s="558" t="s">
        <v>1366</v>
      </c>
    </row>
    <row r="88" spans="1:32" ht="18.600000000000001" customHeight="1">
      <c r="A88" s="614" t="s">
        <v>808</v>
      </c>
      <c r="B88" s="661" t="s">
        <v>35</v>
      </c>
      <c r="C88" s="661"/>
      <c r="D88" s="661" t="s">
        <v>11</v>
      </c>
      <c r="E88" s="661"/>
      <c r="F88" s="699" t="s">
        <v>1190</v>
      </c>
      <c r="G88" s="699"/>
      <c r="H88" s="699"/>
      <c r="I88" s="699"/>
      <c r="J88" s="685"/>
      <c r="K88" s="702" t="s">
        <v>37</v>
      </c>
      <c r="L88" s="88"/>
      <c r="M88" s="423">
        <v>130</v>
      </c>
      <c r="N88" s="324">
        <v>1</v>
      </c>
      <c r="O88" s="124">
        <v>1300</v>
      </c>
      <c r="P88" s="660" t="s">
        <v>38</v>
      </c>
      <c r="Q88" s="660"/>
      <c r="R88" s="660"/>
    </row>
    <row r="89" spans="1:32" ht="18.600000000000001" customHeight="1">
      <c r="A89" s="616"/>
      <c r="B89" s="661" t="s">
        <v>304</v>
      </c>
      <c r="C89" s="661"/>
      <c r="D89" s="661" t="s">
        <v>11</v>
      </c>
      <c r="E89" s="661"/>
      <c r="F89" s="699" t="s">
        <v>1191</v>
      </c>
      <c r="G89" s="699"/>
      <c r="H89" s="699"/>
      <c r="I89" s="699"/>
      <c r="J89" s="686"/>
      <c r="K89" s="691"/>
      <c r="L89" s="88"/>
      <c r="M89" s="423"/>
      <c r="N89" s="324"/>
      <c r="O89" s="124"/>
      <c r="P89" s="660"/>
      <c r="Q89" s="660"/>
      <c r="R89" s="660"/>
    </row>
    <row r="90" spans="1:32" ht="30.6" customHeight="1">
      <c r="A90" s="59" t="s">
        <v>549</v>
      </c>
      <c r="B90" s="618" t="s">
        <v>164</v>
      </c>
      <c r="C90" s="619"/>
      <c r="D90" s="618" t="s">
        <v>63</v>
      </c>
      <c r="E90" s="619"/>
      <c r="F90" s="620" t="s">
        <v>788</v>
      </c>
      <c r="G90" s="621"/>
      <c r="H90" s="621"/>
      <c r="I90" s="622"/>
      <c r="J90" s="269" t="s">
        <v>1230</v>
      </c>
      <c r="K90" s="25"/>
      <c r="L90" s="93" t="s">
        <v>425</v>
      </c>
      <c r="M90" s="422">
        <v>130</v>
      </c>
      <c r="N90" s="323">
        <v>1</v>
      </c>
      <c r="O90" s="32">
        <v>5130</v>
      </c>
      <c r="P90" s="652" t="s">
        <v>871</v>
      </c>
      <c r="Q90" s="623"/>
      <c r="R90" s="624"/>
    </row>
    <row r="91" spans="1:32" ht="18.600000000000001" customHeight="1">
      <c r="A91" s="57" t="s">
        <v>434</v>
      </c>
      <c r="B91" s="696" t="s">
        <v>1114</v>
      </c>
      <c r="C91" s="696"/>
      <c r="D91" s="696" t="s">
        <v>1115</v>
      </c>
      <c r="E91" s="696"/>
      <c r="F91" s="697" t="s">
        <v>1116</v>
      </c>
      <c r="G91" s="697"/>
      <c r="H91" s="697"/>
      <c r="I91" s="697"/>
      <c r="J91" s="67" t="s">
        <v>1305</v>
      </c>
      <c r="K91" s="67"/>
      <c r="L91" s="97" t="s">
        <v>425</v>
      </c>
      <c r="M91" s="422">
        <v>130</v>
      </c>
      <c r="N91" s="323">
        <v>1</v>
      </c>
      <c r="O91" s="52">
        <v>10130</v>
      </c>
      <c r="P91" s="698" t="s">
        <v>438</v>
      </c>
      <c r="Q91" s="698"/>
      <c r="R91" s="698"/>
    </row>
    <row r="92" spans="1:32" ht="30.6" customHeight="1">
      <c r="A92" s="229" t="s">
        <v>309</v>
      </c>
      <c r="B92" s="650" t="s">
        <v>147</v>
      </c>
      <c r="C92" s="650"/>
      <c r="D92" s="650" t="s">
        <v>49</v>
      </c>
      <c r="E92" s="650"/>
      <c r="F92" s="651" t="s">
        <v>441</v>
      </c>
      <c r="G92" s="651"/>
      <c r="H92" s="651"/>
      <c r="I92" s="651"/>
      <c r="J92" s="296" t="s">
        <v>1468</v>
      </c>
      <c r="K92" s="269" t="s">
        <v>1290</v>
      </c>
      <c r="L92" s="113" t="s">
        <v>425</v>
      </c>
      <c r="M92" s="422">
        <v>130</v>
      </c>
      <c r="N92" s="323">
        <v>1</v>
      </c>
      <c r="O92" s="32">
        <v>4130</v>
      </c>
      <c r="P92" s="660" t="s">
        <v>872</v>
      </c>
      <c r="Q92" s="660"/>
      <c r="R92" s="660"/>
    </row>
    <row r="93" spans="1:32" ht="18.600000000000001" customHeight="1">
      <c r="A93" s="614" t="s">
        <v>809</v>
      </c>
      <c r="B93" s="661" t="s">
        <v>199</v>
      </c>
      <c r="C93" s="661"/>
      <c r="D93" s="661" t="s">
        <v>11</v>
      </c>
      <c r="E93" s="661"/>
      <c r="F93" s="659" t="s">
        <v>419</v>
      </c>
      <c r="G93" s="659"/>
      <c r="H93" s="659"/>
      <c r="I93" s="659"/>
      <c r="J93" s="689"/>
      <c r="K93" s="690" t="s">
        <v>420</v>
      </c>
      <c r="L93" s="88"/>
      <c r="M93" s="423">
        <v>130</v>
      </c>
      <c r="N93" s="324">
        <v>1</v>
      </c>
      <c r="O93" s="124">
        <v>2130</v>
      </c>
      <c r="P93" s="660" t="s">
        <v>323</v>
      </c>
      <c r="Q93" s="660"/>
      <c r="R93" s="660"/>
    </row>
    <row r="94" spans="1:32" ht="18.600000000000001" customHeight="1">
      <c r="A94" s="616"/>
      <c r="B94" s="661" t="s">
        <v>202</v>
      </c>
      <c r="C94" s="661"/>
      <c r="D94" s="661" t="s">
        <v>11</v>
      </c>
      <c r="E94" s="661"/>
      <c r="F94" s="659" t="s">
        <v>203</v>
      </c>
      <c r="G94" s="659"/>
      <c r="H94" s="659"/>
      <c r="I94" s="659"/>
      <c r="J94" s="686"/>
      <c r="K94" s="691"/>
      <c r="L94" s="88"/>
      <c r="M94" s="423"/>
      <c r="N94" s="324"/>
      <c r="O94" s="124"/>
      <c r="P94" s="660"/>
      <c r="Q94" s="660"/>
      <c r="R94" s="660"/>
    </row>
    <row r="95" spans="1:32" ht="18.600000000000001" customHeight="1">
      <c r="A95" s="614" t="s">
        <v>127</v>
      </c>
      <c r="B95" s="661" t="s">
        <v>10</v>
      </c>
      <c r="C95" s="661"/>
      <c r="D95" s="661" t="s">
        <v>43</v>
      </c>
      <c r="E95" s="661"/>
      <c r="F95" s="659" t="s">
        <v>810</v>
      </c>
      <c r="G95" s="659"/>
      <c r="H95" s="659"/>
      <c r="I95" s="659"/>
      <c r="J95" s="685" t="s">
        <v>1228</v>
      </c>
      <c r="K95" s="687"/>
      <c r="L95" s="88"/>
      <c r="M95" s="423">
        <v>130</v>
      </c>
      <c r="N95" s="324">
        <v>1</v>
      </c>
      <c r="O95" s="124">
        <v>500</v>
      </c>
      <c r="P95" s="660" t="s">
        <v>12</v>
      </c>
      <c r="Q95" s="660"/>
      <c r="R95" s="660"/>
    </row>
    <row r="96" spans="1:32" ht="18.600000000000001" customHeight="1" thickBot="1">
      <c r="A96" s="684"/>
      <c r="B96" s="693" t="s">
        <v>13</v>
      </c>
      <c r="C96" s="694"/>
      <c r="D96" s="693" t="s">
        <v>14</v>
      </c>
      <c r="E96" s="694"/>
      <c r="F96" s="695" t="s">
        <v>811</v>
      </c>
      <c r="G96" s="695"/>
      <c r="H96" s="695"/>
      <c r="I96" s="695"/>
      <c r="J96" s="686"/>
      <c r="K96" s="688"/>
      <c r="L96" s="224"/>
      <c r="M96" s="424"/>
      <c r="N96" s="325"/>
      <c r="O96" s="363"/>
      <c r="P96" s="692"/>
      <c r="Q96" s="692"/>
      <c r="R96" s="692"/>
    </row>
    <row r="97" spans="1:18" ht="18.600000000000001" customHeight="1" thickTop="1">
      <c r="A97" s="664" t="s">
        <v>380</v>
      </c>
      <c r="B97" s="637" t="s">
        <v>10</v>
      </c>
      <c r="C97" s="637"/>
      <c r="D97" s="638" t="s">
        <v>14</v>
      </c>
      <c r="E97" s="639"/>
      <c r="F97" s="653" t="s">
        <v>445</v>
      </c>
      <c r="G97" s="653"/>
      <c r="H97" s="653"/>
      <c r="I97" s="653"/>
      <c r="J97" s="677" t="s">
        <v>1458</v>
      </c>
      <c r="K97" s="678" t="s">
        <v>986</v>
      </c>
      <c r="L97" s="108"/>
      <c r="M97" s="425">
        <v>130</v>
      </c>
      <c r="N97" s="326">
        <v>1</v>
      </c>
      <c r="O97" s="51">
        <v>2130</v>
      </c>
      <c r="P97" s="631" t="s">
        <v>825</v>
      </c>
      <c r="Q97" s="632"/>
      <c r="R97" s="633"/>
    </row>
    <row r="98" spans="1:18" ht="18.600000000000001" customHeight="1">
      <c r="A98" s="664"/>
      <c r="B98" s="637" t="s">
        <v>81</v>
      </c>
      <c r="C98" s="637"/>
      <c r="D98" s="638" t="s">
        <v>14</v>
      </c>
      <c r="E98" s="639"/>
      <c r="F98" s="653" t="s">
        <v>448</v>
      </c>
      <c r="G98" s="653"/>
      <c r="H98" s="653"/>
      <c r="I98" s="653"/>
      <c r="J98" s="626"/>
      <c r="K98" s="629"/>
      <c r="L98" s="108"/>
      <c r="M98" s="423"/>
      <c r="N98" s="324"/>
      <c r="O98" s="51"/>
      <c r="P98" s="631"/>
      <c r="Q98" s="632"/>
      <c r="R98" s="633"/>
    </row>
    <row r="99" spans="1:18" ht="18.600000000000001" customHeight="1">
      <c r="A99" s="665"/>
      <c r="B99" s="637" t="s">
        <v>83</v>
      </c>
      <c r="C99" s="637"/>
      <c r="D99" s="638" t="s">
        <v>11</v>
      </c>
      <c r="E99" s="639"/>
      <c r="F99" s="659" t="s">
        <v>1165</v>
      </c>
      <c r="G99" s="659"/>
      <c r="H99" s="659"/>
      <c r="I99" s="659"/>
      <c r="J99" s="627"/>
      <c r="K99" s="630"/>
      <c r="L99" s="108"/>
      <c r="M99" s="423"/>
      <c r="N99" s="324"/>
      <c r="O99" s="51"/>
      <c r="P99" s="634"/>
      <c r="Q99" s="635"/>
      <c r="R99" s="636"/>
    </row>
    <row r="100" spans="1:18" ht="18.600000000000001" customHeight="1">
      <c r="A100" s="59" t="s">
        <v>269</v>
      </c>
      <c r="B100" s="679" t="s">
        <v>868</v>
      </c>
      <c r="C100" s="680"/>
      <c r="D100" s="838" t="s">
        <v>240</v>
      </c>
      <c r="E100" s="838"/>
      <c r="F100" s="839" t="s">
        <v>1188</v>
      </c>
      <c r="G100" s="840"/>
      <c r="H100" s="840"/>
      <c r="I100" s="841"/>
      <c r="J100" s="255" t="s">
        <v>1296</v>
      </c>
      <c r="K100" s="96"/>
      <c r="L100" s="76" t="s">
        <v>425</v>
      </c>
      <c r="M100" s="427">
        <v>130</v>
      </c>
      <c r="N100" s="320">
        <v>1</v>
      </c>
      <c r="O100" s="43">
        <v>8130</v>
      </c>
      <c r="P100" s="674" t="s">
        <v>918</v>
      </c>
      <c r="Q100" s="675"/>
      <c r="R100" s="676"/>
    </row>
    <row r="101" spans="1:18" ht="30.6" customHeight="1">
      <c r="A101" s="59" t="s">
        <v>156</v>
      </c>
      <c r="B101" s="618" t="s">
        <v>485</v>
      </c>
      <c r="C101" s="619"/>
      <c r="D101" s="618" t="s">
        <v>49</v>
      </c>
      <c r="E101" s="619"/>
      <c r="F101" s="620" t="s">
        <v>1149</v>
      </c>
      <c r="G101" s="621"/>
      <c r="H101" s="621"/>
      <c r="I101" s="622"/>
      <c r="J101" s="304" t="s">
        <v>1465</v>
      </c>
      <c r="K101" s="538" t="s">
        <v>1467</v>
      </c>
      <c r="L101" s="97" t="s">
        <v>425</v>
      </c>
      <c r="M101" s="422">
        <v>130</v>
      </c>
      <c r="N101" s="323">
        <v>1</v>
      </c>
      <c r="O101" s="32">
        <v>13130</v>
      </c>
      <c r="P101" s="652" t="s">
        <v>876</v>
      </c>
      <c r="Q101" s="623"/>
      <c r="R101" s="624"/>
    </row>
    <row r="102" spans="1:18" ht="30.6" customHeight="1">
      <c r="A102" s="231" t="s">
        <v>70</v>
      </c>
      <c r="B102" s="650" t="s">
        <v>147</v>
      </c>
      <c r="C102" s="650"/>
      <c r="D102" s="650" t="s">
        <v>49</v>
      </c>
      <c r="E102" s="650"/>
      <c r="F102" s="651" t="s">
        <v>441</v>
      </c>
      <c r="G102" s="651"/>
      <c r="H102" s="651"/>
      <c r="I102" s="651"/>
      <c r="J102" s="296" t="s">
        <v>1468</v>
      </c>
      <c r="K102" s="269" t="s">
        <v>1290</v>
      </c>
      <c r="L102" s="97" t="s">
        <v>425</v>
      </c>
      <c r="M102" s="422">
        <v>130</v>
      </c>
      <c r="N102" s="323">
        <v>1</v>
      </c>
      <c r="O102" s="32">
        <v>20130</v>
      </c>
      <c r="P102" s="660" t="s">
        <v>877</v>
      </c>
      <c r="Q102" s="660"/>
      <c r="R102" s="660"/>
    </row>
    <row r="103" spans="1:18" ht="18.600000000000001" customHeight="1">
      <c r="A103" s="664" t="s">
        <v>141</v>
      </c>
      <c r="B103" s="637" t="s">
        <v>10</v>
      </c>
      <c r="C103" s="637"/>
      <c r="D103" s="638" t="s">
        <v>43</v>
      </c>
      <c r="E103" s="639"/>
      <c r="F103" s="666" t="s">
        <v>890</v>
      </c>
      <c r="G103" s="667"/>
      <c r="H103" s="667"/>
      <c r="I103" s="667"/>
      <c r="J103" s="668" t="s">
        <v>1466</v>
      </c>
      <c r="K103" s="671"/>
      <c r="L103" s="108"/>
      <c r="M103" s="423">
        <v>130</v>
      </c>
      <c r="N103" s="324">
        <v>1</v>
      </c>
      <c r="O103" s="51">
        <v>3130</v>
      </c>
      <c r="P103" s="631" t="s">
        <v>910</v>
      </c>
      <c r="Q103" s="632"/>
      <c r="R103" s="633"/>
    </row>
    <row r="104" spans="1:18" ht="18.600000000000001" customHeight="1">
      <c r="A104" s="664"/>
      <c r="B104" s="637" t="s">
        <v>81</v>
      </c>
      <c r="C104" s="637"/>
      <c r="D104" s="661" t="s">
        <v>11</v>
      </c>
      <c r="E104" s="661"/>
      <c r="F104" s="662" t="s">
        <v>891</v>
      </c>
      <c r="G104" s="663"/>
      <c r="H104" s="663"/>
      <c r="I104" s="663"/>
      <c r="J104" s="669"/>
      <c r="K104" s="672"/>
      <c r="L104" s="108"/>
      <c r="M104" s="423"/>
      <c r="N104" s="324"/>
      <c r="O104" s="51"/>
      <c r="P104" s="631"/>
      <c r="Q104" s="632"/>
      <c r="R104" s="633"/>
    </row>
    <row r="105" spans="1:18" ht="18.600000000000001" customHeight="1">
      <c r="A105" s="665"/>
      <c r="B105" s="637" t="s">
        <v>83</v>
      </c>
      <c r="C105" s="637"/>
      <c r="D105" s="661" t="s">
        <v>11</v>
      </c>
      <c r="E105" s="661"/>
      <c r="F105" s="659" t="s">
        <v>892</v>
      </c>
      <c r="G105" s="659"/>
      <c r="H105" s="659"/>
      <c r="I105" s="659"/>
      <c r="J105" s="670"/>
      <c r="K105" s="673"/>
      <c r="L105" s="108"/>
      <c r="M105" s="423"/>
      <c r="N105" s="324"/>
      <c r="O105" s="51"/>
      <c r="P105" s="634"/>
      <c r="Q105" s="635"/>
      <c r="R105" s="636"/>
    </row>
    <row r="106" spans="1:18" ht="18.600000000000001" customHeight="1">
      <c r="A106" s="184" t="s">
        <v>352</v>
      </c>
      <c r="B106" s="650" t="s">
        <v>147</v>
      </c>
      <c r="C106" s="650"/>
      <c r="D106" s="650" t="s">
        <v>49</v>
      </c>
      <c r="E106" s="650"/>
      <c r="F106" s="651" t="s">
        <v>966</v>
      </c>
      <c r="G106" s="651"/>
      <c r="H106" s="651"/>
      <c r="I106" s="651"/>
      <c r="J106" s="25" t="s">
        <v>1571</v>
      </c>
      <c r="K106" s="25" t="s">
        <v>1573</v>
      </c>
      <c r="L106" s="97" t="s">
        <v>425</v>
      </c>
      <c r="M106" s="32">
        <v>130</v>
      </c>
      <c r="N106" s="327">
        <v>1</v>
      </c>
      <c r="O106" s="428">
        <v>1330</v>
      </c>
      <c r="P106" s="652" t="s">
        <v>976</v>
      </c>
      <c r="Q106" s="623"/>
      <c r="R106" s="624"/>
    </row>
    <row r="107" spans="1:18" ht="18.600000000000001" customHeight="1">
      <c r="A107" s="59" t="s">
        <v>78</v>
      </c>
      <c r="B107" s="650" t="s">
        <v>211</v>
      </c>
      <c r="C107" s="650"/>
      <c r="D107" s="650" t="s">
        <v>72</v>
      </c>
      <c r="E107" s="650"/>
      <c r="F107" s="651" t="s">
        <v>893</v>
      </c>
      <c r="G107" s="651"/>
      <c r="H107" s="651"/>
      <c r="I107" s="651"/>
      <c r="J107" s="25" t="s">
        <v>1298</v>
      </c>
      <c r="K107" s="25"/>
      <c r="L107" s="97" t="s">
        <v>436</v>
      </c>
      <c r="M107" s="422">
        <v>130</v>
      </c>
      <c r="N107" s="323">
        <v>1</v>
      </c>
      <c r="O107" s="32">
        <v>10130</v>
      </c>
      <c r="P107" s="660" t="s">
        <v>466</v>
      </c>
      <c r="Q107" s="660"/>
      <c r="R107" s="660"/>
    </row>
    <row r="108" spans="1:18" ht="18.600000000000001" customHeight="1">
      <c r="A108" s="59" t="s">
        <v>1167</v>
      </c>
      <c r="B108" s="650" t="s">
        <v>147</v>
      </c>
      <c r="C108" s="650"/>
      <c r="D108" s="650" t="s">
        <v>49</v>
      </c>
      <c r="E108" s="650"/>
      <c r="F108" s="651" t="s">
        <v>1150</v>
      </c>
      <c r="G108" s="651"/>
      <c r="H108" s="651"/>
      <c r="I108" s="651"/>
      <c r="J108" s="25" t="s">
        <v>1572</v>
      </c>
      <c r="K108" s="25" t="s">
        <v>1573</v>
      </c>
      <c r="L108" s="97" t="s">
        <v>1169</v>
      </c>
      <c r="M108" s="422">
        <v>130</v>
      </c>
      <c r="N108" s="323">
        <v>1</v>
      </c>
      <c r="O108" s="32">
        <v>2630</v>
      </c>
      <c r="P108" s="652" t="s">
        <v>977</v>
      </c>
      <c r="Q108" s="623"/>
      <c r="R108" s="624"/>
    </row>
    <row r="109" spans="1:18" ht="18.600000000000001" customHeight="1">
      <c r="A109" s="59" t="s">
        <v>920</v>
      </c>
      <c r="B109" s="618" t="s">
        <v>62</v>
      </c>
      <c r="C109" s="619"/>
      <c r="D109" s="618" t="s">
        <v>63</v>
      </c>
      <c r="E109" s="619"/>
      <c r="F109" s="620" t="s">
        <v>882</v>
      </c>
      <c r="G109" s="621"/>
      <c r="H109" s="621"/>
      <c r="I109" s="622"/>
      <c r="J109" s="25" t="s">
        <v>1298</v>
      </c>
      <c r="K109" s="25"/>
      <c r="L109" s="257" t="s">
        <v>425</v>
      </c>
      <c r="M109" s="426">
        <v>130</v>
      </c>
      <c r="N109" s="323">
        <v>1</v>
      </c>
      <c r="O109" s="32">
        <v>20130</v>
      </c>
      <c r="P109" s="623" t="s">
        <v>883</v>
      </c>
      <c r="Q109" s="623"/>
      <c r="R109" s="624"/>
    </row>
    <row r="110" spans="1:18" ht="30.6" customHeight="1">
      <c r="A110" s="61" t="s">
        <v>921</v>
      </c>
      <c r="B110" s="618" t="s">
        <v>178</v>
      </c>
      <c r="C110" s="619"/>
      <c r="D110" s="618" t="s">
        <v>72</v>
      </c>
      <c r="E110" s="619"/>
      <c r="F110" s="620" t="s">
        <v>922</v>
      </c>
      <c r="G110" s="621"/>
      <c r="H110" s="621"/>
      <c r="I110" s="622"/>
      <c r="J110" s="532" t="s">
        <v>1464</v>
      </c>
      <c r="K110" s="537" t="s">
        <v>1091</v>
      </c>
      <c r="L110" s="97" t="s">
        <v>436</v>
      </c>
      <c r="M110" s="422">
        <v>130</v>
      </c>
      <c r="N110" s="323">
        <v>1</v>
      </c>
      <c r="O110" s="32">
        <v>5130</v>
      </c>
      <c r="P110" s="660" t="s">
        <v>878</v>
      </c>
      <c r="Q110" s="660"/>
      <c r="R110" s="660"/>
    </row>
    <row r="111" spans="1:18" ht="18.600000000000001" customHeight="1">
      <c r="A111" s="278" t="s">
        <v>1367</v>
      </c>
      <c r="B111" s="276"/>
      <c r="C111" s="276"/>
      <c r="D111" s="205"/>
      <c r="E111" s="205"/>
      <c r="F111" s="206"/>
      <c r="G111" s="206"/>
      <c r="H111" s="206"/>
      <c r="I111" s="206"/>
      <c r="J111" s="207"/>
      <c r="K111" s="207"/>
      <c r="L111" s="207"/>
      <c r="M111" s="207"/>
      <c r="N111" s="329"/>
      <c r="O111" s="466"/>
      <c r="P111" s="214"/>
      <c r="Q111" s="214"/>
      <c r="R111" s="214"/>
    </row>
    <row r="112" spans="1:18" ht="18.600000000000001" customHeight="1">
      <c r="A112" s="279"/>
      <c r="B112" s="116"/>
      <c r="C112" s="116"/>
      <c r="D112" s="205"/>
      <c r="E112" s="205"/>
      <c r="F112" s="206"/>
      <c r="G112" s="206"/>
      <c r="H112" s="206"/>
      <c r="I112" s="206"/>
      <c r="J112" s="207"/>
      <c r="K112" s="207"/>
      <c r="L112" s="207"/>
      <c r="M112" s="207"/>
      <c r="N112" s="329"/>
      <c r="O112" s="466"/>
      <c r="P112" s="214"/>
      <c r="Q112" s="214"/>
      <c r="R112" s="214"/>
    </row>
    <row r="113" spans="1:18" ht="18.600000000000001" customHeight="1">
      <c r="A113" s="279"/>
      <c r="B113" s="116"/>
      <c r="C113" s="116"/>
      <c r="D113" s="205"/>
      <c r="E113" s="205"/>
      <c r="F113" s="206"/>
      <c r="G113" s="206"/>
      <c r="H113" s="206"/>
      <c r="I113" s="206"/>
      <c r="J113" s="207"/>
      <c r="K113" s="207"/>
      <c r="L113" s="207"/>
      <c r="M113" s="207"/>
      <c r="N113" s="329"/>
      <c r="O113" s="466"/>
      <c r="P113" s="214"/>
      <c r="Q113" s="214"/>
      <c r="R113" s="214"/>
    </row>
    <row r="114" spans="1:18" ht="18.600000000000001" customHeight="1">
      <c r="A114" s="279"/>
      <c r="B114" s="116"/>
      <c r="C114" s="116"/>
      <c r="D114" s="205"/>
      <c r="E114" s="205"/>
      <c r="F114" s="206"/>
      <c r="G114" s="206"/>
      <c r="H114" s="206"/>
      <c r="I114" s="206"/>
      <c r="J114" s="207"/>
      <c r="K114" s="207"/>
      <c r="L114" s="207"/>
      <c r="M114" s="207"/>
      <c r="N114" s="329"/>
      <c r="O114" s="466"/>
      <c r="P114" s="214"/>
      <c r="Q114" s="214"/>
      <c r="R114" s="214"/>
    </row>
  </sheetData>
  <mergeCells count="428">
    <mergeCell ref="U83:U87"/>
    <mergeCell ref="V83:W83"/>
    <mergeCell ref="X83:AC83"/>
    <mergeCell ref="V84:W84"/>
    <mergeCell ref="X84:AC84"/>
    <mergeCell ref="V85:W85"/>
    <mergeCell ref="X85:AC85"/>
    <mergeCell ref="V86:W86"/>
    <mergeCell ref="X86:AC86"/>
    <mergeCell ref="V87:W87"/>
    <mergeCell ref="X87:AC87"/>
    <mergeCell ref="Q3:R3"/>
    <mergeCell ref="Q41:R41"/>
    <mergeCell ref="B7:C7"/>
    <mergeCell ref="D7:E7"/>
    <mergeCell ref="F7:I7"/>
    <mergeCell ref="P7:R7"/>
    <mergeCell ref="B14:C14"/>
    <mergeCell ref="D14:E14"/>
    <mergeCell ref="F14:I14"/>
    <mergeCell ref="P8:R9"/>
    <mergeCell ref="B9:C9"/>
    <mergeCell ref="D9:E9"/>
    <mergeCell ref="F9:I9"/>
    <mergeCell ref="P10:R11"/>
    <mergeCell ref="P15:R15"/>
    <mergeCell ref="B16:C16"/>
    <mergeCell ref="D16:E16"/>
    <mergeCell ref="F16:I16"/>
    <mergeCell ref="P16:R16"/>
    <mergeCell ref="P12:R13"/>
    <mergeCell ref="P14:R14"/>
    <mergeCell ref="P17:R18"/>
    <mergeCell ref="B18:C18"/>
    <mergeCell ref="D18:E18"/>
    <mergeCell ref="A4:A5"/>
    <mergeCell ref="B4:C5"/>
    <mergeCell ref="D4:E5"/>
    <mergeCell ref="F4:I5"/>
    <mergeCell ref="J4:J5"/>
    <mergeCell ref="P4:R5"/>
    <mergeCell ref="B6:C6"/>
    <mergeCell ref="D6:E6"/>
    <mergeCell ref="F6:I6"/>
    <mergeCell ref="P6:R6"/>
    <mergeCell ref="K4:K5"/>
    <mergeCell ref="M4:M5"/>
    <mergeCell ref="N4:N5"/>
    <mergeCell ref="O4:O5"/>
    <mergeCell ref="A10:A11"/>
    <mergeCell ref="B10:C10"/>
    <mergeCell ref="D10:E10"/>
    <mergeCell ref="F10:I10"/>
    <mergeCell ref="J10:J11"/>
    <mergeCell ref="K10:K11"/>
    <mergeCell ref="A8:A9"/>
    <mergeCell ref="B8:C8"/>
    <mergeCell ref="D8:E8"/>
    <mergeCell ref="F8:I8"/>
    <mergeCell ref="J8:J9"/>
    <mergeCell ref="K8:K9"/>
    <mergeCell ref="B11:C11"/>
    <mergeCell ref="D11:E11"/>
    <mergeCell ref="F11:I11"/>
    <mergeCell ref="A12:A13"/>
    <mergeCell ref="B12:C12"/>
    <mergeCell ref="D12:E12"/>
    <mergeCell ref="F12:I12"/>
    <mergeCell ref="J12:J13"/>
    <mergeCell ref="K12:K13"/>
    <mergeCell ref="B15:C15"/>
    <mergeCell ref="D15:E15"/>
    <mergeCell ref="F15:I15"/>
    <mergeCell ref="B13:C13"/>
    <mergeCell ref="D13:E13"/>
    <mergeCell ref="F13:I13"/>
    <mergeCell ref="F18:I18"/>
    <mergeCell ref="A19:A20"/>
    <mergeCell ref="B19:C19"/>
    <mergeCell ref="D19:E19"/>
    <mergeCell ref="F19:I19"/>
    <mergeCell ref="J19:J20"/>
    <mergeCell ref="K19:K20"/>
    <mergeCell ref="A17:A18"/>
    <mergeCell ref="B17:C17"/>
    <mergeCell ref="D17:E17"/>
    <mergeCell ref="F17:I17"/>
    <mergeCell ref="J17:J18"/>
    <mergeCell ref="K17:K18"/>
    <mergeCell ref="P19:R20"/>
    <mergeCell ref="B20:C20"/>
    <mergeCell ref="D20:E20"/>
    <mergeCell ref="F20:I20"/>
    <mergeCell ref="P21:R23"/>
    <mergeCell ref="B22:C22"/>
    <mergeCell ref="D22:E22"/>
    <mergeCell ref="F22:I22"/>
    <mergeCell ref="B23:C23"/>
    <mergeCell ref="D23:E23"/>
    <mergeCell ref="F23:I23"/>
    <mergeCell ref="A21:A23"/>
    <mergeCell ref="B21:C21"/>
    <mergeCell ref="D21:E21"/>
    <mergeCell ref="F21:I21"/>
    <mergeCell ref="J21:J23"/>
    <mergeCell ref="K21:K23"/>
    <mergeCell ref="D30:E30"/>
    <mergeCell ref="F30:I30"/>
    <mergeCell ref="P30:R30"/>
    <mergeCell ref="P24:R24"/>
    <mergeCell ref="B25:C25"/>
    <mergeCell ref="D25:E25"/>
    <mergeCell ref="F25:I25"/>
    <mergeCell ref="P25:R25"/>
    <mergeCell ref="B24:C24"/>
    <mergeCell ref="D24:E24"/>
    <mergeCell ref="F24:I24"/>
    <mergeCell ref="B29:C29"/>
    <mergeCell ref="D29:E29"/>
    <mergeCell ref="F29:I29"/>
    <mergeCell ref="B26:C26"/>
    <mergeCell ref="D26:E26"/>
    <mergeCell ref="F26:I26"/>
    <mergeCell ref="P26:R26"/>
    <mergeCell ref="B27:C27"/>
    <mergeCell ref="D27:E27"/>
    <mergeCell ref="F27:I27"/>
    <mergeCell ref="A27:A29"/>
    <mergeCell ref="J27:J29"/>
    <mergeCell ref="K27:K29"/>
    <mergeCell ref="P27:R29"/>
    <mergeCell ref="P32:R32"/>
    <mergeCell ref="P33:R33"/>
    <mergeCell ref="B28:C28"/>
    <mergeCell ref="D28:E28"/>
    <mergeCell ref="F28:I28"/>
    <mergeCell ref="B30:C30"/>
    <mergeCell ref="P34:R34"/>
    <mergeCell ref="B31:C31"/>
    <mergeCell ref="D31:E31"/>
    <mergeCell ref="F31:I31"/>
    <mergeCell ref="B34:C34"/>
    <mergeCell ref="D34:E34"/>
    <mergeCell ref="F34:I34"/>
    <mergeCell ref="B32:C32"/>
    <mergeCell ref="D32:E32"/>
    <mergeCell ref="F32:I32"/>
    <mergeCell ref="B33:C33"/>
    <mergeCell ref="D33:E33"/>
    <mergeCell ref="F33:I33"/>
    <mergeCell ref="P31:R31"/>
    <mergeCell ref="A42:A43"/>
    <mergeCell ref="B42:C43"/>
    <mergeCell ref="D42:E43"/>
    <mergeCell ref="F42:I43"/>
    <mergeCell ref="J42:J43"/>
    <mergeCell ref="K42:K43"/>
    <mergeCell ref="M42:M43"/>
    <mergeCell ref="N42:N43"/>
    <mergeCell ref="O42:O43"/>
    <mergeCell ref="P42:R43"/>
    <mergeCell ref="B44:C44"/>
    <mergeCell ref="D44:E44"/>
    <mergeCell ref="F44:I44"/>
    <mergeCell ref="P44:R44"/>
    <mergeCell ref="B46:C46"/>
    <mergeCell ref="D46:E46"/>
    <mergeCell ref="F46:I46"/>
    <mergeCell ref="P46:R46"/>
    <mergeCell ref="A47:A48"/>
    <mergeCell ref="B47:C47"/>
    <mergeCell ref="D47:E47"/>
    <mergeCell ref="F47:I47"/>
    <mergeCell ref="J47:J48"/>
    <mergeCell ref="K47:K48"/>
    <mergeCell ref="P47:R48"/>
    <mergeCell ref="B48:C48"/>
    <mergeCell ref="D48:E48"/>
    <mergeCell ref="F48:I48"/>
    <mergeCell ref="A49:A50"/>
    <mergeCell ref="B49:C49"/>
    <mergeCell ref="D49:E49"/>
    <mergeCell ref="F49:I49"/>
    <mergeCell ref="J49:J50"/>
    <mergeCell ref="K49:K50"/>
    <mergeCell ref="P49:R50"/>
    <mergeCell ref="B50:C50"/>
    <mergeCell ref="D50:E50"/>
    <mergeCell ref="F50:I50"/>
    <mergeCell ref="A51:A52"/>
    <mergeCell ref="B51:C51"/>
    <mergeCell ref="D51:E51"/>
    <mergeCell ref="F51:I51"/>
    <mergeCell ref="J51:J52"/>
    <mergeCell ref="K51:K52"/>
    <mergeCell ref="P51:R52"/>
    <mergeCell ref="B52:C52"/>
    <mergeCell ref="D52:E52"/>
    <mergeCell ref="F52:I52"/>
    <mergeCell ref="B53:C53"/>
    <mergeCell ref="D53:E53"/>
    <mergeCell ref="F53:I53"/>
    <mergeCell ref="P53:R53"/>
    <mergeCell ref="B54:C54"/>
    <mergeCell ref="D54:E54"/>
    <mergeCell ref="F54:I54"/>
    <mergeCell ref="P54:R54"/>
    <mergeCell ref="B55:C55"/>
    <mergeCell ref="D55:E55"/>
    <mergeCell ref="F55:I55"/>
    <mergeCell ref="P55:R55"/>
    <mergeCell ref="A56:A57"/>
    <mergeCell ref="B56:C56"/>
    <mergeCell ref="D56:E56"/>
    <mergeCell ref="F56:I56"/>
    <mergeCell ref="J56:J57"/>
    <mergeCell ref="K56:K57"/>
    <mergeCell ref="P56:R57"/>
    <mergeCell ref="B57:C57"/>
    <mergeCell ref="D57:E57"/>
    <mergeCell ref="F57:I57"/>
    <mergeCell ref="A58:A59"/>
    <mergeCell ref="B58:C58"/>
    <mergeCell ref="D58:E58"/>
    <mergeCell ref="F58:I58"/>
    <mergeCell ref="J58:J59"/>
    <mergeCell ref="K58:K59"/>
    <mergeCell ref="P58:R59"/>
    <mergeCell ref="B59:C59"/>
    <mergeCell ref="D59:E59"/>
    <mergeCell ref="F59:I59"/>
    <mergeCell ref="B64:C64"/>
    <mergeCell ref="D64:E64"/>
    <mergeCell ref="F64:I64"/>
    <mergeCell ref="P64:R64"/>
    <mergeCell ref="B65:C65"/>
    <mergeCell ref="D65:E65"/>
    <mergeCell ref="F65:I65"/>
    <mergeCell ref="P65:R65"/>
    <mergeCell ref="A61:A63"/>
    <mergeCell ref="B61:C61"/>
    <mergeCell ref="D61:E61"/>
    <mergeCell ref="F61:I61"/>
    <mergeCell ref="J61:J63"/>
    <mergeCell ref="K61:K63"/>
    <mergeCell ref="P61:R63"/>
    <mergeCell ref="B62:C62"/>
    <mergeCell ref="D62:E62"/>
    <mergeCell ref="F62:I62"/>
    <mergeCell ref="B63:C63"/>
    <mergeCell ref="D63:E63"/>
    <mergeCell ref="F63:I63"/>
    <mergeCell ref="A68:A70"/>
    <mergeCell ref="B68:C68"/>
    <mergeCell ref="D68:E68"/>
    <mergeCell ref="F68:I68"/>
    <mergeCell ref="J68:J70"/>
    <mergeCell ref="K68:K70"/>
    <mergeCell ref="P68:R70"/>
    <mergeCell ref="B69:C69"/>
    <mergeCell ref="D69:E69"/>
    <mergeCell ref="F69:I69"/>
    <mergeCell ref="B70:C70"/>
    <mergeCell ref="D70:E70"/>
    <mergeCell ref="F70:I70"/>
    <mergeCell ref="B72:C72"/>
    <mergeCell ref="D72:E72"/>
    <mergeCell ref="F72:I72"/>
    <mergeCell ref="P72:R72"/>
    <mergeCell ref="B45:C45"/>
    <mergeCell ref="D45:E45"/>
    <mergeCell ref="F45:I45"/>
    <mergeCell ref="P45:R45"/>
    <mergeCell ref="B60:C60"/>
    <mergeCell ref="D60:E60"/>
    <mergeCell ref="F60:I60"/>
    <mergeCell ref="P60:R60"/>
    <mergeCell ref="B66:C66"/>
    <mergeCell ref="D66:E66"/>
    <mergeCell ref="F66:I66"/>
    <mergeCell ref="P66:R66"/>
    <mergeCell ref="B67:C67"/>
    <mergeCell ref="D67:E67"/>
    <mergeCell ref="F67:I67"/>
    <mergeCell ref="P67:R67"/>
    <mergeCell ref="B71:C71"/>
    <mergeCell ref="D71:E71"/>
    <mergeCell ref="F71:I71"/>
    <mergeCell ref="P71:R71"/>
    <mergeCell ref="Q79:R79"/>
    <mergeCell ref="A80:A81"/>
    <mergeCell ref="B80:C81"/>
    <mergeCell ref="D80:E81"/>
    <mergeCell ref="F80:I81"/>
    <mergeCell ref="J80:J81"/>
    <mergeCell ref="K80:K81"/>
    <mergeCell ref="M80:M81"/>
    <mergeCell ref="N80:N81"/>
    <mergeCell ref="O80:O81"/>
    <mergeCell ref="P80:R81"/>
    <mergeCell ref="B82:C82"/>
    <mergeCell ref="D82:E82"/>
    <mergeCell ref="F82:I82"/>
    <mergeCell ref="P82:R82"/>
    <mergeCell ref="B83:C83"/>
    <mergeCell ref="D83:E83"/>
    <mergeCell ref="F83:I83"/>
    <mergeCell ref="P83:R83"/>
    <mergeCell ref="A84:A85"/>
    <mergeCell ref="B84:C84"/>
    <mergeCell ref="D84:E84"/>
    <mergeCell ref="F84:I84"/>
    <mergeCell ref="J84:J85"/>
    <mergeCell ref="K84:K85"/>
    <mergeCell ref="P84:R85"/>
    <mergeCell ref="B85:C85"/>
    <mergeCell ref="D85:E85"/>
    <mergeCell ref="F85:I85"/>
    <mergeCell ref="A86:A87"/>
    <mergeCell ref="B86:C86"/>
    <mergeCell ref="D86:E86"/>
    <mergeCell ref="F86:I86"/>
    <mergeCell ref="J86:J87"/>
    <mergeCell ref="K86:K87"/>
    <mergeCell ref="P86:R87"/>
    <mergeCell ref="B87:C87"/>
    <mergeCell ref="D87:E87"/>
    <mergeCell ref="F87:I87"/>
    <mergeCell ref="A88:A89"/>
    <mergeCell ref="B88:C88"/>
    <mergeCell ref="D88:E88"/>
    <mergeCell ref="F88:I88"/>
    <mergeCell ref="J88:J89"/>
    <mergeCell ref="K88:K89"/>
    <mergeCell ref="P88:R89"/>
    <mergeCell ref="B89:C89"/>
    <mergeCell ref="D89:E89"/>
    <mergeCell ref="F89:I89"/>
    <mergeCell ref="B90:C90"/>
    <mergeCell ref="D90:E90"/>
    <mergeCell ref="F90:I90"/>
    <mergeCell ref="P90:R90"/>
    <mergeCell ref="B91:C91"/>
    <mergeCell ref="D91:E91"/>
    <mergeCell ref="F91:I91"/>
    <mergeCell ref="P91:R91"/>
    <mergeCell ref="B92:C92"/>
    <mergeCell ref="D92:E92"/>
    <mergeCell ref="F92:I92"/>
    <mergeCell ref="P92:R92"/>
    <mergeCell ref="A93:A94"/>
    <mergeCell ref="B93:C93"/>
    <mergeCell ref="D93:E93"/>
    <mergeCell ref="F93:I93"/>
    <mergeCell ref="J93:J94"/>
    <mergeCell ref="K93:K94"/>
    <mergeCell ref="P93:R94"/>
    <mergeCell ref="B94:C94"/>
    <mergeCell ref="D94:E94"/>
    <mergeCell ref="F94:I94"/>
    <mergeCell ref="A95:A96"/>
    <mergeCell ref="B95:C95"/>
    <mergeCell ref="D95:E95"/>
    <mergeCell ref="F95:I95"/>
    <mergeCell ref="J95:J96"/>
    <mergeCell ref="K95:K96"/>
    <mergeCell ref="P95:R96"/>
    <mergeCell ref="B96:C96"/>
    <mergeCell ref="D96:E96"/>
    <mergeCell ref="F96:I96"/>
    <mergeCell ref="A97:A99"/>
    <mergeCell ref="B97:C97"/>
    <mergeCell ref="D97:E97"/>
    <mergeCell ref="F97:I97"/>
    <mergeCell ref="J97:J99"/>
    <mergeCell ref="K97:K99"/>
    <mergeCell ref="P97:R99"/>
    <mergeCell ref="B98:C98"/>
    <mergeCell ref="D98:E98"/>
    <mergeCell ref="F98:I98"/>
    <mergeCell ref="B99:C99"/>
    <mergeCell ref="D99:E99"/>
    <mergeCell ref="F99:I99"/>
    <mergeCell ref="B100:C100"/>
    <mergeCell ref="D100:E100"/>
    <mergeCell ref="F100:I100"/>
    <mergeCell ref="P100:R100"/>
    <mergeCell ref="B101:C101"/>
    <mergeCell ref="D101:E101"/>
    <mergeCell ref="F101:I101"/>
    <mergeCell ref="P101:R101"/>
    <mergeCell ref="B102:C102"/>
    <mergeCell ref="D102:E102"/>
    <mergeCell ref="F102:I102"/>
    <mergeCell ref="P102:R102"/>
    <mergeCell ref="A103:A105"/>
    <mergeCell ref="B103:C103"/>
    <mergeCell ref="D103:E103"/>
    <mergeCell ref="F103:I103"/>
    <mergeCell ref="J103:J105"/>
    <mergeCell ref="K103:K105"/>
    <mergeCell ref="P103:R105"/>
    <mergeCell ref="B104:C104"/>
    <mergeCell ref="D104:E104"/>
    <mergeCell ref="F104:I104"/>
    <mergeCell ref="B105:C105"/>
    <mergeCell ref="D105:E105"/>
    <mergeCell ref="F105:I105"/>
    <mergeCell ref="B109:C109"/>
    <mergeCell ref="D109:E109"/>
    <mergeCell ref="F109:I109"/>
    <mergeCell ref="P109:R109"/>
    <mergeCell ref="B110:C110"/>
    <mergeCell ref="D110:E110"/>
    <mergeCell ref="F110:I110"/>
    <mergeCell ref="P110:R110"/>
    <mergeCell ref="B106:C106"/>
    <mergeCell ref="D106:E106"/>
    <mergeCell ref="F106:I106"/>
    <mergeCell ref="P106:R106"/>
    <mergeCell ref="B107:C107"/>
    <mergeCell ref="D107:E107"/>
    <mergeCell ref="F107:I107"/>
    <mergeCell ref="P107:R107"/>
    <mergeCell ref="B108:C108"/>
    <mergeCell ref="D108:E108"/>
    <mergeCell ref="F108:I108"/>
    <mergeCell ref="P108:R108"/>
  </mergeCells>
  <phoneticPr fontId="11"/>
  <printOptions horizontalCentered="1" verticalCentered="1"/>
  <pageMargins left="0.11811023622047245" right="0.19685039370078741" top="0.11811023622047245" bottom="0.11811023622047245" header="0.11811023622047245" footer="0.11811023622047245"/>
  <pageSetup paperSize="9" scale="71" orientation="landscape" r:id="rId1"/>
  <rowBreaks count="2" manualBreakCount="2">
    <brk id="38" max="17" man="1"/>
    <brk id="76" max="17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ADC3D-FDD0-469C-B68A-75A01B90BD37}">
  <sheetPr>
    <tabColor rgb="FF00B050"/>
  </sheetPr>
  <dimension ref="A1:AF81"/>
  <sheetViews>
    <sheetView view="pageBreakPreview" topLeftCell="A64" zoomScale="85" zoomScaleNormal="100" zoomScaleSheetLayoutView="85" workbookViewId="0">
      <selection activeCell="P58" sqref="P58:R58"/>
    </sheetView>
  </sheetViews>
  <sheetFormatPr defaultRowHeight="18"/>
  <cols>
    <col min="1" max="1" width="5.69921875" customWidth="1"/>
    <col min="2" max="3" width="7.59765625" customWidth="1"/>
    <col min="4" max="5" width="5.69921875" customWidth="1"/>
    <col min="6" max="9" width="8.69921875" customWidth="1"/>
    <col min="10" max="11" width="30.69921875" customWidth="1"/>
    <col min="12" max="12" width="7.59765625" customWidth="1"/>
    <col min="13" max="13" width="5.69921875" customWidth="1"/>
    <col min="14" max="14" width="5.69921875" style="330" customWidth="1"/>
    <col min="15" max="15" width="5.69921875" customWidth="1"/>
    <col min="16" max="18" width="11.09765625" customWidth="1"/>
  </cols>
  <sheetData>
    <row r="1" spans="1:18" ht="18.75" customHeight="1">
      <c r="A1" s="262" t="s">
        <v>1578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69"/>
      <c r="O1" s="39"/>
      <c r="P1" s="39"/>
      <c r="Q1" s="39"/>
      <c r="R1" s="39"/>
    </row>
    <row r="2" spans="1:18" ht="18.75" customHeight="1">
      <c r="A2" s="267" t="s">
        <v>1183</v>
      </c>
      <c r="B2" s="464"/>
      <c r="C2" s="464"/>
      <c r="D2" s="464"/>
      <c r="E2" s="39"/>
      <c r="F2" s="39"/>
      <c r="G2" s="39"/>
      <c r="H2" s="39"/>
      <c r="I2" s="39"/>
      <c r="J2" s="39"/>
      <c r="K2" s="39"/>
      <c r="L2" s="465"/>
      <c r="M2" s="39"/>
      <c r="N2" s="469"/>
      <c r="O2" s="39"/>
      <c r="P2" s="39"/>
      <c r="Q2" s="39"/>
      <c r="R2" s="39"/>
    </row>
    <row r="3" spans="1:18" ht="15.9" customHeight="1">
      <c r="A3" s="49" t="s">
        <v>366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469"/>
      <c r="O3" s="39"/>
      <c r="P3" s="39"/>
      <c r="Q3" s="709" t="s">
        <v>983</v>
      </c>
      <c r="R3" s="709"/>
    </row>
    <row r="4" spans="1:18" ht="15.9" customHeight="1">
      <c r="A4" s="710" t="s">
        <v>2</v>
      </c>
      <c r="B4" s="712" t="s">
        <v>3</v>
      </c>
      <c r="C4" s="712"/>
      <c r="D4" s="650" t="s">
        <v>4</v>
      </c>
      <c r="E4" s="650"/>
      <c r="F4" s="712" t="s">
        <v>5</v>
      </c>
      <c r="G4" s="712"/>
      <c r="H4" s="712"/>
      <c r="I4" s="712"/>
      <c r="J4" s="713" t="s">
        <v>491</v>
      </c>
      <c r="K4" s="715" t="s">
        <v>7</v>
      </c>
      <c r="L4" s="185" t="s">
        <v>1168</v>
      </c>
      <c r="M4" s="696" t="s">
        <v>1095</v>
      </c>
      <c r="N4" s="716" t="s">
        <v>1096</v>
      </c>
      <c r="O4" s="715" t="s">
        <v>1097</v>
      </c>
      <c r="P4" s="674" t="s">
        <v>8</v>
      </c>
      <c r="Q4" s="675"/>
      <c r="R4" s="676"/>
    </row>
    <row r="5" spans="1:18" ht="15.9" customHeight="1">
      <c r="A5" s="711"/>
      <c r="B5" s="712"/>
      <c r="C5" s="712"/>
      <c r="D5" s="650"/>
      <c r="E5" s="650"/>
      <c r="F5" s="712"/>
      <c r="G5" s="712"/>
      <c r="H5" s="712"/>
      <c r="I5" s="712"/>
      <c r="J5" s="714"/>
      <c r="K5" s="715"/>
      <c r="L5" s="186" t="s">
        <v>1170</v>
      </c>
      <c r="M5" s="706"/>
      <c r="N5" s="717"/>
      <c r="O5" s="715"/>
      <c r="P5" s="674"/>
      <c r="Q5" s="675"/>
      <c r="R5" s="676"/>
    </row>
    <row r="6" spans="1:18" ht="16.95" customHeight="1">
      <c r="A6" s="59" t="s">
        <v>233</v>
      </c>
      <c r="B6" s="706" t="s">
        <v>178</v>
      </c>
      <c r="C6" s="706"/>
      <c r="D6" s="650" t="s">
        <v>240</v>
      </c>
      <c r="E6" s="650"/>
      <c r="F6" s="707" t="s">
        <v>1067</v>
      </c>
      <c r="G6" s="707"/>
      <c r="H6" s="707"/>
      <c r="I6" s="707"/>
      <c r="J6" s="23" t="s">
        <v>1600</v>
      </c>
      <c r="K6" s="536" t="s">
        <v>986</v>
      </c>
      <c r="L6" s="93" t="s">
        <v>425</v>
      </c>
      <c r="M6" s="422">
        <v>130</v>
      </c>
      <c r="N6" s="323">
        <v>1</v>
      </c>
      <c r="O6" s="43">
        <v>20130</v>
      </c>
      <c r="P6" s="708" t="s">
        <v>873</v>
      </c>
      <c r="Q6" s="708"/>
      <c r="R6" s="708"/>
    </row>
    <row r="7" spans="1:18" ht="16.95" customHeight="1">
      <c r="A7" s="57" t="s">
        <v>239</v>
      </c>
      <c r="B7" s="618" t="s">
        <v>236</v>
      </c>
      <c r="C7" s="619"/>
      <c r="D7" s="618" t="s">
        <v>49</v>
      </c>
      <c r="E7" s="619"/>
      <c r="F7" s="620" t="s">
        <v>1171</v>
      </c>
      <c r="G7" s="621"/>
      <c r="H7" s="621"/>
      <c r="I7" s="622"/>
      <c r="J7" s="15" t="s">
        <v>1228</v>
      </c>
      <c r="K7" s="15"/>
      <c r="L7" s="97" t="s">
        <v>436</v>
      </c>
      <c r="M7" s="422">
        <v>130</v>
      </c>
      <c r="N7" s="323">
        <v>1</v>
      </c>
      <c r="O7" s="32">
        <v>12130</v>
      </c>
      <c r="P7" s="652" t="s">
        <v>426</v>
      </c>
      <c r="Q7" s="623"/>
      <c r="R7" s="624"/>
    </row>
    <row r="8" spans="1:18" ht="16.95" customHeight="1">
      <c r="A8" s="614" t="s">
        <v>242</v>
      </c>
      <c r="B8" s="661" t="s">
        <v>10</v>
      </c>
      <c r="C8" s="661"/>
      <c r="D8" s="661" t="s">
        <v>11</v>
      </c>
      <c r="E8" s="661"/>
      <c r="F8" s="659" t="s">
        <v>415</v>
      </c>
      <c r="G8" s="659"/>
      <c r="H8" s="659"/>
      <c r="I8" s="659"/>
      <c r="J8" s="625" t="s">
        <v>1601</v>
      </c>
      <c r="K8" s="704" t="s">
        <v>1590</v>
      </c>
      <c r="L8" s="88"/>
      <c r="M8" s="423">
        <v>130</v>
      </c>
      <c r="N8" s="324">
        <v>1</v>
      </c>
      <c r="O8" s="124">
        <v>10130</v>
      </c>
      <c r="P8" s="656" t="s">
        <v>875</v>
      </c>
      <c r="Q8" s="657"/>
      <c r="R8" s="658"/>
    </row>
    <row r="9" spans="1:18" ht="16.95" customHeight="1">
      <c r="A9" s="616"/>
      <c r="B9" s="700" t="s">
        <v>13</v>
      </c>
      <c r="C9" s="701"/>
      <c r="D9" s="661" t="s">
        <v>11</v>
      </c>
      <c r="E9" s="661"/>
      <c r="F9" s="659" t="s">
        <v>418</v>
      </c>
      <c r="G9" s="659"/>
      <c r="H9" s="659"/>
      <c r="I9" s="659"/>
      <c r="J9" s="627"/>
      <c r="K9" s="705"/>
      <c r="L9" s="88"/>
      <c r="M9" s="423"/>
      <c r="N9" s="324"/>
      <c r="O9" s="124"/>
      <c r="P9" s="634"/>
      <c r="Q9" s="635"/>
      <c r="R9" s="636"/>
    </row>
    <row r="10" spans="1:18" ht="16.95" customHeight="1">
      <c r="A10" s="614" t="s">
        <v>807</v>
      </c>
      <c r="B10" s="661" t="s">
        <v>10</v>
      </c>
      <c r="C10" s="661"/>
      <c r="D10" s="661" t="s">
        <v>43</v>
      </c>
      <c r="E10" s="661"/>
      <c r="F10" s="653" t="s">
        <v>1525</v>
      </c>
      <c r="G10" s="653"/>
      <c r="H10" s="653"/>
      <c r="I10" s="653"/>
      <c r="J10" s="625" t="s">
        <v>1599</v>
      </c>
      <c r="K10" s="703"/>
      <c r="L10" s="88"/>
      <c r="M10" s="423">
        <v>130</v>
      </c>
      <c r="N10" s="324">
        <v>1</v>
      </c>
      <c r="O10" s="124">
        <v>1230</v>
      </c>
      <c r="P10" s="656" t="s">
        <v>874</v>
      </c>
      <c r="Q10" s="657"/>
      <c r="R10" s="658"/>
    </row>
    <row r="11" spans="1:18" ht="16.95" customHeight="1">
      <c r="A11" s="616"/>
      <c r="B11" s="700" t="s">
        <v>13</v>
      </c>
      <c r="C11" s="701"/>
      <c r="D11" s="661" t="s">
        <v>11</v>
      </c>
      <c r="E11" s="661"/>
      <c r="F11" s="653" t="s">
        <v>414</v>
      </c>
      <c r="G11" s="653"/>
      <c r="H11" s="653"/>
      <c r="I11" s="653"/>
      <c r="J11" s="627"/>
      <c r="K11" s="673"/>
      <c r="L11" s="88"/>
      <c r="M11" s="423"/>
      <c r="N11" s="324"/>
      <c r="O11" s="124"/>
      <c r="P11" s="634"/>
      <c r="Q11" s="635"/>
      <c r="R11" s="636"/>
    </row>
    <row r="12" spans="1:18" ht="16.95" customHeight="1">
      <c r="A12" s="614" t="s">
        <v>808</v>
      </c>
      <c r="B12" s="661" t="s">
        <v>35</v>
      </c>
      <c r="C12" s="661"/>
      <c r="D12" s="661" t="s">
        <v>11</v>
      </c>
      <c r="E12" s="661"/>
      <c r="F12" s="699" t="s">
        <v>1190</v>
      </c>
      <c r="G12" s="699"/>
      <c r="H12" s="699"/>
      <c r="I12" s="699"/>
      <c r="J12" s="685"/>
      <c r="K12" s="702" t="s">
        <v>37</v>
      </c>
      <c r="L12" s="88"/>
      <c r="M12" s="423">
        <v>130</v>
      </c>
      <c r="N12" s="324">
        <v>1</v>
      </c>
      <c r="O12" s="124">
        <v>1230</v>
      </c>
      <c r="P12" s="660" t="s">
        <v>38</v>
      </c>
      <c r="Q12" s="660"/>
      <c r="R12" s="660"/>
    </row>
    <row r="13" spans="1:18" ht="16.95" customHeight="1">
      <c r="A13" s="616"/>
      <c r="B13" s="661" t="s">
        <v>304</v>
      </c>
      <c r="C13" s="661"/>
      <c r="D13" s="661" t="s">
        <v>11</v>
      </c>
      <c r="E13" s="661"/>
      <c r="F13" s="699" t="s">
        <v>1191</v>
      </c>
      <c r="G13" s="699"/>
      <c r="H13" s="699"/>
      <c r="I13" s="699"/>
      <c r="J13" s="686"/>
      <c r="K13" s="691"/>
      <c r="L13" s="88"/>
      <c r="M13" s="423"/>
      <c r="N13" s="324"/>
      <c r="O13" s="124"/>
      <c r="P13" s="660"/>
      <c r="Q13" s="660"/>
      <c r="R13" s="660"/>
    </row>
    <row r="14" spans="1:18" ht="30" customHeight="1">
      <c r="A14" s="59" t="s">
        <v>549</v>
      </c>
      <c r="B14" s="618" t="s">
        <v>164</v>
      </c>
      <c r="C14" s="619"/>
      <c r="D14" s="618" t="s">
        <v>63</v>
      </c>
      <c r="E14" s="619"/>
      <c r="F14" s="620" t="s">
        <v>788</v>
      </c>
      <c r="G14" s="621"/>
      <c r="H14" s="621"/>
      <c r="I14" s="622"/>
      <c r="J14" s="269" t="s">
        <v>1230</v>
      </c>
      <c r="K14" s="25"/>
      <c r="L14" s="93" t="s">
        <v>425</v>
      </c>
      <c r="M14" s="422">
        <v>130</v>
      </c>
      <c r="N14" s="323">
        <v>1</v>
      </c>
      <c r="O14" s="32">
        <v>5130</v>
      </c>
      <c r="P14" s="652" t="s">
        <v>871</v>
      </c>
      <c r="Q14" s="623"/>
      <c r="R14" s="624"/>
    </row>
    <row r="15" spans="1:18" ht="16.95" customHeight="1">
      <c r="A15" s="57" t="s">
        <v>434</v>
      </c>
      <c r="B15" s="696" t="s">
        <v>1114</v>
      </c>
      <c r="C15" s="696"/>
      <c r="D15" s="696" t="s">
        <v>1115</v>
      </c>
      <c r="E15" s="696"/>
      <c r="F15" s="697" t="s">
        <v>1116</v>
      </c>
      <c r="G15" s="697"/>
      <c r="H15" s="697"/>
      <c r="I15" s="697"/>
      <c r="J15" s="67" t="s">
        <v>1305</v>
      </c>
      <c r="K15" s="67"/>
      <c r="L15" s="97" t="s">
        <v>425</v>
      </c>
      <c r="M15" s="422">
        <v>130</v>
      </c>
      <c r="N15" s="323">
        <v>1</v>
      </c>
      <c r="O15" s="52">
        <v>10130</v>
      </c>
      <c r="P15" s="698" t="s">
        <v>438</v>
      </c>
      <c r="Q15" s="698"/>
      <c r="R15" s="698"/>
    </row>
    <row r="16" spans="1:18" ht="30" customHeight="1">
      <c r="A16" s="229" t="s">
        <v>309</v>
      </c>
      <c r="B16" s="650" t="s">
        <v>147</v>
      </c>
      <c r="C16" s="650"/>
      <c r="D16" s="650" t="s">
        <v>49</v>
      </c>
      <c r="E16" s="650"/>
      <c r="F16" s="651" t="s">
        <v>441</v>
      </c>
      <c r="G16" s="651"/>
      <c r="H16" s="651"/>
      <c r="I16" s="651"/>
      <c r="J16" s="296" t="s">
        <v>1580</v>
      </c>
      <c r="K16" s="269" t="s">
        <v>1440</v>
      </c>
      <c r="L16" s="113" t="s">
        <v>425</v>
      </c>
      <c r="M16" s="422">
        <v>130</v>
      </c>
      <c r="N16" s="323">
        <v>1</v>
      </c>
      <c r="O16" s="32">
        <v>4130</v>
      </c>
      <c r="P16" s="660" t="s">
        <v>872</v>
      </c>
      <c r="Q16" s="660"/>
      <c r="R16" s="660"/>
    </row>
    <row r="17" spans="1:22" ht="16.95" customHeight="1">
      <c r="A17" s="614" t="s">
        <v>809</v>
      </c>
      <c r="B17" s="661" t="s">
        <v>199</v>
      </c>
      <c r="C17" s="661"/>
      <c r="D17" s="661" t="s">
        <v>11</v>
      </c>
      <c r="E17" s="661"/>
      <c r="F17" s="659" t="s">
        <v>1593</v>
      </c>
      <c r="G17" s="659"/>
      <c r="H17" s="659"/>
      <c r="I17" s="659"/>
      <c r="J17" s="689"/>
      <c r="K17" s="690" t="s">
        <v>1594</v>
      </c>
      <c r="L17" s="88"/>
      <c r="M17" s="423">
        <v>130</v>
      </c>
      <c r="N17" s="324">
        <v>1</v>
      </c>
      <c r="O17" s="124">
        <v>1630</v>
      </c>
      <c r="P17" s="660" t="s">
        <v>1595</v>
      </c>
      <c r="Q17" s="660"/>
      <c r="R17" s="660"/>
      <c r="V17" s="560"/>
    </row>
    <row r="18" spans="1:22" ht="16.95" customHeight="1">
      <c r="A18" s="616"/>
      <c r="B18" s="661" t="s">
        <v>202</v>
      </c>
      <c r="C18" s="661"/>
      <c r="D18" s="661" t="s">
        <v>11</v>
      </c>
      <c r="E18" s="661"/>
      <c r="F18" s="659" t="s">
        <v>324</v>
      </c>
      <c r="G18" s="659"/>
      <c r="H18" s="659"/>
      <c r="I18" s="659"/>
      <c r="J18" s="686"/>
      <c r="K18" s="691"/>
      <c r="L18" s="88"/>
      <c r="M18" s="423"/>
      <c r="N18" s="324"/>
      <c r="O18" s="124"/>
      <c r="P18" s="660"/>
      <c r="Q18" s="660"/>
      <c r="R18" s="660"/>
    </row>
    <row r="19" spans="1:22" ht="16.95" customHeight="1">
      <c r="A19" s="614" t="s">
        <v>127</v>
      </c>
      <c r="B19" s="661" t="s">
        <v>10</v>
      </c>
      <c r="C19" s="661"/>
      <c r="D19" s="661" t="s">
        <v>43</v>
      </c>
      <c r="E19" s="661"/>
      <c r="F19" s="659" t="s">
        <v>810</v>
      </c>
      <c r="G19" s="659"/>
      <c r="H19" s="659"/>
      <c r="I19" s="659"/>
      <c r="J19" s="685" t="s">
        <v>1228</v>
      </c>
      <c r="K19" s="687"/>
      <c r="L19" s="88"/>
      <c r="M19" s="423">
        <v>130</v>
      </c>
      <c r="N19" s="324">
        <v>1</v>
      </c>
      <c r="O19" s="124">
        <v>500</v>
      </c>
      <c r="P19" s="660" t="s">
        <v>12</v>
      </c>
      <c r="Q19" s="660"/>
      <c r="R19" s="660"/>
    </row>
    <row r="20" spans="1:22" ht="16.95" customHeight="1" thickBot="1">
      <c r="A20" s="684"/>
      <c r="B20" s="693" t="s">
        <v>13</v>
      </c>
      <c r="C20" s="694"/>
      <c r="D20" s="693" t="s">
        <v>14</v>
      </c>
      <c r="E20" s="694"/>
      <c r="F20" s="695" t="s">
        <v>811</v>
      </c>
      <c r="G20" s="695"/>
      <c r="H20" s="695"/>
      <c r="I20" s="695"/>
      <c r="J20" s="686"/>
      <c r="K20" s="688"/>
      <c r="L20" s="224"/>
      <c r="M20" s="424"/>
      <c r="N20" s="325"/>
      <c r="O20" s="363"/>
      <c r="P20" s="692"/>
      <c r="Q20" s="692"/>
      <c r="R20" s="692"/>
    </row>
    <row r="21" spans="1:22" ht="16.95" customHeight="1" thickTop="1">
      <c r="A21" s="664" t="s">
        <v>380</v>
      </c>
      <c r="B21" s="637" t="s">
        <v>10</v>
      </c>
      <c r="C21" s="637"/>
      <c r="D21" s="638" t="s">
        <v>14</v>
      </c>
      <c r="E21" s="639"/>
      <c r="F21" s="653" t="s">
        <v>445</v>
      </c>
      <c r="G21" s="653"/>
      <c r="H21" s="653"/>
      <c r="I21" s="653"/>
      <c r="J21" s="677" t="s">
        <v>1307</v>
      </c>
      <c r="K21" s="678" t="s">
        <v>986</v>
      </c>
      <c r="L21" s="108"/>
      <c r="M21" s="425">
        <v>130</v>
      </c>
      <c r="N21" s="326">
        <v>1</v>
      </c>
      <c r="O21" s="51">
        <v>2130</v>
      </c>
      <c r="P21" s="631" t="s">
        <v>825</v>
      </c>
      <c r="Q21" s="632"/>
      <c r="R21" s="633"/>
    </row>
    <row r="22" spans="1:22" ht="16.95" customHeight="1">
      <c r="A22" s="664"/>
      <c r="B22" s="637" t="s">
        <v>81</v>
      </c>
      <c r="C22" s="637"/>
      <c r="D22" s="638" t="s">
        <v>14</v>
      </c>
      <c r="E22" s="639"/>
      <c r="F22" s="653" t="s">
        <v>448</v>
      </c>
      <c r="G22" s="653"/>
      <c r="H22" s="653"/>
      <c r="I22" s="653"/>
      <c r="J22" s="626"/>
      <c r="K22" s="629"/>
      <c r="L22" s="108"/>
      <c r="M22" s="423"/>
      <c r="N22" s="324"/>
      <c r="O22" s="51"/>
      <c r="P22" s="631"/>
      <c r="Q22" s="632"/>
      <c r="R22" s="633"/>
    </row>
    <row r="23" spans="1:22" ht="16.95" customHeight="1">
      <c r="A23" s="665"/>
      <c r="B23" s="637" t="s">
        <v>83</v>
      </c>
      <c r="C23" s="637"/>
      <c r="D23" s="638" t="s">
        <v>11</v>
      </c>
      <c r="E23" s="639"/>
      <c r="F23" s="659" t="s">
        <v>1165</v>
      </c>
      <c r="G23" s="659"/>
      <c r="H23" s="659"/>
      <c r="I23" s="659"/>
      <c r="J23" s="627"/>
      <c r="K23" s="630"/>
      <c r="L23" s="108"/>
      <c r="M23" s="423"/>
      <c r="N23" s="324"/>
      <c r="O23" s="51"/>
      <c r="P23" s="634"/>
      <c r="Q23" s="635"/>
      <c r="R23" s="636"/>
    </row>
    <row r="24" spans="1:22" ht="16.95" customHeight="1">
      <c r="A24" s="59" t="s">
        <v>269</v>
      </c>
      <c r="B24" s="679" t="s">
        <v>868</v>
      </c>
      <c r="C24" s="680"/>
      <c r="D24" s="650" t="s">
        <v>240</v>
      </c>
      <c r="E24" s="650"/>
      <c r="F24" s="681" t="s">
        <v>1188</v>
      </c>
      <c r="G24" s="682"/>
      <c r="H24" s="682"/>
      <c r="I24" s="683"/>
      <c r="J24" s="255" t="s">
        <v>1296</v>
      </c>
      <c r="K24" s="96"/>
      <c r="L24" s="76" t="s">
        <v>425</v>
      </c>
      <c r="M24" s="427">
        <v>130</v>
      </c>
      <c r="N24" s="320">
        <v>1</v>
      </c>
      <c r="O24" s="43">
        <v>8130</v>
      </c>
      <c r="P24" s="674" t="s">
        <v>918</v>
      </c>
      <c r="Q24" s="675"/>
      <c r="R24" s="676"/>
    </row>
    <row r="25" spans="1:22" ht="30.6" customHeight="1">
      <c r="A25" s="59" t="s">
        <v>156</v>
      </c>
      <c r="B25" s="618" t="s">
        <v>485</v>
      </c>
      <c r="C25" s="619"/>
      <c r="D25" s="618" t="s">
        <v>49</v>
      </c>
      <c r="E25" s="619"/>
      <c r="F25" s="620" t="s">
        <v>1149</v>
      </c>
      <c r="G25" s="621"/>
      <c r="H25" s="621"/>
      <c r="I25" s="622"/>
      <c r="J25" s="304" t="s">
        <v>1581</v>
      </c>
      <c r="K25" s="538" t="s">
        <v>1582</v>
      </c>
      <c r="L25" s="97" t="s">
        <v>425</v>
      </c>
      <c r="M25" s="422">
        <v>130</v>
      </c>
      <c r="N25" s="323">
        <v>1</v>
      </c>
      <c r="O25" s="32">
        <v>13130</v>
      </c>
      <c r="P25" s="652" t="s">
        <v>876</v>
      </c>
      <c r="Q25" s="623"/>
      <c r="R25" s="624"/>
    </row>
    <row r="26" spans="1:22" ht="30.6" customHeight="1">
      <c r="A26" s="231" t="s">
        <v>70</v>
      </c>
      <c r="B26" s="650" t="s">
        <v>147</v>
      </c>
      <c r="C26" s="650"/>
      <c r="D26" s="650" t="s">
        <v>49</v>
      </c>
      <c r="E26" s="650"/>
      <c r="F26" s="651" t="s">
        <v>441</v>
      </c>
      <c r="G26" s="651"/>
      <c r="H26" s="651"/>
      <c r="I26" s="651"/>
      <c r="J26" s="296" t="s">
        <v>1580</v>
      </c>
      <c r="K26" s="269" t="s">
        <v>1440</v>
      </c>
      <c r="L26" s="97" t="s">
        <v>425</v>
      </c>
      <c r="M26" s="422">
        <v>130</v>
      </c>
      <c r="N26" s="323">
        <v>1</v>
      </c>
      <c r="O26" s="32">
        <v>20130</v>
      </c>
      <c r="P26" s="660" t="s">
        <v>877</v>
      </c>
      <c r="Q26" s="660"/>
      <c r="R26" s="660"/>
    </row>
    <row r="27" spans="1:22" ht="16.95" customHeight="1">
      <c r="A27" s="664" t="s">
        <v>141</v>
      </c>
      <c r="B27" s="637" t="s">
        <v>10</v>
      </c>
      <c r="C27" s="637"/>
      <c r="D27" s="638" t="s">
        <v>43</v>
      </c>
      <c r="E27" s="639"/>
      <c r="F27" s="666" t="s">
        <v>890</v>
      </c>
      <c r="G27" s="667"/>
      <c r="H27" s="667"/>
      <c r="I27" s="667"/>
      <c r="J27" s="668" t="s">
        <v>1583</v>
      </c>
      <c r="K27" s="671"/>
      <c r="L27" s="108"/>
      <c r="M27" s="423">
        <v>130</v>
      </c>
      <c r="N27" s="324">
        <v>1</v>
      </c>
      <c r="O27" s="51">
        <v>3130</v>
      </c>
      <c r="P27" s="631" t="s">
        <v>910</v>
      </c>
      <c r="Q27" s="632"/>
      <c r="R27" s="633"/>
    </row>
    <row r="28" spans="1:22" ht="16.95" customHeight="1">
      <c r="A28" s="664"/>
      <c r="B28" s="637" t="s">
        <v>81</v>
      </c>
      <c r="C28" s="637"/>
      <c r="D28" s="661" t="s">
        <v>11</v>
      </c>
      <c r="E28" s="661"/>
      <c r="F28" s="662" t="s">
        <v>891</v>
      </c>
      <c r="G28" s="663"/>
      <c r="H28" s="663"/>
      <c r="I28" s="663"/>
      <c r="J28" s="669"/>
      <c r="K28" s="672"/>
      <c r="L28" s="108"/>
      <c r="M28" s="423"/>
      <c r="N28" s="324"/>
      <c r="O28" s="51"/>
      <c r="P28" s="631"/>
      <c r="Q28" s="632"/>
      <c r="R28" s="633"/>
    </row>
    <row r="29" spans="1:22" ht="16.95" customHeight="1">
      <c r="A29" s="665"/>
      <c r="B29" s="637" t="s">
        <v>83</v>
      </c>
      <c r="C29" s="637"/>
      <c r="D29" s="661" t="s">
        <v>11</v>
      </c>
      <c r="E29" s="661"/>
      <c r="F29" s="659" t="s">
        <v>892</v>
      </c>
      <c r="G29" s="659"/>
      <c r="H29" s="659"/>
      <c r="I29" s="659"/>
      <c r="J29" s="670"/>
      <c r="K29" s="673"/>
      <c r="L29" s="108"/>
      <c r="M29" s="423"/>
      <c r="N29" s="324"/>
      <c r="O29" s="51"/>
      <c r="P29" s="634"/>
      <c r="Q29" s="635"/>
      <c r="R29" s="636"/>
    </row>
    <row r="30" spans="1:22" ht="16.95" customHeight="1">
      <c r="A30" s="184" t="s">
        <v>352</v>
      </c>
      <c r="B30" s="650" t="s">
        <v>147</v>
      </c>
      <c r="C30" s="650"/>
      <c r="D30" s="650" t="s">
        <v>49</v>
      </c>
      <c r="E30" s="650"/>
      <c r="F30" s="651" t="s">
        <v>966</v>
      </c>
      <c r="G30" s="651"/>
      <c r="H30" s="651"/>
      <c r="I30" s="651"/>
      <c r="J30" s="25" t="s">
        <v>1584</v>
      </c>
      <c r="K30" s="32"/>
      <c r="L30" s="97" t="s">
        <v>425</v>
      </c>
      <c r="M30" s="32">
        <v>130</v>
      </c>
      <c r="N30" s="327">
        <v>1</v>
      </c>
      <c r="O30" s="428">
        <v>1330</v>
      </c>
      <c r="P30" s="652" t="s">
        <v>976</v>
      </c>
      <c r="Q30" s="623"/>
      <c r="R30" s="624"/>
    </row>
    <row r="31" spans="1:22" ht="16.95" customHeight="1">
      <c r="A31" s="59" t="s">
        <v>78</v>
      </c>
      <c r="B31" s="650" t="s">
        <v>211</v>
      </c>
      <c r="C31" s="650"/>
      <c r="D31" s="650" t="s">
        <v>72</v>
      </c>
      <c r="E31" s="650"/>
      <c r="F31" s="651" t="s">
        <v>893</v>
      </c>
      <c r="G31" s="651"/>
      <c r="H31" s="651"/>
      <c r="I31" s="651"/>
      <c r="J31" s="25" t="s">
        <v>1298</v>
      </c>
      <c r="K31" s="25"/>
      <c r="L31" s="97" t="s">
        <v>436</v>
      </c>
      <c r="M31" s="422">
        <v>130</v>
      </c>
      <c r="N31" s="323">
        <v>1</v>
      </c>
      <c r="O31" s="32">
        <v>10130</v>
      </c>
      <c r="P31" s="660" t="s">
        <v>466</v>
      </c>
      <c r="Q31" s="660"/>
      <c r="R31" s="660"/>
    </row>
    <row r="32" spans="1:22" ht="16.95" customHeight="1">
      <c r="A32" s="59" t="s">
        <v>1167</v>
      </c>
      <c r="B32" s="650" t="s">
        <v>147</v>
      </c>
      <c r="C32" s="650"/>
      <c r="D32" s="650" t="s">
        <v>49</v>
      </c>
      <c r="E32" s="650"/>
      <c r="F32" s="651" t="s">
        <v>1150</v>
      </c>
      <c r="G32" s="651"/>
      <c r="H32" s="651"/>
      <c r="I32" s="651"/>
      <c r="J32" s="67" t="s">
        <v>1585</v>
      </c>
      <c r="K32" s="573"/>
      <c r="L32" s="97" t="s">
        <v>1169</v>
      </c>
      <c r="M32" s="422">
        <v>130</v>
      </c>
      <c r="N32" s="323">
        <v>1</v>
      </c>
      <c r="O32" s="32">
        <v>2630</v>
      </c>
      <c r="P32" s="652" t="s">
        <v>977</v>
      </c>
      <c r="Q32" s="623"/>
      <c r="R32" s="624"/>
    </row>
    <row r="33" spans="1:32" ht="16.95" customHeight="1">
      <c r="A33" s="614" t="s">
        <v>920</v>
      </c>
      <c r="B33" s="637" t="s">
        <v>10</v>
      </c>
      <c r="C33" s="637"/>
      <c r="D33" s="638" t="s">
        <v>14</v>
      </c>
      <c r="E33" s="639"/>
      <c r="F33" s="653" t="s">
        <v>445</v>
      </c>
      <c r="G33" s="653"/>
      <c r="H33" s="653"/>
      <c r="I33" s="653"/>
      <c r="J33" s="625" t="s">
        <v>1592</v>
      </c>
      <c r="K33" s="628" t="s">
        <v>1588</v>
      </c>
      <c r="L33" s="108"/>
      <c r="M33" s="425">
        <v>130</v>
      </c>
      <c r="N33" s="326">
        <v>1</v>
      </c>
      <c r="O33" s="51">
        <v>3130</v>
      </c>
      <c r="P33" s="631" t="s">
        <v>1455</v>
      </c>
      <c r="Q33" s="632"/>
      <c r="R33" s="633"/>
    </row>
    <row r="34" spans="1:32" ht="16.95" customHeight="1">
      <c r="A34" s="615"/>
      <c r="B34" s="637" t="s">
        <v>81</v>
      </c>
      <c r="C34" s="637"/>
      <c r="D34" s="638" t="s">
        <v>14</v>
      </c>
      <c r="E34" s="639"/>
      <c r="F34" s="653" t="s">
        <v>361</v>
      </c>
      <c r="G34" s="653"/>
      <c r="H34" s="653"/>
      <c r="I34" s="653"/>
      <c r="J34" s="626"/>
      <c r="K34" s="629"/>
      <c r="L34" s="108"/>
      <c r="M34" s="423"/>
      <c r="N34" s="324"/>
      <c r="O34" s="51"/>
      <c r="P34" s="631"/>
      <c r="Q34" s="632"/>
      <c r="R34" s="633"/>
    </row>
    <row r="35" spans="1:32" ht="16.95" customHeight="1">
      <c r="A35" s="616"/>
      <c r="B35" s="637" t="s">
        <v>83</v>
      </c>
      <c r="C35" s="637"/>
      <c r="D35" s="638" t="s">
        <v>11</v>
      </c>
      <c r="E35" s="639"/>
      <c r="F35" s="659" t="s">
        <v>1449</v>
      </c>
      <c r="G35" s="659"/>
      <c r="H35" s="659"/>
      <c r="I35" s="659"/>
      <c r="J35" s="627"/>
      <c r="K35" s="630"/>
      <c r="L35" s="108"/>
      <c r="M35" s="423"/>
      <c r="N35" s="324"/>
      <c r="O35" s="51"/>
      <c r="P35" s="634"/>
      <c r="Q35" s="635"/>
      <c r="R35" s="636"/>
    </row>
    <row r="36" spans="1:32" ht="16.95" customHeight="1">
      <c r="A36" s="718" t="s">
        <v>921</v>
      </c>
      <c r="B36" s="648" t="s">
        <v>1450</v>
      </c>
      <c r="C36" s="648"/>
      <c r="D36" s="648" t="s">
        <v>49</v>
      </c>
      <c r="E36" s="648"/>
      <c r="F36" s="649" t="s">
        <v>1451</v>
      </c>
      <c r="G36" s="649"/>
      <c r="H36" s="649"/>
      <c r="I36" s="649"/>
      <c r="J36" s="719" t="s">
        <v>1586</v>
      </c>
      <c r="K36" s="721" t="s">
        <v>1591</v>
      </c>
      <c r="L36" s="722" t="s">
        <v>1587</v>
      </c>
      <c r="M36" s="724">
        <v>130</v>
      </c>
      <c r="N36" s="685">
        <v>1</v>
      </c>
      <c r="O36" s="654">
        <v>3130</v>
      </c>
      <c r="P36" s="656" t="s">
        <v>1454</v>
      </c>
      <c r="Q36" s="657"/>
      <c r="R36" s="658"/>
    </row>
    <row r="37" spans="1:32" ht="16.95" customHeight="1">
      <c r="A37" s="665"/>
      <c r="B37" s="648" t="s">
        <v>1452</v>
      </c>
      <c r="C37" s="648"/>
      <c r="D37" s="648" t="s">
        <v>49</v>
      </c>
      <c r="E37" s="648"/>
      <c r="F37" s="649" t="s">
        <v>1453</v>
      </c>
      <c r="G37" s="649"/>
      <c r="H37" s="649"/>
      <c r="I37" s="649"/>
      <c r="J37" s="720"/>
      <c r="K37" s="630"/>
      <c r="L37" s="723"/>
      <c r="M37" s="725"/>
      <c r="N37" s="686"/>
      <c r="O37" s="655"/>
      <c r="P37" s="634"/>
      <c r="Q37" s="635"/>
      <c r="R37" s="636"/>
    </row>
    <row r="38" spans="1:32" ht="16.95" customHeight="1">
      <c r="A38" s="59" t="s">
        <v>1068</v>
      </c>
      <c r="B38" s="618" t="s">
        <v>62</v>
      </c>
      <c r="C38" s="619"/>
      <c r="D38" s="618" t="s">
        <v>63</v>
      </c>
      <c r="E38" s="619"/>
      <c r="F38" s="620" t="s">
        <v>882</v>
      </c>
      <c r="G38" s="621"/>
      <c r="H38" s="621"/>
      <c r="I38" s="622"/>
      <c r="J38" s="25" t="s">
        <v>1589</v>
      </c>
      <c r="K38" s="25"/>
      <c r="L38" s="257" t="s">
        <v>425</v>
      </c>
      <c r="M38" s="426">
        <v>130</v>
      </c>
      <c r="N38" s="323">
        <v>1</v>
      </c>
      <c r="O38" s="32">
        <v>20130</v>
      </c>
      <c r="P38" s="623" t="s">
        <v>883</v>
      </c>
      <c r="Q38" s="623"/>
      <c r="R38" s="624"/>
    </row>
    <row r="39" spans="1:32" ht="19.95" customHeight="1">
      <c r="A39" s="278" t="s">
        <v>1367</v>
      </c>
      <c r="B39" s="276"/>
      <c r="C39" s="276"/>
      <c r="D39" s="205"/>
      <c r="E39" s="205"/>
      <c r="F39" s="206"/>
      <c r="G39" s="206"/>
      <c r="H39" s="206"/>
      <c r="I39" s="206"/>
      <c r="J39" s="207"/>
      <c r="K39" s="207"/>
      <c r="L39" s="207"/>
      <c r="M39" s="207"/>
      <c r="N39" s="329"/>
      <c r="O39" s="466"/>
      <c r="P39" s="214"/>
      <c r="Q39" s="214"/>
      <c r="R39" s="214"/>
    </row>
    <row r="40" spans="1:32" ht="19.95" customHeight="1">
      <c r="A40" s="279"/>
      <c r="B40" s="116"/>
      <c r="C40" s="116"/>
      <c r="D40" s="205"/>
      <c r="E40" s="205"/>
      <c r="F40" s="206"/>
      <c r="G40" s="206"/>
      <c r="H40" s="206"/>
      <c r="I40" s="206"/>
      <c r="J40" s="207"/>
      <c r="K40" s="207"/>
      <c r="L40" s="207"/>
      <c r="M40" s="207"/>
      <c r="N40" s="329"/>
      <c r="O40" s="466"/>
      <c r="P40" s="214"/>
      <c r="Q40" s="214"/>
      <c r="R40" s="214"/>
    </row>
    <row r="41" spans="1:32" ht="19.95" customHeight="1">
      <c r="A41" s="279"/>
      <c r="B41" s="116"/>
      <c r="C41" s="116"/>
      <c r="D41" s="205"/>
      <c r="E41" s="205"/>
      <c r="F41" s="206"/>
      <c r="G41" s="206"/>
      <c r="H41" s="206"/>
      <c r="I41" s="206"/>
      <c r="J41" s="207"/>
      <c r="K41" s="207"/>
      <c r="L41" s="207"/>
      <c r="M41" s="207"/>
      <c r="N41" s="329"/>
      <c r="O41" s="466"/>
      <c r="P41" s="214"/>
      <c r="Q41" s="214"/>
      <c r="R41" s="214"/>
    </row>
    <row r="42" spans="1:32" ht="19.95" customHeight="1">
      <c r="A42" s="279"/>
      <c r="B42" s="116"/>
      <c r="C42" s="116"/>
      <c r="D42" s="205"/>
      <c r="E42" s="205"/>
      <c r="F42" s="206"/>
      <c r="G42" s="206"/>
      <c r="H42" s="206"/>
      <c r="I42" s="206"/>
      <c r="J42" s="207"/>
      <c r="K42" s="207"/>
      <c r="L42" s="207"/>
      <c r="M42" s="207"/>
      <c r="N42" s="329"/>
      <c r="O42" s="466"/>
      <c r="P42" s="214"/>
      <c r="Q42" s="214"/>
      <c r="R42" s="214"/>
    </row>
    <row r="43" spans="1:32" ht="21">
      <c r="A43" s="262" t="s">
        <v>1578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47"/>
      <c r="P43" s="39"/>
      <c r="Q43" s="39"/>
      <c r="R43" s="39"/>
    </row>
    <row r="44" spans="1:32" ht="21">
      <c r="A44" s="267" t="s">
        <v>1141</v>
      </c>
      <c r="B44" s="464"/>
      <c r="C44" s="464"/>
      <c r="D44" s="39"/>
      <c r="E44" s="39"/>
      <c r="F44" s="39"/>
      <c r="G44" s="39"/>
      <c r="H44" s="39"/>
      <c r="I44" s="39"/>
      <c r="J44" s="39"/>
      <c r="K44" s="39"/>
      <c r="L44" s="465"/>
      <c r="M44" s="39"/>
      <c r="N44" s="39"/>
      <c r="O44" s="47"/>
      <c r="P44" s="39"/>
      <c r="Q44" s="39"/>
      <c r="R44" s="39"/>
    </row>
    <row r="45" spans="1:32">
      <c r="A45" s="49" t="s">
        <v>366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47"/>
      <c r="P45" s="39"/>
      <c r="Q45" s="39" t="s">
        <v>983</v>
      </c>
      <c r="R45" s="39"/>
    </row>
    <row r="46" spans="1:32">
      <c r="A46" s="710" t="s">
        <v>2</v>
      </c>
      <c r="B46" s="712" t="s">
        <v>3</v>
      </c>
      <c r="C46" s="712"/>
      <c r="D46" s="650" t="s">
        <v>4</v>
      </c>
      <c r="E46" s="650"/>
      <c r="F46" s="712" t="s">
        <v>5</v>
      </c>
      <c r="G46" s="712"/>
      <c r="H46" s="712"/>
      <c r="I46" s="712"/>
      <c r="J46" s="713" t="s">
        <v>491</v>
      </c>
      <c r="K46" s="715" t="s">
        <v>7</v>
      </c>
      <c r="L46" s="185" t="s">
        <v>407</v>
      </c>
      <c r="M46" s="696" t="s">
        <v>1095</v>
      </c>
      <c r="N46" s="716" t="s">
        <v>1096</v>
      </c>
      <c r="O46" s="715" t="s">
        <v>1097</v>
      </c>
      <c r="P46" s="674" t="s">
        <v>8</v>
      </c>
      <c r="Q46" s="675"/>
      <c r="R46" s="676"/>
    </row>
    <row r="47" spans="1:32" ht="18.600000000000001" thickBot="1">
      <c r="A47" s="711"/>
      <c r="B47" s="712"/>
      <c r="C47" s="712"/>
      <c r="D47" s="650"/>
      <c r="E47" s="650"/>
      <c r="F47" s="712"/>
      <c r="G47" s="712"/>
      <c r="H47" s="712"/>
      <c r="I47" s="712"/>
      <c r="J47" s="714"/>
      <c r="K47" s="715"/>
      <c r="L47" s="186" t="s">
        <v>410</v>
      </c>
      <c r="M47" s="706"/>
      <c r="N47" s="717"/>
      <c r="O47" s="715"/>
      <c r="P47" s="674"/>
      <c r="Q47" s="675"/>
      <c r="R47" s="676"/>
    </row>
    <row r="48" spans="1:32">
      <c r="A48" s="614" t="s">
        <v>106</v>
      </c>
      <c r="B48" s="661" t="s">
        <v>10</v>
      </c>
      <c r="C48" s="661"/>
      <c r="D48" s="661" t="s">
        <v>43</v>
      </c>
      <c r="E48" s="661"/>
      <c r="F48" s="659" t="s">
        <v>810</v>
      </c>
      <c r="G48" s="659"/>
      <c r="H48" s="659"/>
      <c r="I48" s="659"/>
      <c r="J48" s="685" t="s">
        <v>1228</v>
      </c>
      <c r="K48" s="687"/>
      <c r="L48" s="88"/>
      <c r="M48" s="8">
        <v>140</v>
      </c>
      <c r="N48" s="8">
        <v>1</v>
      </c>
      <c r="O48" s="124">
        <v>500</v>
      </c>
      <c r="P48" s="660" t="s">
        <v>12</v>
      </c>
      <c r="Q48" s="660"/>
      <c r="R48" s="660"/>
      <c r="U48" s="640" t="s">
        <v>1356</v>
      </c>
      <c r="V48" s="644" t="s">
        <v>1357</v>
      </c>
      <c r="W48" s="644"/>
      <c r="X48" s="644" t="s">
        <v>1358</v>
      </c>
      <c r="Y48" s="644"/>
      <c r="Z48" s="644"/>
      <c r="AA48" s="644"/>
      <c r="AB48" s="644"/>
      <c r="AC48" s="644"/>
      <c r="AD48" s="553" t="s">
        <v>1359</v>
      </c>
      <c r="AE48" s="553" t="s">
        <v>1360</v>
      </c>
      <c r="AF48" s="554" t="s">
        <v>1361</v>
      </c>
    </row>
    <row r="49" spans="1:32">
      <c r="A49" s="616"/>
      <c r="B49" s="700" t="s">
        <v>13</v>
      </c>
      <c r="C49" s="701"/>
      <c r="D49" s="700" t="s">
        <v>14</v>
      </c>
      <c r="E49" s="701"/>
      <c r="F49" s="659" t="s">
        <v>811</v>
      </c>
      <c r="G49" s="659"/>
      <c r="H49" s="659"/>
      <c r="I49" s="659"/>
      <c r="J49" s="686"/>
      <c r="K49" s="726"/>
      <c r="L49" s="88"/>
      <c r="M49" s="8"/>
      <c r="N49" s="8"/>
      <c r="O49" s="124"/>
      <c r="P49" s="660"/>
      <c r="Q49" s="660"/>
      <c r="R49" s="660"/>
      <c r="U49" s="641"/>
      <c r="V49" s="645"/>
      <c r="W49" s="646"/>
      <c r="X49" s="646"/>
      <c r="Y49" s="646"/>
      <c r="Z49" s="646"/>
      <c r="AA49" s="646"/>
      <c r="AB49" s="646"/>
      <c r="AC49" s="646"/>
      <c r="AD49" s="555"/>
      <c r="AE49" s="555"/>
      <c r="AF49" s="556"/>
    </row>
    <row r="50" spans="1:32">
      <c r="A50" s="614" t="s">
        <v>233</v>
      </c>
      <c r="B50" s="661" t="s">
        <v>10</v>
      </c>
      <c r="C50" s="661"/>
      <c r="D50" s="700" t="s">
        <v>43</v>
      </c>
      <c r="E50" s="701"/>
      <c r="F50" s="653" t="s">
        <v>1525</v>
      </c>
      <c r="G50" s="653"/>
      <c r="H50" s="653"/>
      <c r="I50" s="653"/>
      <c r="J50" s="625" t="s">
        <v>1599</v>
      </c>
      <c r="K50" s="703"/>
      <c r="L50" s="88"/>
      <c r="M50" s="8">
        <v>140</v>
      </c>
      <c r="N50" s="8">
        <v>2</v>
      </c>
      <c r="O50" s="124">
        <v>2680</v>
      </c>
      <c r="P50" s="660" t="s">
        <v>68</v>
      </c>
      <c r="Q50" s="660"/>
      <c r="R50" s="660"/>
      <c r="U50" s="641"/>
      <c r="V50" s="645"/>
      <c r="W50" s="646"/>
      <c r="X50" s="646"/>
      <c r="Y50" s="646"/>
      <c r="Z50" s="646"/>
      <c r="AA50" s="646"/>
      <c r="AB50" s="646"/>
      <c r="AC50" s="646"/>
      <c r="AD50" s="555"/>
      <c r="AE50" s="555"/>
      <c r="AF50" s="556"/>
    </row>
    <row r="51" spans="1:32">
      <c r="A51" s="616"/>
      <c r="B51" s="700" t="s">
        <v>13</v>
      </c>
      <c r="C51" s="701"/>
      <c r="D51" s="700" t="s">
        <v>11</v>
      </c>
      <c r="E51" s="701"/>
      <c r="F51" s="653" t="s">
        <v>414</v>
      </c>
      <c r="G51" s="653"/>
      <c r="H51" s="653"/>
      <c r="I51" s="653"/>
      <c r="J51" s="627"/>
      <c r="K51" s="673"/>
      <c r="L51" s="88"/>
      <c r="M51" s="8"/>
      <c r="N51" s="8"/>
      <c r="O51" s="124"/>
      <c r="P51" s="660"/>
      <c r="Q51" s="660"/>
      <c r="R51" s="660"/>
      <c r="U51" s="642"/>
      <c r="V51" s="645"/>
      <c r="W51" s="646"/>
      <c r="X51" s="646"/>
      <c r="Y51" s="646"/>
      <c r="Z51" s="646"/>
      <c r="AA51" s="646"/>
      <c r="AB51" s="646"/>
      <c r="AC51" s="646"/>
      <c r="AD51" s="555"/>
      <c r="AE51" s="555"/>
      <c r="AF51" s="556"/>
    </row>
    <row r="52" spans="1:32" ht="18.600000000000001" thickBot="1">
      <c r="A52" s="614" t="s">
        <v>27</v>
      </c>
      <c r="B52" s="661" t="s">
        <v>10</v>
      </c>
      <c r="C52" s="661"/>
      <c r="D52" s="700" t="s">
        <v>11</v>
      </c>
      <c r="E52" s="701"/>
      <c r="F52" s="659" t="s">
        <v>415</v>
      </c>
      <c r="G52" s="659"/>
      <c r="H52" s="659"/>
      <c r="I52" s="659"/>
      <c r="J52" s="625" t="s">
        <v>1598</v>
      </c>
      <c r="K52" s="704" t="s">
        <v>1590</v>
      </c>
      <c r="L52" s="88"/>
      <c r="M52" s="8">
        <v>140</v>
      </c>
      <c r="N52" s="8">
        <v>1</v>
      </c>
      <c r="O52" s="124">
        <v>10140</v>
      </c>
      <c r="P52" s="660" t="s">
        <v>417</v>
      </c>
      <c r="Q52" s="660"/>
      <c r="R52" s="660"/>
      <c r="U52" s="643"/>
      <c r="V52" s="647" t="s">
        <v>1579</v>
      </c>
      <c r="W52" s="617"/>
      <c r="X52" s="617" t="s">
        <v>1363</v>
      </c>
      <c r="Y52" s="617"/>
      <c r="Z52" s="617"/>
      <c r="AA52" s="617"/>
      <c r="AB52" s="617"/>
      <c r="AC52" s="617"/>
      <c r="AD52" s="557" t="s">
        <v>1364</v>
      </c>
      <c r="AE52" s="557" t="s">
        <v>1365</v>
      </c>
      <c r="AF52" s="558" t="s">
        <v>1366</v>
      </c>
    </row>
    <row r="53" spans="1:32">
      <c r="A53" s="616"/>
      <c r="B53" s="700" t="s">
        <v>13</v>
      </c>
      <c r="C53" s="701"/>
      <c r="D53" s="700" t="s">
        <v>11</v>
      </c>
      <c r="E53" s="701"/>
      <c r="F53" s="659" t="s">
        <v>418</v>
      </c>
      <c r="G53" s="659"/>
      <c r="H53" s="659"/>
      <c r="I53" s="659"/>
      <c r="J53" s="627"/>
      <c r="K53" s="705"/>
      <c r="L53" s="88"/>
      <c r="M53" s="8"/>
      <c r="N53" s="8"/>
      <c r="O53" s="124"/>
      <c r="P53" s="660"/>
      <c r="Q53" s="660"/>
      <c r="R53" s="660"/>
    </row>
    <row r="54" spans="1:32">
      <c r="A54" s="614" t="s">
        <v>384</v>
      </c>
      <c r="B54" s="661" t="s">
        <v>199</v>
      </c>
      <c r="C54" s="661"/>
      <c r="D54" s="661" t="s">
        <v>11</v>
      </c>
      <c r="E54" s="661"/>
      <c r="F54" s="659" t="s">
        <v>1593</v>
      </c>
      <c r="G54" s="659"/>
      <c r="H54" s="659"/>
      <c r="I54" s="659"/>
      <c r="J54" s="685"/>
      <c r="K54" s="702" t="s">
        <v>1594</v>
      </c>
      <c r="L54" s="88"/>
      <c r="M54" s="8">
        <v>140</v>
      </c>
      <c r="N54" s="8">
        <v>1</v>
      </c>
      <c r="O54" s="124">
        <v>1640</v>
      </c>
      <c r="P54" s="660" t="s">
        <v>323</v>
      </c>
      <c r="Q54" s="660"/>
      <c r="R54" s="660"/>
    </row>
    <row r="55" spans="1:32">
      <c r="A55" s="616"/>
      <c r="B55" s="661" t="s">
        <v>202</v>
      </c>
      <c r="C55" s="661"/>
      <c r="D55" s="661" t="s">
        <v>11</v>
      </c>
      <c r="E55" s="661"/>
      <c r="F55" s="659" t="s">
        <v>324</v>
      </c>
      <c r="G55" s="659"/>
      <c r="H55" s="659"/>
      <c r="I55" s="659"/>
      <c r="J55" s="686"/>
      <c r="K55" s="691"/>
      <c r="L55" s="88"/>
      <c r="M55" s="8"/>
      <c r="N55" s="8"/>
      <c r="O55" s="124"/>
      <c r="P55" s="660"/>
      <c r="Q55" s="660"/>
      <c r="R55" s="660"/>
    </row>
    <row r="56" spans="1:32">
      <c r="A56" s="614" t="s">
        <v>421</v>
      </c>
      <c r="B56" s="661" t="s">
        <v>35</v>
      </c>
      <c r="C56" s="661"/>
      <c r="D56" s="661" t="s">
        <v>11</v>
      </c>
      <c r="E56" s="661"/>
      <c r="F56" s="699" t="s">
        <v>1190</v>
      </c>
      <c r="G56" s="699"/>
      <c r="H56" s="699"/>
      <c r="I56" s="699"/>
      <c r="J56" s="685"/>
      <c r="K56" s="702" t="s">
        <v>37</v>
      </c>
      <c r="L56" s="88"/>
      <c r="M56" s="8">
        <v>140</v>
      </c>
      <c r="N56" s="8">
        <v>1</v>
      </c>
      <c r="O56" s="124">
        <v>1200</v>
      </c>
      <c r="P56" s="660" t="s">
        <v>1603</v>
      </c>
      <c r="Q56" s="660"/>
      <c r="R56" s="660"/>
    </row>
    <row r="57" spans="1:32">
      <c r="A57" s="616"/>
      <c r="B57" s="661" t="s">
        <v>304</v>
      </c>
      <c r="C57" s="661"/>
      <c r="D57" s="661" t="s">
        <v>11</v>
      </c>
      <c r="E57" s="661"/>
      <c r="F57" s="699" t="s">
        <v>1416</v>
      </c>
      <c r="G57" s="699"/>
      <c r="H57" s="699"/>
      <c r="I57" s="699"/>
      <c r="J57" s="686"/>
      <c r="K57" s="691"/>
      <c r="L57" s="88"/>
      <c r="M57" s="8"/>
      <c r="N57" s="8"/>
      <c r="O57" s="124"/>
      <c r="P57" s="660"/>
      <c r="Q57" s="660"/>
      <c r="R57" s="660"/>
    </row>
    <row r="58" spans="1:32">
      <c r="A58" s="59" t="s">
        <v>423</v>
      </c>
      <c r="B58" s="650" t="s">
        <v>236</v>
      </c>
      <c r="C58" s="650"/>
      <c r="D58" s="650" t="s">
        <v>49</v>
      </c>
      <c r="E58" s="650"/>
      <c r="F58" s="651" t="s">
        <v>1171</v>
      </c>
      <c r="G58" s="651"/>
      <c r="H58" s="651"/>
      <c r="I58" s="651"/>
      <c r="J58" s="15" t="s">
        <v>1228</v>
      </c>
      <c r="K58" s="15"/>
      <c r="L58" s="97" t="s">
        <v>436</v>
      </c>
      <c r="M58" s="25">
        <v>140</v>
      </c>
      <c r="N58" s="25">
        <v>1</v>
      </c>
      <c r="O58" s="32">
        <v>12140</v>
      </c>
      <c r="P58" s="708" t="s">
        <v>426</v>
      </c>
      <c r="Q58" s="708"/>
      <c r="R58" s="708"/>
    </row>
    <row r="59" spans="1:32">
      <c r="A59" s="59" t="s">
        <v>427</v>
      </c>
      <c r="B59" s="706" t="s">
        <v>178</v>
      </c>
      <c r="C59" s="706"/>
      <c r="D59" s="650" t="s">
        <v>240</v>
      </c>
      <c r="E59" s="650"/>
      <c r="F59" s="707" t="s">
        <v>1067</v>
      </c>
      <c r="G59" s="707"/>
      <c r="H59" s="707"/>
      <c r="I59" s="707"/>
      <c r="J59" s="23" t="s">
        <v>1600</v>
      </c>
      <c r="K59" s="536" t="s">
        <v>986</v>
      </c>
      <c r="L59" s="93" t="s">
        <v>425</v>
      </c>
      <c r="M59" s="25">
        <v>140</v>
      </c>
      <c r="N59" s="25">
        <v>2</v>
      </c>
      <c r="O59" s="43">
        <v>40280</v>
      </c>
      <c r="P59" s="708" t="s">
        <v>431</v>
      </c>
      <c r="Q59" s="708"/>
      <c r="R59" s="708"/>
    </row>
    <row r="60" spans="1:32" ht="28.8">
      <c r="A60" s="59" t="s">
        <v>47</v>
      </c>
      <c r="B60" s="650" t="s">
        <v>211</v>
      </c>
      <c r="C60" s="650"/>
      <c r="D60" s="650" t="s">
        <v>63</v>
      </c>
      <c r="E60" s="650"/>
      <c r="F60" s="651" t="s">
        <v>788</v>
      </c>
      <c r="G60" s="651"/>
      <c r="H60" s="651"/>
      <c r="I60" s="651"/>
      <c r="J60" s="269" t="s">
        <v>1230</v>
      </c>
      <c r="K60" s="25"/>
      <c r="L60" s="93" t="s">
        <v>425</v>
      </c>
      <c r="M60" s="25">
        <v>140</v>
      </c>
      <c r="N60" s="25">
        <v>2</v>
      </c>
      <c r="O60" s="32">
        <v>10280</v>
      </c>
      <c r="P60" s="652" t="s">
        <v>871</v>
      </c>
      <c r="Q60" s="623"/>
      <c r="R60" s="624"/>
    </row>
    <row r="61" spans="1:32">
      <c r="A61" s="73" t="s">
        <v>434</v>
      </c>
      <c r="B61" s="696" t="s">
        <v>1114</v>
      </c>
      <c r="C61" s="696"/>
      <c r="D61" s="696" t="s">
        <v>1115</v>
      </c>
      <c r="E61" s="696"/>
      <c r="F61" s="697" t="s">
        <v>1116</v>
      </c>
      <c r="G61" s="697"/>
      <c r="H61" s="697"/>
      <c r="I61" s="697"/>
      <c r="J61" s="67" t="s">
        <v>1305</v>
      </c>
      <c r="K61" s="67"/>
      <c r="L61" s="97" t="s">
        <v>425</v>
      </c>
      <c r="M61" s="25">
        <v>140</v>
      </c>
      <c r="N61" s="25">
        <v>1</v>
      </c>
      <c r="O61" s="52">
        <v>10140</v>
      </c>
      <c r="P61" s="698" t="s">
        <v>438</v>
      </c>
      <c r="Q61" s="698"/>
      <c r="R61" s="698"/>
    </row>
    <row r="62" spans="1:32" ht="29.4" thickBot="1">
      <c r="A62" s="98" t="s">
        <v>439</v>
      </c>
      <c r="B62" s="650" t="s">
        <v>147</v>
      </c>
      <c r="C62" s="650"/>
      <c r="D62" s="727" t="s">
        <v>49</v>
      </c>
      <c r="E62" s="727"/>
      <c r="F62" s="728" t="s">
        <v>441</v>
      </c>
      <c r="G62" s="728"/>
      <c r="H62" s="728"/>
      <c r="I62" s="728"/>
      <c r="J62" s="296" t="s">
        <v>1468</v>
      </c>
      <c r="K62" s="269" t="s">
        <v>1290</v>
      </c>
      <c r="L62" s="100" t="s">
        <v>425</v>
      </c>
      <c r="M62" s="99">
        <v>140</v>
      </c>
      <c r="N62" s="99">
        <v>1</v>
      </c>
      <c r="O62" s="48">
        <v>4140</v>
      </c>
      <c r="P62" s="660" t="s">
        <v>872</v>
      </c>
      <c r="Q62" s="660"/>
      <c r="R62" s="660"/>
    </row>
    <row r="63" spans="1:32" ht="18.600000000000001" thickTop="1">
      <c r="A63" s="729" t="s">
        <v>443</v>
      </c>
      <c r="B63" s="730" t="s">
        <v>10</v>
      </c>
      <c r="C63" s="730"/>
      <c r="D63" s="730" t="s">
        <v>14</v>
      </c>
      <c r="E63" s="730"/>
      <c r="F63" s="731" t="s">
        <v>445</v>
      </c>
      <c r="G63" s="731"/>
      <c r="H63" s="731"/>
      <c r="I63" s="731"/>
      <c r="J63" s="677" t="s">
        <v>1458</v>
      </c>
      <c r="K63" s="678" t="s">
        <v>986</v>
      </c>
      <c r="L63" s="105"/>
      <c r="M63" s="14">
        <v>140</v>
      </c>
      <c r="N63" s="14">
        <v>1</v>
      </c>
      <c r="O63" s="542">
        <v>2140</v>
      </c>
      <c r="P63" s="732" t="s">
        <v>1602</v>
      </c>
      <c r="Q63" s="733"/>
      <c r="R63" s="734"/>
    </row>
    <row r="64" spans="1:32">
      <c r="A64" s="615"/>
      <c r="B64" s="637" t="s">
        <v>227</v>
      </c>
      <c r="C64" s="637"/>
      <c r="D64" s="637" t="s">
        <v>14</v>
      </c>
      <c r="E64" s="637"/>
      <c r="F64" s="653" t="s">
        <v>448</v>
      </c>
      <c r="G64" s="653"/>
      <c r="H64" s="653"/>
      <c r="I64" s="653"/>
      <c r="J64" s="626"/>
      <c r="K64" s="629"/>
      <c r="L64" s="108"/>
      <c r="M64" s="8"/>
      <c r="N64" s="8"/>
      <c r="O64" s="51"/>
      <c r="P64" s="631"/>
      <c r="Q64" s="632"/>
      <c r="R64" s="633"/>
    </row>
    <row r="65" spans="1:18">
      <c r="A65" s="616"/>
      <c r="B65" s="637" t="s">
        <v>83</v>
      </c>
      <c r="C65" s="637"/>
      <c r="D65" s="638" t="s">
        <v>14</v>
      </c>
      <c r="E65" s="639"/>
      <c r="F65" s="659" t="s">
        <v>449</v>
      </c>
      <c r="G65" s="659"/>
      <c r="H65" s="659"/>
      <c r="I65" s="659"/>
      <c r="J65" s="627"/>
      <c r="K65" s="630"/>
      <c r="L65" s="108"/>
      <c r="M65" s="8"/>
      <c r="N65" s="8"/>
      <c r="O65" s="51"/>
      <c r="P65" s="634"/>
      <c r="Q65" s="635"/>
      <c r="R65" s="636"/>
    </row>
    <row r="66" spans="1:18">
      <c r="A66" s="664" t="s">
        <v>450</v>
      </c>
      <c r="B66" s="637" t="s">
        <v>10</v>
      </c>
      <c r="C66" s="637"/>
      <c r="D66" s="638" t="s">
        <v>43</v>
      </c>
      <c r="E66" s="639"/>
      <c r="F66" s="666" t="s">
        <v>890</v>
      </c>
      <c r="G66" s="667"/>
      <c r="H66" s="667"/>
      <c r="I66" s="667"/>
      <c r="J66" s="735" t="s">
        <v>1314</v>
      </c>
      <c r="K66" s="738"/>
      <c r="L66" s="108"/>
      <c r="M66" s="8">
        <v>140</v>
      </c>
      <c r="N66" s="8">
        <v>1</v>
      </c>
      <c r="O66" s="51">
        <v>3140</v>
      </c>
      <c r="P66" s="631" t="s">
        <v>910</v>
      </c>
      <c r="Q66" s="632"/>
      <c r="R66" s="633"/>
    </row>
    <row r="67" spans="1:18">
      <c r="A67" s="664"/>
      <c r="B67" s="637" t="s">
        <v>81</v>
      </c>
      <c r="C67" s="637"/>
      <c r="D67" s="661" t="s">
        <v>11</v>
      </c>
      <c r="E67" s="661"/>
      <c r="F67" s="662" t="s">
        <v>891</v>
      </c>
      <c r="G67" s="663"/>
      <c r="H67" s="663"/>
      <c r="I67" s="663"/>
      <c r="J67" s="736"/>
      <c r="K67" s="672"/>
      <c r="L67" s="108"/>
      <c r="M67" s="8"/>
      <c r="N67" s="8"/>
      <c r="O67" s="51"/>
      <c r="P67" s="631"/>
      <c r="Q67" s="632"/>
      <c r="R67" s="633"/>
    </row>
    <row r="68" spans="1:18">
      <c r="A68" s="665"/>
      <c r="B68" s="637" t="s">
        <v>83</v>
      </c>
      <c r="C68" s="637"/>
      <c r="D68" s="661" t="s">
        <v>11</v>
      </c>
      <c r="E68" s="661"/>
      <c r="F68" s="659" t="s">
        <v>968</v>
      </c>
      <c r="G68" s="659"/>
      <c r="H68" s="659"/>
      <c r="I68" s="659"/>
      <c r="J68" s="737"/>
      <c r="K68" s="673"/>
      <c r="L68" s="108"/>
      <c r="M68" s="8"/>
      <c r="N68" s="8"/>
      <c r="O68" s="51"/>
      <c r="P68" s="634"/>
      <c r="Q68" s="635"/>
      <c r="R68" s="636"/>
    </row>
    <row r="69" spans="1:18">
      <c r="A69" s="614" t="s">
        <v>455</v>
      </c>
      <c r="B69" s="648" t="s">
        <v>1450</v>
      </c>
      <c r="C69" s="648"/>
      <c r="D69" s="648" t="s">
        <v>49</v>
      </c>
      <c r="E69" s="648"/>
      <c r="F69" s="649" t="s">
        <v>1451</v>
      </c>
      <c r="G69" s="649"/>
      <c r="H69" s="649"/>
      <c r="I69" s="649"/>
      <c r="J69" s="719" t="s">
        <v>1586</v>
      </c>
      <c r="K69" s="721" t="s">
        <v>1591</v>
      </c>
      <c r="L69" s="722" t="s">
        <v>1587</v>
      </c>
      <c r="M69" s="724">
        <v>140</v>
      </c>
      <c r="N69" s="685">
        <v>1</v>
      </c>
      <c r="O69" s="654">
        <v>3140</v>
      </c>
      <c r="P69" s="656" t="s">
        <v>1454</v>
      </c>
      <c r="Q69" s="657"/>
      <c r="R69" s="658"/>
    </row>
    <row r="70" spans="1:18">
      <c r="A70" s="616"/>
      <c r="B70" s="648" t="s">
        <v>1452</v>
      </c>
      <c r="C70" s="648"/>
      <c r="D70" s="648" t="s">
        <v>49</v>
      </c>
      <c r="E70" s="648"/>
      <c r="F70" s="649" t="s">
        <v>1453</v>
      </c>
      <c r="G70" s="649"/>
      <c r="H70" s="649"/>
      <c r="I70" s="649"/>
      <c r="J70" s="720"/>
      <c r="K70" s="630"/>
      <c r="L70" s="723"/>
      <c r="M70" s="725"/>
      <c r="N70" s="686"/>
      <c r="O70" s="655"/>
      <c r="P70" s="634"/>
      <c r="Q70" s="635"/>
      <c r="R70" s="636"/>
    </row>
    <row r="71" spans="1:18">
      <c r="A71" s="73" t="s">
        <v>794</v>
      </c>
      <c r="B71" s="650" t="s">
        <v>211</v>
      </c>
      <c r="C71" s="650"/>
      <c r="D71" s="650" t="s">
        <v>72</v>
      </c>
      <c r="E71" s="650"/>
      <c r="F71" s="651" t="s">
        <v>465</v>
      </c>
      <c r="G71" s="651"/>
      <c r="H71" s="651"/>
      <c r="I71" s="651"/>
      <c r="J71" s="25" t="s">
        <v>1298</v>
      </c>
      <c r="K71" s="25"/>
      <c r="L71" s="97" t="s">
        <v>436</v>
      </c>
      <c r="M71" s="25">
        <v>140</v>
      </c>
      <c r="N71" s="25">
        <v>2</v>
      </c>
      <c r="O71" s="32">
        <v>20280</v>
      </c>
      <c r="P71" s="660" t="s">
        <v>909</v>
      </c>
      <c r="Q71" s="660"/>
      <c r="R71" s="660"/>
    </row>
    <row r="72" spans="1:18">
      <c r="A72" s="184" t="s">
        <v>464</v>
      </c>
      <c r="B72" s="650" t="s">
        <v>147</v>
      </c>
      <c r="C72" s="650"/>
      <c r="D72" s="650" t="s">
        <v>49</v>
      </c>
      <c r="E72" s="650"/>
      <c r="F72" s="651" t="s">
        <v>966</v>
      </c>
      <c r="G72" s="651"/>
      <c r="H72" s="651"/>
      <c r="I72" s="651"/>
      <c r="J72" s="25" t="s">
        <v>1571</v>
      </c>
      <c r="K72" s="25" t="s">
        <v>1573</v>
      </c>
      <c r="L72" s="97" t="s">
        <v>425</v>
      </c>
      <c r="M72" s="25">
        <v>140</v>
      </c>
      <c r="N72" s="25">
        <v>3</v>
      </c>
      <c r="O72" s="32">
        <v>4020</v>
      </c>
      <c r="P72" s="660" t="s">
        <v>976</v>
      </c>
      <c r="Q72" s="660"/>
      <c r="R72" s="660"/>
    </row>
    <row r="73" spans="1:18">
      <c r="A73" s="73" t="s">
        <v>467</v>
      </c>
      <c r="B73" s="650" t="s">
        <v>147</v>
      </c>
      <c r="C73" s="650"/>
      <c r="D73" s="650" t="s">
        <v>49</v>
      </c>
      <c r="E73" s="650"/>
      <c r="F73" s="651" t="s">
        <v>1150</v>
      </c>
      <c r="G73" s="651"/>
      <c r="H73" s="651"/>
      <c r="I73" s="651"/>
      <c r="J73" s="25" t="s">
        <v>1572</v>
      </c>
      <c r="K73" s="25" t="s">
        <v>1573</v>
      </c>
      <c r="L73" s="97" t="s">
        <v>1169</v>
      </c>
      <c r="M73" s="422">
        <v>140</v>
      </c>
      <c r="N73" s="323">
        <v>1</v>
      </c>
      <c r="O73" s="32">
        <v>2640</v>
      </c>
      <c r="P73" s="652" t="s">
        <v>977</v>
      </c>
      <c r="Q73" s="623"/>
      <c r="R73" s="624"/>
    </row>
    <row r="74" spans="1:18" ht="28.8">
      <c r="A74" s="229" t="s">
        <v>908</v>
      </c>
      <c r="B74" s="650" t="s">
        <v>147</v>
      </c>
      <c r="C74" s="650"/>
      <c r="D74" s="650" t="s">
        <v>49</v>
      </c>
      <c r="E74" s="650"/>
      <c r="F74" s="651" t="s">
        <v>441</v>
      </c>
      <c r="G74" s="651"/>
      <c r="H74" s="651"/>
      <c r="I74" s="651"/>
      <c r="J74" s="296" t="s">
        <v>1294</v>
      </c>
      <c r="K74" s="269" t="s">
        <v>1440</v>
      </c>
      <c r="L74" s="97" t="s">
        <v>425</v>
      </c>
      <c r="M74" s="25">
        <v>140</v>
      </c>
      <c r="N74" s="25">
        <v>1</v>
      </c>
      <c r="O74" s="32">
        <v>20140</v>
      </c>
      <c r="P74" s="660" t="s">
        <v>877</v>
      </c>
      <c r="Q74" s="660"/>
      <c r="R74" s="660"/>
    </row>
    <row r="75" spans="1:18" ht="19.2">
      <c r="A75" s="73" t="s">
        <v>473</v>
      </c>
      <c r="B75" s="618" t="s">
        <v>485</v>
      </c>
      <c r="C75" s="619"/>
      <c r="D75" s="618" t="s">
        <v>49</v>
      </c>
      <c r="E75" s="619"/>
      <c r="F75" s="620" t="s">
        <v>1149</v>
      </c>
      <c r="G75" s="621"/>
      <c r="H75" s="621"/>
      <c r="I75" s="622"/>
      <c r="J75" s="304" t="s">
        <v>1465</v>
      </c>
      <c r="K75" s="538" t="s">
        <v>1470</v>
      </c>
      <c r="L75" s="97" t="s">
        <v>425</v>
      </c>
      <c r="M75" s="25">
        <v>140</v>
      </c>
      <c r="N75" s="25">
        <v>1</v>
      </c>
      <c r="O75" s="32">
        <v>13140</v>
      </c>
      <c r="P75" s="652" t="s">
        <v>876</v>
      </c>
      <c r="Q75" s="623"/>
      <c r="R75" s="624"/>
    </row>
    <row r="76" spans="1:18">
      <c r="A76" s="59" t="s">
        <v>476</v>
      </c>
      <c r="B76" s="679" t="s">
        <v>868</v>
      </c>
      <c r="C76" s="680"/>
      <c r="D76" s="650" t="s">
        <v>240</v>
      </c>
      <c r="E76" s="650"/>
      <c r="F76" s="681" t="s">
        <v>1188</v>
      </c>
      <c r="G76" s="682"/>
      <c r="H76" s="682"/>
      <c r="I76" s="683"/>
      <c r="J76" s="255" t="s">
        <v>1296</v>
      </c>
      <c r="K76" s="96"/>
      <c r="L76" s="76" t="s">
        <v>425</v>
      </c>
      <c r="M76" s="320">
        <v>140</v>
      </c>
      <c r="N76" s="320">
        <v>1</v>
      </c>
      <c r="O76" s="463">
        <v>8140</v>
      </c>
      <c r="P76" s="674" t="s">
        <v>901</v>
      </c>
      <c r="Q76" s="675"/>
      <c r="R76" s="676"/>
    </row>
    <row r="77" spans="1:18">
      <c r="A77" s="739" t="s">
        <v>480</v>
      </c>
      <c r="B77" s="661" t="s">
        <v>10</v>
      </c>
      <c r="C77" s="661"/>
      <c r="D77" s="661" t="s">
        <v>43</v>
      </c>
      <c r="E77" s="661"/>
      <c r="F77" s="659" t="s">
        <v>185</v>
      </c>
      <c r="G77" s="659"/>
      <c r="H77" s="659"/>
      <c r="I77" s="659"/>
      <c r="J77" s="685" t="s">
        <v>1469</v>
      </c>
      <c r="K77" s="738" t="s">
        <v>982</v>
      </c>
      <c r="L77" s="88"/>
      <c r="M77" s="8">
        <v>140</v>
      </c>
      <c r="N77" s="8">
        <v>1</v>
      </c>
      <c r="O77" s="124">
        <v>10140</v>
      </c>
      <c r="P77" s="660" t="s">
        <v>1414</v>
      </c>
      <c r="Q77" s="660"/>
      <c r="R77" s="660"/>
    </row>
    <row r="78" spans="1:18">
      <c r="A78" s="739"/>
      <c r="B78" s="661" t="s">
        <v>13</v>
      </c>
      <c r="C78" s="661"/>
      <c r="D78" s="661" t="s">
        <v>49</v>
      </c>
      <c r="E78" s="661"/>
      <c r="F78" s="659" t="s">
        <v>69</v>
      </c>
      <c r="G78" s="659"/>
      <c r="H78" s="659"/>
      <c r="I78" s="659"/>
      <c r="J78" s="686"/>
      <c r="K78" s="705"/>
      <c r="L78" s="88"/>
      <c r="M78" s="8"/>
      <c r="N78" s="8"/>
      <c r="O78" s="124"/>
      <c r="P78" s="660"/>
      <c r="Q78" s="660"/>
      <c r="R78" s="660"/>
    </row>
    <row r="79" spans="1:18" ht="19.2">
      <c r="A79" s="278" t="s">
        <v>1367</v>
      </c>
      <c r="B79" s="272"/>
      <c r="C79" s="270"/>
      <c r="D79" s="271"/>
      <c r="E79" s="205"/>
      <c r="F79" s="206"/>
      <c r="G79" s="206"/>
      <c r="H79" s="206"/>
      <c r="I79" s="206"/>
      <c r="J79" s="207"/>
      <c r="K79" s="207"/>
      <c r="L79" s="207"/>
      <c r="M79" s="207"/>
      <c r="N79" s="207"/>
      <c r="O79" s="466"/>
      <c r="P79" s="214"/>
      <c r="Q79" s="214"/>
      <c r="R79" s="214"/>
    </row>
    <row r="80" spans="1:18">
      <c r="N80"/>
    </row>
    <row r="81" spans="14:14">
      <c r="N81"/>
    </row>
  </sheetData>
  <mergeCells count="327">
    <mergeCell ref="A69:A70"/>
    <mergeCell ref="B76:C76"/>
    <mergeCell ref="D76:E76"/>
    <mergeCell ref="F76:I76"/>
    <mergeCell ref="P76:R76"/>
    <mergeCell ref="A77:A78"/>
    <mergeCell ref="B77:C77"/>
    <mergeCell ref="D77:E77"/>
    <mergeCell ref="F77:I77"/>
    <mergeCell ref="J77:J78"/>
    <mergeCell ref="K77:K78"/>
    <mergeCell ref="P77:R78"/>
    <mergeCell ref="B78:C78"/>
    <mergeCell ref="D78:E78"/>
    <mergeCell ref="F78:I78"/>
    <mergeCell ref="B73:C73"/>
    <mergeCell ref="D73:E73"/>
    <mergeCell ref="F73:I73"/>
    <mergeCell ref="P73:R73"/>
    <mergeCell ref="B74:C74"/>
    <mergeCell ref="D74:E74"/>
    <mergeCell ref="F74:I74"/>
    <mergeCell ref="P74:R74"/>
    <mergeCell ref="B75:C75"/>
    <mergeCell ref="D75:E75"/>
    <mergeCell ref="F75:I75"/>
    <mergeCell ref="P75:R75"/>
    <mergeCell ref="B69:C69"/>
    <mergeCell ref="D69:E69"/>
    <mergeCell ref="F69:I69"/>
    <mergeCell ref="B71:C71"/>
    <mergeCell ref="D71:E71"/>
    <mergeCell ref="F71:I71"/>
    <mergeCell ref="P71:R71"/>
    <mergeCell ref="B72:C72"/>
    <mergeCell ref="D72:E72"/>
    <mergeCell ref="F72:I72"/>
    <mergeCell ref="P72:R72"/>
    <mergeCell ref="J69:J70"/>
    <mergeCell ref="K69:K70"/>
    <mergeCell ref="L69:L70"/>
    <mergeCell ref="M69:M70"/>
    <mergeCell ref="N69:N70"/>
    <mergeCell ref="O69:O70"/>
    <mergeCell ref="P69:R70"/>
    <mergeCell ref="B70:C70"/>
    <mergeCell ref="D70:E70"/>
    <mergeCell ref="F70:I70"/>
    <mergeCell ref="A66:A68"/>
    <mergeCell ref="B66:C66"/>
    <mergeCell ref="D66:E66"/>
    <mergeCell ref="F66:I66"/>
    <mergeCell ref="J66:J68"/>
    <mergeCell ref="K66:K68"/>
    <mergeCell ref="P66:R68"/>
    <mergeCell ref="B67:C67"/>
    <mergeCell ref="D67:E67"/>
    <mergeCell ref="F67:I67"/>
    <mergeCell ref="B68:C68"/>
    <mergeCell ref="D68:E68"/>
    <mergeCell ref="F68:I68"/>
    <mergeCell ref="B61:C61"/>
    <mergeCell ref="D61:E61"/>
    <mergeCell ref="F61:I61"/>
    <mergeCell ref="P61:R61"/>
    <mergeCell ref="B62:C62"/>
    <mergeCell ref="D62:E62"/>
    <mergeCell ref="F62:I62"/>
    <mergeCell ref="P62:R62"/>
    <mergeCell ref="A63:A65"/>
    <mergeCell ref="B63:C63"/>
    <mergeCell ref="D63:E63"/>
    <mergeCell ref="F63:I63"/>
    <mergeCell ref="J63:J65"/>
    <mergeCell ref="K63:K65"/>
    <mergeCell ref="P63:R65"/>
    <mergeCell ref="B64:C64"/>
    <mergeCell ref="D64:E64"/>
    <mergeCell ref="F64:I64"/>
    <mergeCell ref="B65:C65"/>
    <mergeCell ref="D65:E65"/>
    <mergeCell ref="F65:I65"/>
    <mergeCell ref="B58:C58"/>
    <mergeCell ref="D58:E58"/>
    <mergeCell ref="F58:I58"/>
    <mergeCell ref="P58:R58"/>
    <mergeCell ref="B59:C59"/>
    <mergeCell ref="D59:E59"/>
    <mergeCell ref="F59:I59"/>
    <mergeCell ref="P59:R59"/>
    <mergeCell ref="B60:C60"/>
    <mergeCell ref="D60:E60"/>
    <mergeCell ref="F60:I60"/>
    <mergeCell ref="P60:R60"/>
    <mergeCell ref="A56:A57"/>
    <mergeCell ref="B56:C56"/>
    <mergeCell ref="D56:E56"/>
    <mergeCell ref="F56:I56"/>
    <mergeCell ref="J56:J57"/>
    <mergeCell ref="K56:K57"/>
    <mergeCell ref="P56:R57"/>
    <mergeCell ref="B57:C57"/>
    <mergeCell ref="D57:E57"/>
    <mergeCell ref="F57:I57"/>
    <mergeCell ref="A54:A55"/>
    <mergeCell ref="B54:C54"/>
    <mergeCell ref="D54:E54"/>
    <mergeCell ref="F54:I54"/>
    <mergeCell ref="J54:J55"/>
    <mergeCell ref="K54:K55"/>
    <mergeCell ref="P54:R55"/>
    <mergeCell ref="B55:C55"/>
    <mergeCell ref="D55:E55"/>
    <mergeCell ref="F55:I55"/>
    <mergeCell ref="A52:A53"/>
    <mergeCell ref="B52:C52"/>
    <mergeCell ref="D52:E52"/>
    <mergeCell ref="F52:I52"/>
    <mergeCell ref="J52:J53"/>
    <mergeCell ref="K52:K53"/>
    <mergeCell ref="P52:R53"/>
    <mergeCell ref="B53:C53"/>
    <mergeCell ref="D53:E53"/>
    <mergeCell ref="F53:I53"/>
    <mergeCell ref="A50:A51"/>
    <mergeCell ref="B50:C50"/>
    <mergeCell ref="D50:E50"/>
    <mergeCell ref="F50:I50"/>
    <mergeCell ref="J50:J51"/>
    <mergeCell ref="K50:K51"/>
    <mergeCell ref="P50:R51"/>
    <mergeCell ref="B51:C51"/>
    <mergeCell ref="D51:E51"/>
    <mergeCell ref="F51:I51"/>
    <mergeCell ref="P46:R47"/>
    <mergeCell ref="A48:A49"/>
    <mergeCell ref="B48:C48"/>
    <mergeCell ref="D48:E48"/>
    <mergeCell ref="F48:I48"/>
    <mergeCell ref="J48:J49"/>
    <mergeCell ref="K48:K49"/>
    <mergeCell ref="P48:R49"/>
    <mergeCell ref="B49:C49"/>
    <mergeCell ref="D49:E49"/>
    <mergeCell ref="F49:I49"/>
    <mergeCell ref="A46:A47"/>
    <mergeCell ref="B46:C47"/>
    <mergeCell ref="D46:E47"/>
    <mergeCell ref="F46:I47"/>
    <mergeCell ref="J46:J47"/>
    <mergeCell ref="K46:K47"/>
    <mergeCell ref="M46:M47"/>
    <mergeCell ref="N46:N47"/>
    <mergeCell ref="O46:O47"/>
    <mergeCell ref="A36:A37"/>
    <mergeCell ref="B37:C37"/>
    <mergeCell ref="D37:E37"/>
    <mergeCell ref="F37:I37"/>
    <mergeCell ref="J36:J37"/>
    <mergeCell ref="K36:K37"/>
    <mergeCell ref="L36:L37"/>
    <mergeCell ref="M36:M37"/>
    <mergeCell ref="N36:N37"/>
    <mergeCell ref="Q3:R3"/>
    <mergeCell ref="A4:A5"/>
    <mergeCell ref="B4:C5"/>
    <mergeCell ref="D4:E5"/>
    <mergeCell ref="F4:I5"/>
    <mergeCell ref="J4:J5"/>
    <mergeCell ref="K4:K5"/>
    <mergeCell ref="M4:M5"/>
    <mergeCell ref="N4:N5"/>
    <mergeCell ref="O4:O5"/>
    <mergeCell ref="P4:R5"/>
    <mergeCell ref="P6:R6"/>
    <mergeCell ref="B7:C7"/>
    <mergeCell ref="D7:E7"/>
    <mergeCell ref="F7:I7"/>
    <mergeCell ref="P7:R7"/>
    <mergeCell ref="P8:R9"/>
    <mergeCell ref="B9:C9"/>
    <mergeCell ref="D9:E9"/>
    <mergeCell ref="F9:I9"/>
    <mergeCell ref="A8:A9"/>
    <mergeCell ref="B8:C8"/>
    <mergeCell ref="D8:E8"/>
    <mergeCell ref="F8:I8"/>
    <mergeCell ref="J8:J9"/>
    <mergeCell ref="K8:K9"/>
    <mergeCell ref="B6:C6"/>
    <mergeCell ref="D6:E6"/>
    <mergeCell ref="F6:I6"/>
    <mergeCell ref="P10:R11"/>
    <mergeCell ref="B11:C11"/>
    <mergeCell ref="D11:E11"/>
    <mergeCell ref="F11:I11"/>
    <mergeCell ref="A12:A13"/>
    <mergeCell ref="B12:C12"/>
    <mergeCell ref="D12:E12"/>
    <mergeCell ref="F12:I12"/>
    <mergeCell ref="J12:J13"/>
    <mergeCell ref="K12:K13"/>
    <mergeCell ref="A10:A11"/>
    <mergeCell ref="B10:C10"/>
    <mergeCell ref="D10:E10"/>
    <mergeCell ref="F10:I10"/>
    <mergeCell ref="J10:J11"/>
    <mergeCell ref="K10:K11"/>
    <mergeCell ref="B15:C15"/>
    <mergeCell ref="D15:E15"/>
    <mergeCell ref="F15:I15"/>
    <mergeCell ref="P15:R15"/>
    <mergeCell ref="B16:C16"/>
    <mergeCell ref="D16:E16"/>
    <mergeCell ref="F16:I16"/>
    <mergeCell ref="P16:R16"/>
    <mergeCell ref="P12:R13"/>
    <mergeCell ref="B13:C13"/>
    <mergeCell ref="D13:E13"/>
    <mergeCell ref="F13:I13"/>
    <mergeCell ref="B14:C14"/>
    <mergeCell ref="D14:E14"/>
    <mergeCell ref="F14:I14"/>
    <mergeCell ref="P14:R14"/>
    <mergeCell ref="P17:R18"/>
    <mergeCell ref="B18:C18"/>
    <mergeCell ref="D18:E18"/>
    <mergeCell ref="F18:I18"/>
    <mergeCell ref="A19:A20"/>
    <mergeCell ref="B19:C19"/>
    <mergeCell ref="D19:E19"/>
    <mergeCell ref="F19:I19"/>
    <mergeCell ref="J19:J20"/>
    <mergeCell ref="K19:K20"/>
    <mergeCell ref="A17:A18"/>
    <mergeCell ref="B17:C17"/>
    <mergeCell ref="D17:E17"/>
    <mergeCell ref="F17:I17"/>
    <mergeCell ref="J17:J18"/>
    <mergeCell ref="K17:K18"/>
    <mergeCell ref="P19:R20"/>
    <mergeCell ref="B20:C20"/>
    <mergeCell ref="D20:E20"/>
    <mergeCell ref="F20:I20"/>
    <mergeCell ref="A21:A23"/>
    <mergeCell ref="B21:C21"/>
    <mergeCell ref="D21:E21"/>
    <mergeCell ref="F21:I21"/>
    <mergeCell ref="J21:J23"/>
    <mergeCell ref="K21:K23"/>
    <mergeCell ref="B24:C24"/>
    <mergeCell ref="D24:E24"/>
    <mergeCell ref="F24:I24"/>
    <mergeCell ref="P24:R24"/>
    <mergeCell ref="B25:C25"/>
    <mergeCell ref="D25:E25"/>
    <mergeCell ref="F25:I25"/>
    <mergeCell ref="P25:R25"/>
    <mergeCell ref="P21:R23"/>
    <mergeCell ref="B22:C22"/>
    <mergeCell ref="D22:E22"/>
    <mergeCell ref="F22:I22"/>
    <mergeCell ref="B23:C23"/>
    <mergeCell ref="D23:E23"/>
    <mergeCell ref="F23:I23"/>
    <mergeCell ref="B26:C26"/>
    <mergeCell ref="D26:E26"/>
    <mergeCell ref="F26:I26"/>
    <mergeCell ref="P26:R26"/>
    <mergeCell ref="A27:A29"/>
    <mergeCell ref="B27:C27"/>
    <mergeCell ref="D27:E27"/>
    <mergeCell ref="F27:I27"/>
    <mergeCell ref="J27:J29"/>
    <mergeCell ref="K27:K29"/>
    <mergeCell ref="B30:C30"/>
    <mergeCell ref="D30:E30"/>
    <mergeCell ref="F30:I30"/>
    <mergeCell ref="P30:R30"/>
    <mergeCell ref="B31:C31"/>
    <mergeCell ref="D31:E31"/>
    <mergeCell ref="F31:I31"/>
    <mergeCell ref="P31:R31"/>
    <mergeCell ref="P27:R29"/>
    <mergeCell ref="B28:C28"/>
    <mergeCell ref="D28:E28"/>
    <mergeCell ref="F28:I28"/>
    <mergeCell ref="B29:C29"/>
    <mergeCell ref="D29:E29"/>
    <mergeCell ref="F29:I29"/>
    <mergeCell ref="B32:C32"/>
    <mergeCell ref="D32:E32"/>
    <mergeCell ref="F32:I32"/>
    <mergeCell ref="P32:R32"/>
    <mergeCell ref="B33:C33"/>
    <mergeCell ref="D33:E33"/>
    <mergeCell ref="F33:I33"/>
    <mergeCell ref="O36:O37"/>
    <mergeCell ref="P36:R37"/>
    <mergeCell ref="F34:I34"/>
    <mergeCell ref="B35:C35"/>
    <mergeCell ref="D35:E35"/>
    <mergeCell ref="F35:I35"/>
    <mergeCell ref="A33:A35"/>
    <mergeCell ref="X52:AC52"/>
    <mergeCell ref="B38:C38"/>
    <mergeCell ref="D38:E38"/>
    <mergeCell ref="F38:I38"/>
    <mergeCell ref="P38:R38"/>
    <mergeCell ref="J33:J35"/>
    <mergeCell ref="K33:K35"/>
    <mergeCell ref="P33:R35"/>
    <mergeCell ref="B34:C34"/>
    <mergeCell ref="D34:E34"/>
    <mergeCell ref="U48:U52"/>
    <mergeCell ref="V48:W48"/>
    <mergeCell ref="X48:AC48"/>
    <mergeCell ref="V49:W49"/>
    <mergeCell ref="X49:AC49"/>
    <mergeCell ref="V50:W50"/>
    <mergeCell ref="X50:AC50"/>
    <mergeCell ref="V51:W51"/>
    <mergeCell ref="X51:AC51"/>
    <mergeCell ref="V52:W52"/>
    <mergeCell ref="B36:C36"/>
    <mergeCell ref="D36:E36"/>
    <mergeCell ref="F36:I36"/>
  </mergeCells>
  <phoneticPr fontId="11"/>
  <printOptions horizontalCentered="1" verticalCentered="1"/>
  <pageMargins left="0.11811023622047245" right="0.19685039370078741" top="0.11811023622047245" bottom="0.11811023622047245" header="0.11811023622047245" footer="0.11811023622047245"/>
  <pageSetup paperSize="9" scale="71" fitToWidth="0" fitToHeight="0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7F92-EF81-4D0C-B5FA-CD5A967E9346}">
  <sheetPr>
    <tabColor rgb="FF00B050"/>
  </sheetPr>
  <dimension ref="A1:AF131"/>
  <sheetViews>
    <sheetView view="pageBreakPreview" zoomScale="85" zoomScaleNormal="100" zoomScaleSheetLayoutView="85" workbookViewId="0">
      <selection activeCell="F16" sqref="F16:J16"/>
    </sheetView>
  </sheetViews>
  <sheetFormatPr defaultColWidth="9" defaultRowHeight="18"/>
  <cols>
    <col min="1" max="1" width="5.69921875" style="1" customWidth="1"/>
    <col min="2" max="3" width="7.69921875" style="1" customWidth="1"/>
    <col min="4" max="5" width="4.69921875" style="1" customWidth="1"/>
    <col min="6" max="8" width="9" style="1" customWidth="1"/>
    <col min="9" max="9" width="9.765625E-2" style="1" customWidth="1"/>
    <col min="10" max="10" width="9" style="1" hidden="1" customWidth="1"/>
    <col min="11" max="11" width="40.3984375" style="1" customWidth="1"/>
    <col min="12" max="12" width="21.69921875" style="1" customWidth="1"/>
    <col min="13" max="13" width="7.59765625" style="1" customWidth="1"/>
    <col min="14" max="16" width="5.69921875" style="364" customWidth="1"/>
    <col min="17" max="18" width="15.69921875" style="1" customWidth="1"/>
    <col min="19" max="16384" width="9" style="1"/>
  </cols>
  <sheetData>
    <row r="1" spans="1:18" ht="18.75" customHeight="1">
      <c r="A1" s="879" t="s">
        <v>935</v>
      </c>
      <c r="B1" s="879"/>
      <c r="C1" s="879"/>
      <c r="D1" s="879"/>
      <c r="E1" s="879"/>
      <c r="F1" s="879"/>
      <c r="G1" s="879"/>
      <c r="H1" s="879"/>
      <c r="I1" s="879"/>
      <c r="J1" s="879"/>
      <c r="K1" s="879"/>
      <c r="L1" s="39"/>
      <c r="M1" s="39"/>
      <c r="N1" s="517"/>
      <c r="O1" s="517"/>
      <c r="P1" s="517"/>
      <c r="Q1" s="39"/>
      <c r="R1" s="39"/>
    </row>
    <row r="2" spans="1:18" ht="18.75" customHeight="1">
      <c r="A2" s="262" t="s">
        <v>1</v>
      </c>
      <c r="B2" s="39"/>
      <c r="C2" s="39"/>
      <c r="D2" s="39"/>
      <c r="E2" s="39"/>
      <c r="F2" s="39"/>
      <c r="G2" s="39"/>
      <c r="H2" s="39"/>
      <c r="I2" s="465"/>
      <c r="J2" s="39"/>
      <c r="K2" s="39"/>
      <c r="L2" s="39"/>
      <c r="M2" s="39"/>
      <c r="N2" s="517"/>
      <c r="O2" s="517"/>
      <c r="P2" s="517"/>
      <c r="Q2" s="39"/>
      <c r="R2" s="39"/>
    </row>
    <row r="3" spans="1:18" ht="16.5" customHeight="1">
      <c r="A3" s="49" t="s">
        <v>366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517"/>
      <c r="O3" s="517"/>
      <c r="P3" s="517"/>
      <c r="Q3" s="39"/>
      <c r="R3" s="39" t="s">
        <v>983</v>
      </c>
    </row>
    <row r="4" spans="1:18" ht="16.5" customHeight="1">
      <c r="A4" s="754" t="s">
        <v>2</v>
      </c>
      <c r="B4" s="922" t="s">
        <v>3</v>
      </c>
      <c r="C4" s="923"/>
      <c r="D4" s="926" t="s">
        <v>4</v>
      </c>
      <c r="E4" s="927"/>
      <c r="F4" s="922" t="s">
        <v>5</v>
      </c>
      <c r="G4" s="930"/>
      <c r="H4" s="930"/>
      <c r="I4" s="930"/>
      <c r="J4" s="923"/>
      <c r="K4" s="715" t="s">
        <v>6</v>
      </c>
      <c r="L4" s="932" t="s">
        <v>7</v>
      </c>
      <c r="M4" s="185" t="s">
        <v>407</v>
      </c>
      <c r="N4" s="768" t="s">
        <v>1095</v>
      </c>
      <c r="O4" s="805" t="s">
        <v>1096</v>
      </c>
      <c r="P4" s="650" t="s">
        <v>1097</v>
      </c>
      <c r="Q4" s="915" t="s">
        <v>8</v>
      </c>
      <c r="R4" s="916"/>
    </row>
    <row r="5" spans="1:18" ht="16.5" customHeight="1">
      <c r="A5" s="755"/>
      <c r="B5" s="924"/>
      <c r="C5" s="925"/>
      <c r="D5" s="928"/>
      <c r="E5" s="929"/>
      <c r="F5" s="924"/>
      <c r="G5" s="931"/>
      <c r="H5" s="931"/>
      <c r="I5" s="931"/>
      <c r="J5" s="925"/>
      <c r="K5" s="715"/>
      <c r="L5" s="933"/>
      <c r="M5" s="186" t="s">
        <v>410</v>
      </c>
      <c r="N5" s="717"/>
      <c r="O5" s="706"/>
      <c r="P5" s="650"/>
      <c r="Q5" s="917"/>
      <c r="R5" s="918"/>
    </row>
    <row r="6" spans="1:18" ht="18" customHeight="1">
      <c r="A6" s="614" t="s">
        <v>9</v>
      </c>
      <c r="B6" s="887" t="s">
        <v>10</v>
      </c>
      <c r="C6" s="888"/>
      <c r="D6" s="919" t="s">
        <v>49</v>
      </c>
      <c r="E6" s="919"/>
      <c r="F6" s="893" t="s">
        <v>1596</v>
      </c>
      <c r="G6" s="894"/>
      <c r="H6" s="894"/>
      <c r="I6" s="894"/>
      <c r="J6" s="895"/>
      <c r="K6" s="911"/>
      <c r="L6" s="891"/>
      <c r="M6" s="920"/>
      <c r="N6" s="365">
        <v>100</v>
      </c>
      <c r="O6" s="365">
        <v>1</v>
      </c>
      <c r="P6" s="365">
        <v>600</v>
      </c>
      <c r="Q6" s="656" t="s">
        <v>12</v>
      </c>
      <c r="R6" s="658"/>
    </row>
    <row r="7" spans="1:18" ht="18" customHeight="1">
      <c r="A7" s="616"/>
      <c r="B7" s="887" t="s">
        <v>13</v>
      </c>
      <c r="C7" s="888"/>
      <c r="D7" s="887" t="s">
        <v>11</v>
      </c>
      <c r="E7" s="888"/>
      <c r="F7" s="893" t="s">
        <v>414</v>
      </c>
      <c r="G7" s="894"/>
      <c r="H7" s="894"/>
      <c r="I7" s="894"/>
      <c r="J7" s="895"/>
      <c r="K7" s="912"/>
      <c r="L7" s="892"/>
      <c r="M7" s="921"/>
      <c r="N7" s="366"/>
      <c r="O7" s="366"/>
      <c r="P7" s="366"/>
      <c r="Q7" s="634"/>
      <c r="R7" s="636"/>
    </row>
    <row r="8" spans="1:18" ht="18" customHeight="1">
      <c r="A8" s="614" t="s">
        <v>16</v>
      </c>
      <c r="B8" s="887" t="s">
        <v>10</v>
      </c>
      <c r="C8" s="888"/>
      <c r="D8" s="887" t="s">
        <v>11</v>
      </c>
      <c r="E8" s="888"/>
      <c r="F8" s="893" t="s">
        <v>624</v>
      </c>
      <c r="G8" s="894"/>
      <c r="H8" s="894"/>
      <c r="I8" s="894"/>
      <c r="J8" s="895"/>
      <c r="K8" s="889" t="s">
        <v>1248</v>
      </c>
      <c r="L8" s="891"/>
      <c r="M8" s="867"/>
      <c r="N8" s="345">
        <v>100</v>
      </c>
      <c r="O8" s="345">
        <v>1</v>
      </c>
      <c r="P8" s="345">
        <v>1100</v>
      </c>
      <c r="Q8" s="870" t="s">
        <v>944</v>
      </c>
      <c r="R8" s="658"/>
    </row>
    <row r="9" spans="1:18" ht="18" customHeight="1">
      <c r="A9" s="616"/>
      <c r="B9" s="887" t="s">
        <v>20</v>
      </c>
      <c r="C9" s="888"/>
      <c r="D9" s="887" t="s">
        <v>17</v>
      </c>
      <c r="E9" s="888"/>
      <c r="F9" s="893" t="s">
        <v>923</v>
      </c>
      <c r="G9" s="894"/>
      <c r="H9" s="894"/>
      <c r="I9" s="894"/>
      <c r="J9" s="895"/>
      <c r="K9" s="890"/>
      <c r="L9" s="892"/>
      <c r="M9" s="869"/>
      <c r="N9" s="335"/>
      <c r="O9" s="335"/>
      <c r="P9" s="335"/>
      <c r="Q9" s="634"/>
      <c r="R9" s="636"/>
    </row>
    <row r="10" spans="1:18" ht="18" customHeight="1">
      <c r="A10" s="614" t="s">
        <v>22</v>
      </c>
      <c r="B10" s="700" t="s">
        <v>28</v>
      </c>
      <c r="C10" s="701"/>
      <c r="D10" s="887" t="s">
        <v>14</v>
      </c>
      <c r="E10" s="888"/>
      <c r="F10" s="893" t="s">
        <v>627</v>
      </c>
      <c r="G10" s="894"/>
      <c r="H10" s="894"/>
      <c r="I10" s="894"/>
      <c r="J10" s="895"/>
      <c r="K10" s="911"/>
      <c r="L10" s="891"/>
      <c r="M10" s="867"/>
      <c r="N10" s="345">
        <v>100</v>
      </c>
      <c r="O10" s="345">
        <v>1</v>
      </c>
      <c r="P10" s="345">
        <v>700</v>
      </c>
      <c r="Q10" s="870" t="s">
        <v>946</v>
      </c>
      <c r="R10" s="658"/>
    </row>
    <row r="11" spans="1:18" ht="18" customHeight="1">
      <c r="A11" s="616"/>
      <c r="B11" s="700" t="s">
        <v>939</v>
      </c>
      <c r="C11" s="701"/>
      <c r="D11" s="887" t="s">
        <v>14</v>
      </c>
      <c r="E11" s="888"/>
      <c r="F11" s="893" t="s">
        <v>628</v>
      </c>
      <c r="G11" s="894"/>
      <c r="H11" s="894"/>
      <c r="I11" s="894"/>
      <c r="J11" s="895"/>
      <c r="K11" s="912"/>
      <c r="L11" s="892"/>
      <c r="M11" s="869"/>
      <c r="N11" s="335"/>
      <c r="O11" s="335"/>
      <c r="P11" s="335"/>
      <c r="Q11" s="634"/>
      <c r="R11" s="636"/>
    </row>
    <row r="12" spans="1:18" ht="18" customHeight="1">
      <c r="A12" s="614" t="s">
        <v>27</v>
      </c>
      <c r="B12" s="700" t="s">
        <v>28</v>
      </c>
      <c r="C12" s="701"/>
      <c r="D12" s="700" t="s">
        <v>17</v>
      </c>
      <c r="E12" s="701"/>
      <c r="F12" s="662" t="s">
        <v>936</v>
      </c>
      <c r="G12" s="663"/>
      <c r="H12" s="663"/>
      <c r="I12" s="663"/>
      <c r="J12" s="750"/>
      <c r="K12" s="889" t="s">
        <v>1249</v>
      </c>
      <c r="L12" s="702"/>
      <c r="M12" s="913"/>
      <c r="N12" s="345">
        <v>100</v>
      </c>
      <c r="O12" s="345">
        <v>1</v>
      </c>
      <c r="P12" s="345">
        <v>2100</v>
      </c>
      <c r="Q12" s="656" t="s">
        <v>945</v>
      </c>
      <c r="R12" s="658"/>
    </row>
    <row r="13" spans="1:18" ht="18" customHeight="1">
      <c r="A13" s="616"/>
      <c r="B13" s="700" t="s">
        <v>939</v>
      </c>
      <c r="C13" s="701"/>
      <c r="D13" s="700" t="s">
        <v>17</v>
      </c>
      <c r="E13" s="701"/>
      <c r="F13" s="662" t="s">
        <v>937</v>
      </c>
      <c r="G13" s="663"/>
      <c r="H13" s="663"/>
      <c r="I13" s="663"/>
      <c r="J13" s="750"/>
      <c r="K13" s="890"/>
      <c r="L13" s="691"/>
      <c r="M13" s="914"/>
      <c r="N13" s="335"/>
      <c r="O13" s="335"/>
      <c r="P13" s="335"/>
      <c r="Q13" s="634"/>
      <c r="R13" s="636"/>
    </row>
    <row r="14" spans="1:18" ht="18" customHeight="1">
      <c r="A14" s="614" t="s">
        <v>34</v>
      </c>
      <c r="B14" s="887" t="s">
        <v>35</v>
      </c>
      <c r="C14" s="888"/>
      <c r="D14" s="887" t="s">
        <v>43</v>
      </c>
      <c r="E14" s="888"/>
      <c r="F14" s="893" t="s">
        <v>633</v>
      </c>
      <c r="G14" s="894"/>
      <c r="H14" s="894"/>
      <c r="I14" s="894"/>
      <c r="J14" s="895"/>
      <c r="K14" s="911"/>
      <c r="L14" s="702"/>
      <c r="M14" s="913"/>
      <c r="N14" s="345">
        <v>100</v>
      </c>
      <c r="O14" s="345">
        <v>1</v>
      </c>
      <c r="P14" s="345">
        <v>700</v>
      </c>
      <c r="Q14" s="656" t="s">
        <v>38</v>
      </c>
      <c r="R14" s="658"/>
    </row>
    <row r="15" spans="1:18" ht="18" customHeight="1">
      <c r="A15" s="616"/>
      <c r="B15" s="887" t="s">
        <v>39</v>
      </c>
      <c r="C15" s="888"/>
      <c r="D15" s="887" t="s">
        <v>43</v>
      </c>
      <c r="E15" s="888"/>
      <c r="F15" s="893" t="s">
        <v>1597</v>
      </c>
      <c r="G15" s="894"/>
      <c r="H15" s="894"/>
      <c r="I15" s="894"/>
      <c r="J15" s="895"/>
      <c r="K15" s="912"/>
      <c r="L15" s="691"/>
      <c r="M15" s="914"/>
      <c r="N15" s="335"/>
      <c r="O15" s="335"/>
      <c r="P15" s="335"/>
      <c r="Q15" s="634"/>
      <c r="R15" s="636"/>
    </row>
    <row r="16" spans="1:18" ht="18" customHeight="1">
      <c r="A16" s="57" t="s">
        <v>41</v>
      </c>
      <c r="B16" s="618" t="s">
        <v>71</v>
      </c>
      <c r="C16" s="619"/>
      <c r="D16" s="618" t="s">
        <v>72</v>
      </c>
      <c r="E16" s="619"/>
      <c r="F16" s="858" t="s">
        <v>474</v>
      </c>
      <c r="G16" s="859"/>
      <c r="H16" s="859"/>
      <c r="I16" s="859"/>
      <c r="J16" s="860"/>
      <c r="K16" s="32" t="s">
        <v>1250</v>
      </c>
      <c r="L16" s="518" t="s">
        <v>975</v>
      </c>
      <c r="M16" s="97" t="s">
        <v>436</v>
      </c>
      <c r="N16" s="341">
        <v>100</v>
      </c>
      <c r="O16" s="341">
        <v>1</v>
      </c>
      <c r="P16" s="341">
        <v>5100</v>
      </c>
      <c r="Q16" s="652" t="s">
        <v>947</v>
      </c>
      <c r="R16" s="624"/>
    </row>
    <row r="17" spans="1:18" ht="18" customHeight="1">
      <c r="A17" s="57" t="s">
        <v>47</v>
      </c>
      <c r="B17" s="618" t="s">
        <v>48</v>
      </c>
      <c r="C17" s="619"/>
      <c r="D17" s="618" t="s">
        <v>179</v>
      </c>
      <c r="E17" s="619"/>
      <c r="F17" s="858" t="s">
        <v>941</v>
      </c>
      <c r="G17" s="859"/>
      <c r="H17" s="859"/>
      <c r="I17" s="859"/>
      <c r="J17" s="860"/>
      <c r="K17" s="32" t="s">
        <v>1072</v>
      </c>
      <c r="L17" s="305" t="s">
        <v>1071</v>
      </c>
      <c r="M17" s="97" t="s">
        <v>436</v>
      </c>
      <c r="N17" s="341">
        <v>100</v>
      </c>
      <c r="O17" s="341">
        <v>1</v>
      </c>
      <c r="P17" s="341">
        <v>3100</v>
      </c>
      <c r="Q17" s="652" t="s">
        <v>948</v>
      </c>
      <c r="R17" s="624"/>
    </row>
    <row r="18" spans="1:18" ht="18" customHeight="1">
      <c r="A18" s="614" t="s">
        <v>940</v>
      </c>
      <c r="B18" s="874" t="s">
        <v>81</v>
      </c>
      <c r="C18" s="875"/>
      <c r="D18" s="874" t="s">
        <v>17</v>
      </c>
      <c r="E18" s="875"/>
      <c r="F18" s="858" t="s">
        <v>942</v>
      </c>
      <c r="G18" s="900"/>
      <c r="H18" s="900"/>
      <c r="I18" s="900"/>
      <c r="J18" s="260"/>
      <c r="K18" s="899" t="s">
        <v>1247</v>
      </c>
      <c r="L18" s="891"/>
      <c r="M18" s="951"/>
      <c r="N18" s="342">
        <v>100</v>
      </c>
      <c r="O18" s="342">
        <v>1</v>
      </c>
      <c r="P18" s="342">
        <v>2600</v>
      </c>
      <c r="Q18" s="870" t="s">
        <v>949</v>
      </c>
      <c r="R18" s="658"/>
    </row>
    <row r="19" spans="1:18" ht="18" customHeight="1">
      <c r="A19" s="616"/>
      <c r="B19" s="874" t="s">
        <v>83</v>
      </c>
      <c r="C19" s="875"/>
      <c r="D19" s="874" t="s">
        <v>11</v>
      </c>
      <c r="E19" s="875"/>
      <c r="F19" s="876" t="s">
        <v>84</v>
      </c>
      <c r="G19" s="877"/>
      <c r="H19" s="877"/>
      <c r="I19" s="877"/>
      <c r="J19" s="878"/>
      <c r="K19" s="852"/>
      <c r="L19" s="892"/>
      <c r="M19" s="952"/>
      <c r="N19" s="343"/>
      <c r="O19" s="343"/>
      <c r="P19" s="343"/>
      <c r="Q19" s="634"/>
      <c r="R19" s="636"/>
    </row>
    <row r="20" spans="1:18" ht="18" customHeight="1">
      <c r="A20" s="57" t="s">
        <v>155</v>
      </c>
      <c r="B20" s="618" t="s">
        <v>58</v>
      </c>
      <c r="C20" s="619"/>
      <c r="D20" s="618" t="s">
        <v>49</v>
      </c>
      <c r="E20" s="619"/>
      <c r="F20" s="858" t="s">
        <v>884</v>
      </c>
      <c r="G20" s="859"/>
      <c r="H20" s="859"/>
      <c r="I20" s="859"/>
      <c r="J20" s="860"/>
      <c r="K20" s="32" t="s">
        <v>1251</v>
      </c>
      <c r="L20" s="147"/>
      <c r="M20" s="131" t="s">
        <v>470</v>
      </c>
      <c r="N20" s="344">
        <v>100</v>
      </c>
      <c r="O20" s="344">
        <v>1</v>
      </c>
      <c r="P20" s="344">
        <v>2100</v>
      </c>
      <c r="Q20" s="652" t="s">
        <v>950</v>
      </c>
      <c r="R20" s="624"/>
    </row>
    <row r="21" spans="1:18" ht="18" customHeight="1" thickBot="1">
      <c r="A21" s="473" t="s">
        <v>61</v>
      </c>
      <c r="B21" s="880" t="s">
        <v>58</v>
      </c>
      <c r="C21" s="881"/>
      <c r="D21" s="880" t="s">
        <v>11</v>
      </c>
      <c r="E21" s="881"/>
      <c r="F21" s="882" t="s">
        <v>943</v>
      </c>
      <c r="G21" s="883"/>
      <c r="H21" s="883"/>
      <c r="I21" s="883"/>
      <c r="J21" s="884"/>
      <c r="K21" s="48" t="s">
        <v>1252</v>
      </c>
      <c r="L21" s="12"/>
      <c r="M21" s="217" t="s">
        <v>425</v>
      </c>
      <c r="N21" s="471">
        <v>100</v>
      </c>
      <c r="O21" s="471">
        <v>1</v>
      </c>
      <c r="P21" s="471">
        <v>2600</v>
      </c>
      <c r="Q21" s="885" t="s">
        <v>951</v>
      </c>
      <c r="R21" s="886"/>
    </row>
    <row r="22" spans="1:18" ht="18" customHeight="1" thickTop="1">
      <c r="A22" s="474" t="s">
        <v>125</v>
      </c>
      <c r="B22" s="901" t="s">
        <v>62</v>
      </c>
      <c r="C22" s="902"/>
      <c r="D22" s="901" t="s">
        <v>468</v>
      </c>
      <c r="E22" s="902"/>
      <c r="F22" s="903" t="s">
        <v>1060</v>
      </c>
      <c r="G22" s="904"/>
      <c r="H22" s="904"/>
      <c r="I22" s="182"/>
      <c r="J22" s="261"/>
      <c r="K22" s="43"/>
      <c r="L22" s="10"/>
      <c r="M22" s="470" t="s">
        <v>425</v>
      </c>
      <c r="N22" s="358">
        <v>100</v>
      </c>
      <c r="O22" s="358">
        <v>1</v>
      </c>
      <c r="P22" s="358">
        <v>3100</v>
      </c>
      <c r="Q22" s="905" t="s">
        <v>957</v>
      </c>
      <c r="R22" s="902"/>
    </row>
    <row r="23" spans="1:18" ht="18" customHeight="1">
      <c r="A23" s="57" t="s">
        <v>127</v>
      </c>
      <c r="B23" s="618" t="s">
        <v>58</v>
      </c>
      <c r="C23" s="619"/>
      <c r="D23" s="618" t="s">
        <v>49</v>
      </c>
      <c r="E23" s="619"/>
      <c r="F23" s="858" t="s">
        <v>952</v>
      </c>
      <c r="G23" s="859"/>
      <c r="H23" s="859"/>
      <c r="I23" s="859"/>
      <c r="J23" s="860"/>
      <c r="K23" s="520" t="s">
        <v>1246</v>
      </c>
      <c r="L23" s="109"/>
      <c r="M23" s="131" t="s">
        <v>704</v>
      </c>
      <c r="N23" s="344">
        <v>100</v>
      </c>
      <c r="O23" s="344">
        <v>1</v>
      </c>
      <c r="P23" s="344">
        <v>1000</v>
      </c>
      <c r="Q23" s="652" t="s">
        <v>954</v>
      </c>
      <c r="R23" s="624"/>
    </row>
    <row r="24" spans="1:18" ht="18" customHeight="1">
      <c r="A24" s="614" t="s">
        <v>380</v>
      </c>
      <c r="B24" s="887" t="s">
        <v>10</v>
      </c>
      <c r="C24" s="888"/>
      <c r="D24" s="887" t="s">
        <v>11</v>
      </c>
      <c r="E24" s="888"/>
      <c r="F24" s="893" t="s">
        <v>624</v>
      </c>
      <c r="G24" s="894"/>
      <c r="H24" s="894"/>
      <c r="I24" s="894"/>
      <c r="J24" s="895"/>
      <c r="K24" s="889" t="s">
        <v>1253</v>
      </c>
      <c r="L24" s="891"/>
      <c r="M24" s="867"/>
      <c r="N24" s="345">
        <v>100</v>
      </c>
      <c r="O24" s="345">
        <v>1</v>
      </c>
      <c r="P24" s="345">
        <v>1100</v>
      </c>
      <c r="Q24" s="656" t="s">
        <v>956</v>
      </c>
      <c r="R24" s="658"/>
    </row>
    <row r="25" spans="1:18" ht="18" customHeight="1">
      <c r="A25" s="616"/>
      <c r="B25" s="887" t="s">
        <v>20</v>
      </c>
      <c r="C25" s="888"/>
      <c r="D25" s="887" t="s">
        <v>17</v>
      </c>
      <c r="E25" s="888"/>
      <c r="F25" s="893" t="s">
        <v>955</v>
      </c>
      <c r="G25" s="894"/>
      <c r="H25" s="894"/>
      <c r="I25" s="894"/>
      <c r="J25" s="895"/>
      <c r="K25" s="890"/>
      <c r="L25" s="892"/>
      <c r="M25" s="869"/>
      <c r="N25" s="335"/>
      <c r="O25" s="335"/>
      <c r="P25" s="335"/>
      <c r="Q25" s="634"/>
      <c r="R25" s="636"/>
    </row>
    <row r="26" spans="1:18" ht="18" customHeight="1">
      <c r="A26" s="614" t="s">
        <v>75</v>
      </c>
      <c r="B26" s="906" t="s">
        <v>81</v>
      </c>
      <c r="C26" s="907"/>
      <c r="D26" s="906" t="s">
        <v>17</v>
      </c>
      <c r="E26" s="907"/>
      <c r="F26" s="849" t="s">
        <v>942</v>
      </c>
      <c r="G26" s="850"/>
      <c r="H26" s="850"/>
      <c r="I26" s="850"/>
      <c r="J26" s="261"/>
      <c r="K26" s="851" t="s">
        <v>1254</v>
      </c>
      <c r="L26" s="896"/>
      <c r="M26" s="897"/>
      <c r="N26" s="367">
        <v>300</v>
      </c>
      <c r="O26" s="367">
        <v>3</v>
      </c>
      <c r="P26" s="367">
        <v>9300</v>
      </c>
      <c r="Q26" s="857" t="s">
        <v>953</v>
      </c>
      <c r="R26" s="633"/>
    </row>
    <row r="27" spans="1:18" ht="18" customHeight="1">
      <c r="A27" s="616"/>
      <c r="B27" s="874" t="s">
        <v>83</v>
      </c>
      <c r="C27" s="875"/>
      <c r="D27" s="874" t="s">
        <v>11</v>
      </c>
      <c r="E27" s="875"/>
      <c r="F27" s="876" t="s">
        <v>84</v>
      </c>
      <c r="G27" s="877"/>
      <c r="H27" s="877"/>
      <c r="I27" s="877"/>
      <c r="J27" s="878"/>
      <c r="K27" s="852"/>
      <c r="L27" s="892"/>
      <c r="M27" s="898"/>
      <c r="N27" s="360"/>
      <c r="O27" s="360"/>
      <c r="P27" s="360"/>
      <c r="Q27" s="634"/>
      <c r="R27" s="636"/>
    </row>
    <row r="28" spans="1:18" ht="18" customHeight="1">
      <c r="A28" s="614" t="s">
        <v>78</v>
      </c>
      <c r="B28" s="700" t="s">
        <v>86</v>
      </c>
      <c r="C28" s="701"/>
      <c r="D28" s="700" t="s">
        <v>11</v>
      </c>
      <c r="E28" s="701"/>
      <c r="F28" s="662" t="s">
        <v>817</v>
      </c>
      <c r="G28" s="663"/>
      <c r="H28" s="663"/>
      <c r="I28" s="663"/>
      <c r="J28" s="750"/>
      <c r="K28" s="908" t="s">
        <v>1257</v>
      </c>
      <c r="L28" s="871" t="s">
        <v>1073</v>
      </c>
      <c r="M28" s="867"/>
      <c r="N28" s="345">
        <v>200</v>
      </c>
      <c r="O28" s="345">
        <v>2</v>
      </c>
      <c r="P28" s="345">
        <v>1000</v>
      </c>
      <c r="Q28" s="656" t="s">
        <v>958</v>
      </c>
      <c r="R28" s="658"/>
    </row>
    <row r="29" spans="1:18" ht="18" customHeight="1">
      <c r="A29" s="615"/>
      <c r="B29" s="700" t="s">
        <v>959</v>
      </c>
      <c r="C29" s="701"/>
      <c r="D29" s="700" t="s">
        <v>11</v>
      </c>
      <c r="E29" s="701"/>
      <c r="F29" s="662" t="s">
        <v>1436</v>
      </c>
      <c r="G29" s="663"/>
      <c r="H29" s="663"/>
      <c r="I29" s="663"/>
      <c r="J29" s="750"/>
      <c r="K29" s="909"/>
      <c r="L29" s="872"/>
      <c r="M29" s="868"/>
      <c r="N29" s="368"/>
      <c r="O29" s="368"/>
      <c r="P29" s="368"/>
      <c r="Q29" s="631"/>
      <c r="R29" s="633"/>
    </row>
    <row r="30" spans="1:18" ht="18" customHeight="1">
      <c r="A30" s="616"/>
      <c r="B30" s="700" t="s">
        <v>83</v>
      </c>
      <c r="C30" s="701"/>
      <c r="D30" s="700" t="s">
        <v>11</v>
      </c>
      <c r="E30" s="701"/>
      <c r="F30" s="662" t="s">
        <v>756</v>
      </c>
      <c r="G30" s="663"/>
      <c r="H30" s="663"/>
      <c r="I30" s="663"/>
      <c r="J30" s="750"/>
      <c r="K30" s="910"/>
      <c r="L30" s="873"/>
      <c r="M30" s="869"/>
      <c r="N30" s="335"/>
      <c r="O30" s="335"/>
      <c r="P30" s="335"/>
      <c r="Q30" s="634"/>
      <c r="R30" s="636"/>
    </row>
    <row r="31" spans="1:18" ht="18" customHeight="1">
      <c r="A31" s="614" t="s">
        <v>85</v>
      </c>
      <c r="B31" s="700" t="s">
        <v>79</v>
      </c>
      <c r="C31" s="701"/>
      <c r="D31" s="700" t="s">
        <v>14</v>
      </c>
      <c r="E31" s="701"/>
      <c r="F31" s="662" t="s">
        <v>357</v>
      </c>
      <c r="G31" s="663"/>
      <c r="H31" s="663"/>
      <c r="I31" s="663"/>
      <c r="J31" s="750"/>
      <c r="K31" s="863" t="s">
        <v>1256</v>
      </c>
      <c r="L31" s="891"/>
      <c r="M31" s="867"/>
      <c r="N31" s="345">
        <v>200</v>
      </c>
      <c r="O31" s="345">
        <v>2</v>
      </c>
      <c r="P31" s="345">
        <v>2200</v>
      </c>
      <c r="Q31" s="870" t="s">
        <v>961</v>
      </c>
      <c r="R31" s="658"/>
    </row>
    <row r="32" spans="1:18" ht="18" customHeight="1">
      <c r="A32" s="615"/>
      <c r="B32" s="700" t="s">
        <v>81</v>
      </c>
      <c r="C32" s="701"/>
      <c r="D32" s="700" t="s">
        <v>14</v>
      </c>
      <c r="E32" s="701"/>
      <c r="F32" s="662" t="s">
        <v>361</v>
      </c>
      <c r="G32" s="663"/>
      <c r="H32" s="663"/>
      <c r="I32" s="663"/>
      <c r="J32" s="750"/>
      <c r="K32" s="864"/>
      <c r="L32" s="896"/>
      <c r="M32" s="868"/>
      <c r="N32" s="368"/>
      <c r="O32" s="368"/>
      <c r="P32" s="368"/>
      <c r="Q32" s="631"/>
      <c r="R32" s="633"/>
    </row>
    <row r="33" spans="1:18" ht="18" customHeight="1">
      <c r="A33" s="616"/>
      <c r="B33" s="700" t="s">
        <v>83</v>
      </c>
      <c r="C33" s="701"/>
      <c r="D33" s="700" t="s">
        <v>11</v>
      </c>
      <c r="E33" s="701"/>
      <c r="F33" s="662" t="s">
        <v>960</v>
      </c>
      <c r="G33" s="663"/>
      <c r="H33" s="663"/>
      <c r="I33" s="663"/>
      <c r="J33" s="750"/>
      <c r="K33" s="865"/>
      <c r="L33" s="892"/>
      <c r="M33" s="869"/>
      <c r="N33" s="335"/>
      <c r="O33" s="335"/>
      <c r="P33" s="335"/>
      <c r="Q33" s="634"/>
      <c r="R33" s="636"/>
    </row>
    <row r="34" spans="1:18" ht="18" customHeight="1">
      <c r="A34" s="279"/>
      <c r="B34" s="308"/>
      <c r="C34" s="308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517"/>
      <c r="O34" s="517"/>
      <c r="P34" s="517"/>
      <c r="Q34" s="39"/>
      <c r="R34" s="39"/>
    </row>
    <row r="35" spans="1:18" ht="18" customHeight="1">
      <c r="A35" s="279" t="s">
        <v>1376</v>
      </c>
      <c r="B35" s="308"/>
      <c r="C35" s="308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517"/>
      <c r="O35" s="517"/>
      <c r="P35" s="517"/>
      <c r="Q35" s="39"/>
      <c r="R35" s="39"/>
    </row>
    <row r="36" spans="1:18" ht="18" customHeight="1">
      <c r="A36" s="279"/>
      <c r="B36" s="308"/>
      <c r="C36" s="30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517"/>
      <c r="O36" s="517"/>
      <c r="P36" s="517"/>
      <c r="Q36" s="39"/>
      <c r="R36" s="39"/>
    </row>
    <row r="37" spans="1:18" ht="18" customHeight="1">
      <c r="A37" s="279"/>
      <c r="B37" s="308"/>
      <c r="C37" s="308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517"/>
      <c r="O37" s="517"/>
      <c r="P37" s="517"/>
      <c r="Q37" s="39"/>
      <c r="R37" s="39"/>
    </row>
    <row r="38" spans="1:18" ht="18" customHeight="1">
      <c r="A38" s="279"/>
      <c r="B38" s="308"/>
      <c r="C38" s="30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517"/>
      <c r="O38" s="517"/>
      <c r="P38" s="517"/>
      <c r="Q38" s="39"/>
      <c r="R38" s="39"/>
    </row>
    <row r="39" spans="1:18" ht="18.75" customHeight="1">
      <c r="A39" s="879" t="s">
        <v>935</v>
      </c>
      <c r="B39" s="879"/>
      <c r="C39" s="879"/>
      <c r="D39" s="879"/>
      <c r="E39" s="879"/>
      <c r="F39" s="879"/>
      <c r="G39" s="879"/>
      <c r="H39" s="879"/>
      <c r="I39" s="879"/>
      <c r="J39" s="879"/>
      <c r="K39" s="879"/>
      <c r="L39" s="39"/>
      <c r="M39" s="39"/>
      <c r="N39" s="517"/>
      <c r="O39" s="517"/>
      <c r="P39" s="517"/>
      <c r="Q39" s="39"/>
      <c r="R39" s="39"/>
    </row>
    <row r="40" spans="1:18" ht="18.75" customHeight="1">
      <c r="A40" s="263" t="s">
        <v>972</v>
      </c>
      <c r="B40" s="39"/>
      <c r="C40" s="39"/>
      <c r="D40" s="39"/>
      <c r="E40" s="39"/>
      <c r="F40" s="39"/>
      <c r="G40" s="39"/>
      <c r="H40" s="39"/>
      <c r="I40" s="465"/>
      <c r="J40" s="39"/>
      <c r="K40" s="39"/>
      <c r="L40" s="39"/>
      <c r="M40" s="39"/>
      <c r="N40" s="517"/>
      <c r="O40" s="517"/>
      <c r="P40" s="517"/>
      <c r="Q40" s="39"/>
      <c r="R40" s="39"/>
    </row>
    <row r="41" spans="1:18" ht="16.5" customHeight="1">
      <c r="A41" s="49" t="s">
        <v>366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17"/>
      <c r="O41" s="517"/>
      <c r="P41" s="517"/>
      <c r="Q41" s="39"/>
      <c r="R41" s="39" t="s">
        <v>983</v>
      </c>
    </row>
    <row r="42" spans="1:18" ht="16.5" customHeight="1">
      <c r="A42" s="754" t="s">
        <v>2</v>
      </c>
      <c r="B42" s="922" t="s">
        <v>3</v>
      </c>
      <c r="C42" s="923"/>
      <c r="D42" s="926" t="s">
        <v>4</v>
      </c>
      <c r="E42" s="927"/>
      <c r="F42" s="922" t="s">
        <v>5</v>
      </c>
      <c r="G42" s="930"/>
      <c r="H42" s="930"/>
      <c r="I42" s="930"/>
      <c r="J42" s="923"/>
      <c r="K42" s="715" t="s">
        <v>6</v>
      </c>
      <c r="L42" s="932" t="s">
        <v>7</v>
      </c>
      <c r="M42" s="185" t="s">
        <v>407</v>
      </c>
      <c r="N42" s="768" t="s">
        <v>1095</v>
      </c>
      <c r="O42" s="805" t="s">
        <v>1096</v>
      </c>
      <c r="P42" s="650" t="s">
        <v>1097</v>
      </c>
      <c r="Q42" s="915" t="s">
        <v>8</v>
      </c>
      <c r="R42" s="916"/>
    </row>
    <row r="43" spans="1:18" ht="16.5" customHeight="1">
      <c r="A43" s="755"/>
      <c r="B43" s="924"/>
      <c r="C43" s="925"/>
      <c r="D43" s="928"/>
      <c r="E43" s="929"/>
      <c r="F43" s="924"/>
      <c r="G43" s="931"/>
      <c r="H43" s="931"/>
      <c r="I43" s="931"/>
      <c r="J43" s="925"/>
      <c r="K43" s="715"/>
      <c r="L43" s="933"/>
      <c r="M43" s="186" t="s">
        <v>410</v>
      </c>
      <c r="N43" s="717"/>
      <c r="O43" s="706"/>
      <c r="P43" s="650"/>
      <c r="Q43" s="917"/>
      <c r="R43" s="918"/>
    </row>
    <row r="44" spans="1:18" ht="18" customHeight="1">
      <c r="A44" s="57" t="s">
        <v>233</v>
      </c>
      <c r="B44" s="618" t="s">
        <v>71</v>
      </c>
      <c r="C44" s="619"/>
      <c r="D44" s="618" t="s">
        <v>72</v>
      </c>
      <c r="E44" s="619"/>
      <c r="F44" s="858" t="s">
        <v>474</v>
      </c>
      <c r="G44" s="859"/>
      <c r="H44" s="859"/>
      <c r="I44" s="859"/>
      <c r="J44" s="860"/>
      <c r="K44" s="32" t="s">
        <v>1250</v>
      </c>
      <c r="L44" s="521" t="s">
        <v>975</v>
      </c>
      <c r="M44" s="97" t="s">
        <v>436</v>
      </c>
      <c r="N44" s="341">
        <v>200</v>
      </c>
      <c r="O44" s="341">
        <v>1</v>
      </c>
      <c r="P44" s="341">
        <v>5200</v>
      </c>
      <c r="Q44" s="652" t="s">
        <v>947</v>
      </c>
      <c r="R44" s="624"/>
    </row>
    <row r="45" spans="1:18" ht="18" customHeight="1">
      <c r="A45" s="57" t="s">
        <v>298</v>
      </c>
      <c r="B45" s="618" t="s">
        <v>48</v>
      </c>
      <c r="C45" s="619"/>
      <c r="D45" s="618" t="s">
        <v>179</v>
      </c>
      <c r="E45" s="619"/>
      <c r="F45" s="858" t="s">
        <v>941</v>
      </c>
      <c r="G45" s="859"/>
      <c r="H45" s="859"/>
      <c r="I45" s="859"/>
      <c r="J45" s="860"/>
      <c r="K45" s="32" t="s">
        <v>1072</v>
      </c>
      <c r="L45" s="305" t="s">
        <v>1071</v>
      </c>
      <c r="M45" s="97" t="s">
        <v>436</v>
      </c>
      <c r="N45" s="341">
        <v>100</v>
      </c>
      <c r="O45" s="341">
        <v>1</v>
      </c>
      <c r="P45" s="341">
        <v>3100</v>
      </c>
      <c r="Q45" s="652" t="s">
        <v>948</v>
      </c>
      <c r="R45" s="624"/>
    </row>
    <row r="46" spans="1:18" ht="18" customHeight="1">
      <c r="A46" s="614" t="s">
        <v>110</v>
      </c>
      <c r="B46" s="700" t="s">
        <v>28</v>
      </c>
      <c r="C46" s="701"/>
      <c r="D46" s="700" t="s">
        <v>17</v>
      </c>
      <c r="E46" s="701"/>
      <c r="F46" s="662" t="s">
        <v>936</v>
      </c>
      <c r="G46" s="663"/>
      <c r="H46" s="663"/>
      <c r="I46" s="663"/>
      <c r="J46" s="750"/>
      <c r="K46" s="889" t="s">
        <v>1249</v>
      </c>
      <c r="L46" s="934"/>
      <c r="M46" s="913"/>
      <c r="N46" s="345">
        <v>100</v>
      </c>
      <c r="O46" s="345">
        <v>1</v>
      </c>
      <c r="P46" s="345">
        <v>2100</v>
      </c>
      <c r="Q46" s="656" t="s">
        <v>945</v>
      </c>
      <c r="R46" s="658"/>
    </row>
    <row r="47" spans="1:18" ht="18" customHeight="1">
      <c r="A47" s="616"/>
      <c r="B47" s="700" t="s">
        <v>939</v>
      </c>
      <c r="C47" s="701"/>
      <c r="D47" s="700" t="s">
        <v>17</v>
      </c>
      <c r="E47" s="701"/>
      <c r="F47" s="662" t="s">
        <v>937</v>
      </c>
      <c r="G47" s="663"/>
      <c r="H47" s="663"/>
      <c r="I47" s="663"/>
      <c r="J47" s="750"/>
      <c r="K47" s="890"/>
      <c r="L47" s="935"/>
      <c r="M47" s="914"/>
      <c r="N47" s="335"/>
      <c r="O47" s="335"/>
      <c r="P47" s="335"/>
      <c r="Q47" s="634"/>
      <c r="R47" s="636"/>
    </row>
    <row r="48" spans="1:18" ht="18" customHeight="1">
      <c r="A48" s="614" t="s">
        <v>117</v>
      </c>
      <c r="B48" s="887" t="s">
        <v>35</v>
      </c>
      <c r="C48" s="888"/>
      <c r="D48" s="887" t="s">
        <v>43</v>
      </c>
      <c r="E48" s="888"/>
      <c r="F48" s="893" t="s">
        <v>633</v>
      </c>
      <c r="G48" s="894"/>
      <c r="H48" s="894"/>
      <c r="I48" s="894"/>
      <c r="J48" s="895"/>
      <c r="K48" s="911"/>
      <c r="L48" s="934"/>
      <c r="M48" s="913"/>
      <c r="N48" s="345">
        <v>100</v>
      </c>
      <c r="O48" s="345">
        <v>1</v>
      </c>
      <c r="P48" s="345">
        <v>600</v>
      </c>
      <c r="Q48" s="656" t="s">
        <v>38</v>
      </c>
      <c r="R48" s="658"/>
    </row>
    <row r="49" spans="1:18" ht="18" customHeight="1">
      <c r="A49" s="616"/>
      <c r="B49" s="887" t="s">
        <v>39</v>
      </c>
      <c r="C49" s="888"/>
      <c r="D49" s="887" t="s">
        <v>43</v>
      </c>
      <c r="E49" s="888"/>
      <c r="F49" s="893" t="s">
        <v>938</v>
      </c>
      <c r="G49" s="894"/>
      <c r="H49" s="894"/>
      <c r="I49" s="894"/>
      <c r="J49" s="895"/>
      <c r="K49" s="912"/>
      <c r="L49" s="935"/>
      <c r="M49" s="914"/>
      <c r="N49" s="335"/>
      <c r="O49" s="335"/>
      <c r="P49" s="335"/>
      <c r="Q49" s="634"/>
      <c r="R49" s="636"/>
    </row>
    <row r="50" spans="1:18" ht="18" customHeight="1">
      <c r="A50" s="614" t="s">
        <v>155</v>
      </c>
      <c r="B50" s="874" t="s">
        <v>81</v>
      </c>
      <c r="C50" s="875"/>
      <c r="D50" s="874" t="s">
        <v>17</v>
      </c>
      <c r="E50" s="875"/>
      <c r="F50" s="858" t="s">
        <v>942</v>
      </c>
      <c r="G50" s="900"/>
      <c r="H50" s="900"/>
      <c r="I50" s="900"/>
      <c r="J50" s="260"/>
      <c r="K50" s="899" t="s">
        <v>1264</v>
      </c>
      <c r="L50" s="866"/>
      <c r="M50" s="254"/>
      <c r="N50" s="342">
        <v>100</v>
      </c>
      <c r="O50" s="342">
        <v>1</v>
      </c>
      <c r="P50" s="342">
        <v>2600</v>
      </c>
      <c r="Q50" s="870" t="s">
        <v>949</v>
      </c>
      <c r="R50" s="658"/>
    </row>
    <row r="51" spans="1:18" ht="18" customHeight="1">
      <c r="A51" s="616"/>
      <c r="B51" s="874" t="s">
        <v>83</v>
      </c>
      <c r="C51" s="875"/>
      <c r="D51" s="874" t="s">
        <v>11</v>
      </c>
      <c r="E51" s="875"/>
      <c r="F51" s="876" t="s">
        <v>268</v>
      </c>
      <c r="G51" s="877"/>
      <c r="H51" s="877"/>
      <c r="I51" s="877"/>
      <c r="J51" s="878"/>
      <c r="K51" s="852"/>
      <c r="L51" s="854"/>
      <c r="M51" s="254"/>
      <c r="N51" s="343"/>
      <c r="O51" s="343"/>
      <c r="P51" s="343"/>
      <c r="Q51" s="634"/>
      <c r="R51" s="636"/>
    </row>
    <row r="52" spans="1:18" ht="18" customHeight="1">
      <c r="A52" s="57" t="s">
        <v>61</v>
      </c>
      <c r="B52" s="618" t="s">
        <v>58</v>
      </c>
      <c r="C52" s="619"/>
      <c r="D52" s="618" t="s">
        <v>11</v>
      </c>
      <c r="E52" s="619"/>
      <c r="F52" s="858" t="s">
        <v>943</v>
      </c>
      <c r="G52" s="859"/>
      <c r="H52" s="859"/>
      <c r="I52" s="859"/>
      <c r="J52" s="860"/>
      <c r="K52" s="32" t="s">
        <v>1252</v>
      </c>
      <c r="L52" s="512"/>
      <c r="M52" s="216" t="s">
        <v>425</v>
      </c>
      <c r="N52" s="357">
        <v>100</v>
      </c>
      <c r="O52" s="357">
        <v>1</v>
      </c>
      <c r="P52" s="357">
        <v>2600</v>
      </c>
      <c r="Q52" s="652" t="s">
        <v>951</v>
      </c>
      <c r="R52" s="624"/>
    </row>
    <row r="53" spans="1:18" ht="18" customHeight="1">
      <c r="A53" s="59" t="s">
        <v>259</v>
      </c>
      <c r="B53" s="618" t="s">
        <v>58</v>
      </c>
      <c r="C53" s="619"/>
      <c r="D53" s="618" t="s">
        <v>49</v>
      </c>
      <c r="E53" s="619"/>
      <c r="F53" s="858" t="s">
        <v>884</v>
      </c>
      <c r="G53" s="859"/>
      <c r="H53" s="859"/>
      <c r="I53" s="859"/>
      <c r="J53" s="860"/>
      <c r="K53" s="32" t="s">
        <v>1259</v>
      </c>
      <c r="L53" s="522"/>
      <c r="M53" s="131" t="s">
        <v>470</v>
      </c>
      <c r="N53" s="344">
        <v>200</v>
      </c>
      <c r="O53" s="344">
        <v>1</v>
      </c>
      <c r="P53" s="371" t="s">
        <v>1106</v>
      </c>
      <c r="Q53" s="652" t="s">
        <v>950</v>
      </c>
      <c r="R53" s="624"/>
    </row>
    <row r="54" spans="1:18" ht="18" customHeight="1">
      <c r="A54" s="615" t="s">
        <v>809</v>
      </c>
      <c r="B54" s="700" t="s">
        <v>28</v>
      </c>
      <c r="C54" s="701"/>
      <c r="D54" s="887" t="s">
        <v>14</v>
      </c>
      <c r="E54" s="888"/>
      <c r="F54" s="893" t="s">
        <v>627</v>
      </c>
      <c r="G54" s="894"/>
      <c r="H54" s="894"/>
      <c r="I54" s="894"/>
      <c r="J54" s="895"/>
      <c r="K54" s="911"/>
      <c r="L54" s="866"/>
      <c r="M54" s="867"/>
      <c r="N54" s="345">
        <v>100</v>
      </c>
      <c r="O54" s="345">
        <v>1</v>
      </c>
      <c r="P54" s="345">
        <v>700</v>
      </c>
      <c r="Q54" s="870" t="s">
        <v>946</v>
      </c>
      <c r="R54" s="658"/>
    </row>
    <row r="55" spans="1:18" ht="18" customHeight="1">
      <c r="A55" s="616"/>
      <c r="B55" s="700" t="s">
        <v>939</v>
      </c>
      <c r="C55" s="701"/>
      <c r="D55" s="887" t="s">
        <v>14</v>
      </c>
      <c r="E55" s="888"/>
      <c r="F55" s="893" t="s">
        <v>628</v>
      </c>
      <c r="G55" s="894"/>
      <c r="H55" s="894"/>
      <c r="I55" s="894"/>
      <c r="J55" s="895"/>
      <c r="K55" s="912"/>
      <c r="L55" s="854"/>
      <c r="M55" s="869"/>
      <c r="N55" s="335"/>
      <c r="O55" s="335"/>
      <c r="P55" s="335"/>
      <c r="Q55" s="634"/>
      <c r="R55" s="636"/>
    </row>
    <row r="56" spans="1:18" ht="18" customHeight="1">
      <c r="A56" s="614" t="s">
        <v>125</v>
      </c>
      <c r="B56" s="887" t="s">
        <v>10</v>
      </c>
      <c r="C56" s="888"/>
      <c r="D56" s="887" t="s">
        <v>11</v>
      </c>
      <c r="E56" s="888"/>
      <c r="F56" s="893" t="s">
        <v>624</v>
      </c>
      <c r="G56" s="894"/>
      <c r="H56" s="894"/>
      <c r="I56" s="894"/>
      <c r="J56" s="895"/>
      <c r="K56" s="889" t="s">
        <v>1265</v>
      </c>
      <c r="L56" s="866"/>
      <c r="M56" s="867"/>
      <c r="N56" s="345">
        <v>100</v>
      </c>
      <c r="O56" s="345">
        <v>1</v>
      </c>
      <c r="P56" s="345">
        <v>1100</v>
      </c>
      <c r="Q56" s="870" t="s">
        <v>944</v>
      </c>
      <c r="R56" s="658"/>
    </row>
    <row r="57" spans="1:18" ht="18" customHeight="1">
      <c r="A57" s="616"/>
      <c r="B57" s="887" t="s">
        <v>20</v>
      </c>
      <c r="C57" s="888"/>
      <c r="D57" s="887" t="s">
        <v>17</v>
      </c>
      <c r="E57" s="888"/>
      <c r="F57" s="893" t="s">
        <v>923</v>
      </c>
      <c r="G57" s="894"/>
      <c r="H57" s="894"/>
      <c r="I57" s="894"/>
      <c r="J57" s="895"/>
      <c r="K57" s="890"/>
      <c r="L57" s="854"/>
      <c r="M57" s="869"/>
      <c r="N57" s="335"/>
      <c r="O57" s="335"/>
      <c r="P57" s="335"/>
      <c r="Q57" s="634"/>
      <c r="R57" s="636"/>
    </row>
    <row r="58" spans="1:18" ht="18" customHeight="1">
      <c r="A58" s="614" t="s">
        <v>127</v>
      </c>
      <c r="B58" s="887" t="s">
        <v>10</v>
      </c>
      <c r="C58" s="888"/>
      <c r="D58" s="919" t="s">
        <v>49</v>
      </c>
      <c r="E58" s="919"/>
      <c r="F58" s="893" t="s">
        <v>1596</v>
      </c>
      <c r="G58" s="894"/>
      <c r="H58" s="894"/>
      <c r="I58" s="894"/>
      <c r="J58" s="895"/>
      <c r="K58" s="911"/>
      <c r="L58" s="866"/>
      <c r="M58" s="920"/>
      <c r="N58" s="365">
        <v>100</v>
      </c>
      <c r="O58" s="365">
        <v>1</v>
      </c>
      <c r="P58" s="365">
        <v>600</v>
      </c>
      <c r="Q58" s="656" t="s">
        <v>12</v>
      </c>
      <c r="R58" s="658"/>
    </row>
    <row r="59" spans="1:18" ht="18" customHeight="1" thickBot="1">
      <c r="A59" s="684"/>
      <c r="B59" s="938" t="s">
        <v>13</v>
      </c>
      <c r="C59" s="939"/>
      <c r="D59" s="938" t="s">
        <v>11</v>
      </c>
      <c r="E59" s="939"/>
      <c r="F59" s="940" t="s">
        <v>414</v>
      </c>
      <c r="G59" s="941"/>
      <c r="H59" s="941"/>
      <c r="I59" s="941"/>
      <c r="J59" s="942"/>
      <c r="K59" s="936"/>
      <c r="L59" s="937"/>
      <c r="M59" s="943"/>
      <c r="N59" s="369"/>
      <c r="O59" s="369"/>
      <c r="P59" s="369"/>
      <c r="Q59" s="780"/>
      <c r="R59" s="782"/>
    </row>
    <row r="60" spans="1:18" ht="18" customHeight="1" thickTop="1">
      <c r="A60" s="57" t="s">
        <v>380</v>
      </c>
      <c r="B60" s="618" t="s">
        <v>58</v>
      </c>
      <c r="C60" s="619"/>
      <c r="D60" s="618" t="s">
        <v>49</v>
      </c>
      <c r="E60" s="619"/>
      <c r="F60" s="858" t="s">
        <v>952</v>
      </c>
      <c r="G60" s="859"/>
      <c r="H60" s="859"/>
      <c r="I60" s="859"/>
      <c r="J60" s="860"/>
      <c r="K60" s="520" t="s">
        <v>1246</v>
      </c>
      <c r="L60" s="523"/>
      <c r="M60" s="131" t="s">
        <v>704</v>
      </c>
      <c r="N60" s="344">
        <v>100</v>
      </c>
      <c r="O60" s="344">
        <v>1</v>
      </c>
      <c r="P60" s="344">
        <v>500</v>
      </c>
      <c r="Q60" s="652" t="s">
        <v>954</v>
      </c>
      <c r="R60" s="624"/>
    </row>
    <row r="61" spans="1:18" ht="18" customHeight="1">
      <c r="A61" s="614" t="s">
        <v>269</v>
      </c>
      <c r="B61" s="700" t="s">
        <v>79</v>
      </c>
      <c r="C61" s="701"/>
      <c r="D61" s="700" t="s">
        <v>14</v>
      </c>
      <c r="E61" s="701"/>
      <c r="F61" s="662" t="s">
        <v>357</v>
      </c>
      <c r="G61" s="663"/>
      <c r="H61" s="663"/>
      <c r="I61" s="663"/>
      <c r="J61" s="750"/>
      <c r="K61" s="863" t="s">
        <v>1256</v>
      </c>
      <c r="L61" s="866"/>
      <c r="M61" s="867"/>
      <c r="N61" s="345">
        <v>100</v>
      </c>
      <c r="O61" s="345">
        <v>1</v>
      </c>
      <c r="P61" s="345">
        <v>1100</v>
      </c>
      <c r="Q61" s="870" t="s">
        <v>961</v>
      </c>
      <c r="R61" s="658"/>
    </row>
    <row r="62" spans="1:18" ht="18" customHeight="1">
      <c r="A62" s="615"/>
      <c r="B62" s="700" t="s">
        <v>81</v>
      </c>
      <c r="C62" s="701"/>
      <c r="D62" s="700" t="s">
        <v>14</v>
      </c>
      <c r="E62" s="701"/>
      <c r="F62" s="662" t="s">
        <v>361</v>
      </c>
      <c r="G62" s="663"/>
      <c r="H62" s="663"/>
      <c r="I62" s="663"/>
      <c r="J62" s="750"/>
      <c r="K62" s="864"/>
      <c r="L62" s="853"/>
      <c r="M62" s="868"/>
      <c r="N62" s="368"/>
      <c r="O62" s="368"/>
      <c r="P62" s="368"/>
      <c r="Q62" s="631"/>
      <c r="R62" s="633"/>
    </row>
    <row r="63" spans="1:18" ht="18" customHeight="1">
      <c r="A63" s="616"/>
      <c r="B63" s="700" t="s">
        <v>83</v>
      </c>
      <c r="C63" s="701"/>
      <c r="D63" s="700" t="s">
        <v>11</v>
      </c>
      <c r="E63" s="701"/>
      <c r="F63" s="662" t="s">
        <v>895</v>
      </c>
      <c r="G63" s="663"/>
      <c r="H63" s="663"/>
      <c r="I63" s="663"/>
      <c r="J63" s="750"/>
      <c r="K63" s="865"/>
      <c r="L63" s="854"/>
      <c r="M63" s="869"/>
      <c r="N63" s="335"/>
      <c r="O63" s="335"/>
      <c r="P63" s="335"/>
      <c r="Q63" s="634"/>
      <c r="R63" s="636"/>
    </row>
    <row r="64" spans="1:18" ht="18" customHeight="1">
      <c r="A64" s="615" t="s">
        <v>567</v>
      </c>
      <c r="B64" s="700" t="s">
        <v>86</v>
      </c>
      <c r="C64" s="701"/>
      <c r="D64" s="700" t="s">
        <v>11</v>
      </c>
      <c r="E64" s="701"/>
      <c r="F64" s="662" t="s">
        <v>817</v>
      </c>
      <c r="G64" s="663"/>
      <c r="H64" s="663"/>
      <c r="I64" s="663"/>
      <c r="J64" s="750"/>
      <c r="K64" s="908" t="s">
        <v>1255</v>
      </c>
      <c r="L64" s="871" t="s">
        <v>1073</v>
      </c>
      <c r="M64" s="867"/>
      <c r="N64" s="345">
        <v>100</v>
      </c>
      <c r="O64" s="345">
        <v>1</v>
      </c>
      <c r="P64" s="345">
        <v>500</v>
      </c>
      <c r="Q64" s="656" t="s">
        <v>958</v>
      </c>
      <c r="R64" s="658"/>
    </row>
    <row r="65" spans="1:18" ht="18" customHeight="1">
      <c r="A65" s="615"/>
      <c r="B65" s="700" t="s">
        <v>959</v>
      </c>
      <c r="C65" s="701"/>
      <c r="D65" s="700" t="s">
        <v>11</v>
      </c>
      <c r="E65" s="701"/>
      <c r="F65" s="662" t="s">
        <v>1436</v>
      </c>
      <c r="G65" s="663"/>
      <c r="H65" s="663"/>
      <c r="I65" s="663"/>
      <c r="J65" s="750"/>
      <c r="K65" s="909"/>
      <c r="L65" s="872"/>
      <c r="M65" s="868"/>
      <c r="N65" s="368"/>
      <c r="O65" s="368"/>
      <c r="P65" s="368"/>
      <c r="Q65" s="631"/>
      <c r="R65" s="633"/>
    </row>
    <row r="66" spans="1:18" ht="18" customHeight="1">
      <c r="A66" s="616"/>
      <c r="B66" s="700" t="s">
        <v>83</v>
      </c>
      <c r="C66" s="701"/>
      <c r="D66" s="700" t="s">
        <v>11</v>
      </c>
      <c r="E66" s="701"/>
      <c r="F66" s="662" t="s">
        <v>973</v>
      </c>
      <c r="G66" s="663"/>
      <c r="H66" s="663"/>
      <c r="I66" s="663"/>
      <c r="J66" s="750"/>
      <c r="K66" s="910"/>
      <c r="L66" s="873"/>
      <c r="M66" s="869"/>
      <c r="N66" s="335"/>
      <c r="O66" s="335"/>
      <c r="P66" s="335"/>
      <c r="Q66" s="634"/>
      <c r="R66" s="636"/>
    </row>
    <row r="67" spans="1:18" ht="18" customHeight="1">
      <c r="A67" s="73" t="s">
        <v>919</v>
      </c>
      <c r="B67" s="874" t="s">
        <v>62</v>
      </c>
      <c r="C67" s="875"/>
      <c r="D67" s="874" t="s">
        <v>468</v>
      </c>
      <c r="E67" s="875"/>
      <c r="F67" s="876" t="s">
        <v>1060</v>
      </c>
      <c r="G67" s="877"/>
      <c r="H67" s="877"/>
      <c r="I67" s="877"/>
      <c r="J67" s="878"/>
      <c r="K67" s="306"/>
      <c r="L67" s="524"/>
      <c r="M67" s="307"/>
      <c r="N67" s="359">
        <v>100</v>
      </c>
      <c r="O67" s="359">
        <v>1</v>
      </c>
      <c r="P67" s="359">
        <v>5100</v>
      </c>
      <c r="Q67" s="861" t="s">
        <v>1061</v>
      </c>
      <c r="R67" s="862"/>
    </row>
    <row r="68" spans="1:18" ht="18" customHeight="1">
      <c r="A68" s="614" t="s">
        <v>920</v>
      </c>
      <c r="B68" s="618" t="s">
        <v>81</v>
      </c>
      <c r="C68" s="619"/>
      <c r="D68" s="762" t="s">
        <v>17</v>
      </c>
      <c r="E68" s="763"/>
      <c r="F68" s="849" t="s">
        <v>942</v>
      </c>
      <c r="G68" s="850"/>
      <c r="H68" s="850"/>
      <c r="I68" s="850"/>
      <c r="J68" s="261"/>
      <c r="K68" s="851" t="s">
        <v>1254</v>
      </c>
      <c r="L68" s="853"/>
      <c r="M68" s="855"/>
      <c r="N68" s="370">
        <v>200</v>
      </c>
      <c r="O68" s="370">
        <v>1</v>
      </c>
      <c r="P68" s="370">
        <v>3200</v>
      </c>
      <c r="Q68" s="857" t="s">
        <v>953</v>
      </c>
      <c r="R68" s="633"/>
    </row>
    <row r="69" spans="1:18" ht="18" customHeight="1">
      <c r="A69" s="616"/>
      <c r="B69" s="618" t="s">
        <v>83</v>
      </c>
      <c r="C69" s="619"/>
      <c r="D69" s="618" t="s">
        <v>11</v>
      </c>
      <c r="E69" s="619"/>
      <c r="F69" s="858" t="s">
        <v>268</v>
      </c>
      <c r="G69" s="859"/>
      <c r="H69" s="859"/>
      <c r="I69" s="859"/>
      <c r="J69" s="860"/>
      <c r="K69" s="852"/>
      <c r="L69" s="854"/>
      <c r="M69" s="856"/>
      <c r="N69" s="358"/>
      <c r="O69" s="358"/>
      <c r="P69" s="358"/>
      <c r="Q69" s="634"/>
      <c r="R69" s="636"/>
    </row>
    <row r="70" spans="1:18" ht="18" customHeight="1">
      <c r="A70" s="614" t="s">
        <v>921</v>
      </c>
      <c r="B70" s="887" t="s">
        <v>10</v>
      </c>
      <c r="C70" s="888"/>
      <c r="D70" s="887" t="s">
        <v>11</v>
      </c>
      <c r="E70" s="888"/>
      <c r="F70" s="893" t="s">
        <v>624</v>
      </c>
      <c r="G70" s="894"/>
      <c r="H70" s="894"/>
      <c r="I70" s="894"/>
      <c r="J70" s="895"/>
      <c r="K70" s="889" t="s">
        <v>1263</v>
      </c>
      <c r="L70" s="866"/>
      <c r="M70" s="867"/>
      <c r="N70" s="345">
        <v>100</v>
      </c>
      <c r="O70" s="345">
        <v>1</v>
      </c>
      <c r="P70" s="345">
        <v>1600</v>
      </c>
      <c r="Q70" s="656" t="s">
        <v>956</v>
      </c>
      <c r="R70" s="658"/>
    </row>
    <row r="71" spans="1:18" ht="18" customHeight="1">
      <c r="A71" s="616"/>
      <c r="B71" s="887" t="s">
        <v>20</v>
      </c>
      <c r="C71" s="888"/>
      <c r="D71" s="887" t="s">
        <v>11</v>
      </c>
      <c r="E71" s="888"/>
      <c r="F71" s="893" t="s">
        <v>974</v>
      </c>
      <c r="G71" s="894"/>
      <c r="H71" s="894"/>
      <c r="I71" s="894"/>
      <c r="J71" s="895"/>
      <c r="K71" s="890"/>
      <c r="L71" s="854"/>
      <c r="M71" s="869"/>
      <c r="N71" s="335"/>
      <c r="O71" s="335"/>
      <c r="P71" s="335"/>
      <c r="Q71" s="634"/>
      <c r="R71" s="636"/>
    </row>
    <row r="72" spans="1:18" ht="18" customHeight="1">
      <c r="A72" s="278"/>
      <c r="B72" s="270"/>
      <c r="C72" s="270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517"/>
      <c r="O72" s="517"/>
      <c r="P72" s="517"/>
      <c r="Q72" s="39"/>
      <c r="R72" s="39"/>
    </row>
    <row r="73" spans="1:18" ht="18" customHeight="1">
      <c r="A73" s="279" t="s">
        <v>1376</v>
      </c>
      <c r="B73" s="466"/>
      <c r="C73" s="466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517"/>
      <c r="O73" s="517"/>
      <c r="P73" s="517"/>
      <c r="Q73" s="39"/>
      <c r="R73" s="39"/>
    </row>
    <row r="74" spans="1:18" ht="18" customHeight="1">
      <c r="A74" s="279"/>
      <c r="B74" s="466"/>
      <c r="C74" s="466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517"/>
      <c r="O74" s="517"/>
      <c r="P74" s="517"/>
      <c r="Q74" s="39"/>
      <c r="R74" s="39"/>
    </row>
    <row r="75" spans="1:18" ht="18" customHeight="1">
      <c r="A75" s="279"/>
      <c r="B75" s="466"/>
      <c r="C75" s="466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517"/>
      <c r="O75" s="517"/>
      <c r="P75" s="517"/>
      <c r="Q75" s="39"/>
      <c r="R75" s="39"/>
    </row>
    <row r="76" spans="1:18" ht="18" customHeight="1">
      <c r="A76" s="279"/>
      <c r="B76" s="466"/>
      <c r="C76" s="466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517"/>
      <c r="O76" s="517"/>
      <c r="P76" s="517"/>
      <c r="Q76" s="39"/>
      <c r="R76" s="39"/>
    </row>
    <row r="77" spans="1:18" ht="18" customHeight="1">
      <c r="A77" s="879" t="s">
        <v>935</v>
      </c>
      <c r="B77" s="879"/>
      <c r="C77" s="879"/>
      <c r="D77" s="879"/>
      <c r="E77" s="879"/>
      <c r="F77" s="879"/>
      <c r="G77" s="879"/>
      <c r="H77" s="879"/>
      <c r="I77" s="879"/>
      <c r="J77" s="879"/>
      <c r="K77" s="879"/>
      <c r="L77" s="39"/>
      <c r="M77" s="39"/>
      <c r="N77" s="517"/>
      <c r="O77" s="517"/>
      <c r="P77" s="517"/>
      <c r="Q77" s="39"/>
      <c r="R77" s="39"/>
    </row>
    <row r="78" spans="1:18" ht="19.95" customHeight="1">
      <c r="A78" s="263" t="s">
        <v>1266</v>
      </c>
      <c r="B78" s="39"/>
      <c r="C78" s="39"/>
      <c r="D78" s="39"/>
      <c r="E78" s="39"/>
      <c r="F78" s="39"/>
      <c r="G78" s="39"/>
      <c r="H78" s="39"/>
      <c r="I78" s="465"/>
      <c r="J78" s="39"/>
      <c r="K78" s="39"/>
      <c r="L78" s="39"/>
      <c r="M78" s="39"/>
      <c r="N78" s="517"/>
      <c r="O78" s="517"/>
      <c r="P78" s="517"/>
      <c r="Q78" s="39"/>
      <c r="R78" s="39"/>
    </row>
    <row r="79" spans="1:18" ht="16.2" customHeight="1">
      <c r="A79" s="49" t="s">
        <v>366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517"/>
      <c r="O79" s="517"/>
      <c r="P79" s="517"/>
      <c r="Q79" s="39"/>
      <c r="R79" s="39" t="s">
        <v>983</v>
      </c>
    </row>
    <row r="80" spans="1:18" ht="16.5" customHeight="1">
      <c r="A80" s="754" t="s">
        <v>2</v>
      </c>
      <c r="B80" s="922" t="s">
        <v>3</v>
      </c>
      <c r="C80" s="923"/>
      <c r="D80" s="926" t="s">
        <v>4</v>
      </c>
      <c r="E80" s="927"/>
      <c r="F80" s="922" t="s">
        <v>5</v>
      </c>
      <c r="G80" s="930"/>
      <c r="H80" s="930"/>
      <c r="I80" s="930"/>
      <c r="J80" s="923"/>
      <c r="K80" s="715" t="s">
        <v>6</v>
      </c>
      <c r="L80" s="932" t="s">
        <v>7</v>
      </c>
      <c r="M80" s="185" t="s">
        <v>407</v>
      </c>
      <c r="N80" s="768" t="s">
        <v>1095</v>
      </c>
      <c r="O80" s="805" t="s">
        <v>1096</v>
      </c>
      <c r="P80" s="650" t="s">
        <v>1097</v>
      </c>
      <c r="Q80" s="915" t="s">
        <v>8</v>
      </c>
      <c r="R80" s="916"/>
    </row>
    <row r="81" spans="1:18" ht="16.5" customHeight="1">
      <c r="A81" s="755"/>
      <c r="B81" s="924"/>
      <c r="C81" s="925"/>
      <c r="D81" s="928"/>
      <c r="E81" s="929"/>
      <c r="F81" s="924"/>
      <c r="G81" s="931"/>
      <c r="H81" s="931"/>
      <c r="I81" s="931"/>
      <c r="J81" s="925"/>
      <c r="K81" s="715"/>
      <c r="L81" s="933"/>
      <c r="M81" s="186" t="s">
        <v>410</v>
      </c>
      <c r="N81" s="717"/>
      <c r="O81" s="706"/>
      <c r="P81" s="650"/>
      <c r="Q81" s="917"/>
      <c r="R81" s="918"/>
    </row>
    <row r="82" spans="1:18" ht="18" customHeight="1">
      <c r="A82" s="57" t="s">
        <v>233</v>
      </c>
      <c r="B82" s="618" t="s">
        <v>71</v>
      </c>
      <c r="C82" s="619"/>
      <c r="D82" s="618" t="s">
        <v>72</v>
      </c>
      <c r="E82" s="619"/>
      <c r="F82" s="858" t="s">
        <v>474</v>
      </c>
      <c r="G82" s="859"/>
      <c r="H82" s="859"/>
      <c r="I82" s="859"/>
      <c r="J82" s="860"/>
      <c r="K82" s="32" t="s">
        <v>1250</v>
      </c>
      <c r="L82" s="521" t="s">
        <v>975</v>
      </c>
      <c r="M82" s="97" t="s">
        <v>436</v>
      </c>
      <c r="N82" s="341">
        <v>100</v>
      </c>
      <c r="O82" s="341">
        <v>1</v>
      </c>
      <c r="P82" s="341">
        <v>5100</v>
      </c>
      <c r="Q82" s="652" t="s">
        <v>947</v>
      </c>
      <c r="R82" s="624"/>
    </row>
    <row r="83" spans="1:18" ht="18" customHeight="1">
      <c r="A83" s="57" t="s">
        <v>298</v>
      </c>
      <c r="B83" s="618" t="s">
        <v>48</v>
      </c>
      <c r="C83" s="619"/>
      <c r="D83" s="618" t="s">
        <v>179</v>
      </c>
      <c r="E83" s="619"/>
      <c r="F83" s="858" t="s">
        <v>941</v>
      </c>
      <c r="G83" s="859"/>
      <c r="H83" s="859"/>
      <c r="I83" s="859"/>
      <c r="J83" s="860"/>
      <c r="K83" s="32" t="s">
        <v>1072</v>
      </c>
      <c r="L83" s="305" t="s">
        <v>1071</v>
      </c>
      <c r="M83" s="97" t="s">
        <v>436</v>
      </c>
      <c r="N83" s="341">
        <v>100</v>
      </c>
      <c r="O83" s="341">
        <v>1</v>
      </c>
      <c r="P83" s="341">
        <v>3100</v>
      </c>
      <c r="Q83" s="652" t="s">
        <v>948</v>
      </c>
      <c r="R83" s="624"/>
    </row>
    <row r="84" spans="1:18" ht="18" customHeight="1">
      <c r="A84" s="614" t="s">
        <v>110</v>
      </c>
      <c r="B84" s="700" t="s">
        <v>28</v>
      </c>
      <c r="C84" s="701"/>
      <c r="D84" s="700" t="s">
        <v>17</v>
      </c>
      <c r="E84" s="701"/>
      <c r="F84" s="662" t="s">
        <v>936</v>
      </c>
      <c r="G84" s="663"/>
      <c r="H84" s="663"/>
      <c r="I84" s="663"/>
      <c r="J84" s="750"/>
      <c r="K84" s="889" t="s">
        <v>1249</v>
      </c>
      <c r="L84" s="934"/>
      <c r="M84" s="913"/>
      <c r="N84" s="345">
        <v>100</v>
      </c>
      <c r="O84" s="345">
        <v>1</v>
      </c>
      <c r="P84" s="345">
        <v>2100</v>
      </c>
      <c r="Q84" s="656" t="s">
        <v>945</v>
      </c>
      <c r="R84" s="658"/>
    </row>
    <row r="85" spans="1:18" ht="18" customHeight="1">
      <c r="A85" s="616"/>
      <c r="B85" s="700" t="s">
        <v>939</v>
      </c>
      <c r="C85" s="701"/>
      <c r="D85" s="700" t="s">
        <v>17</v>
      </c>
      <c r="E85" s="701"/>
      <c r="F85" s="662" t="s">
        <v>937</v>
      </c>
      <c r="G85" s="663"/>
      <c r="H85" s="663"/>
      <c r="I85" s="663"/>
      <c r="J85" s="750"/>
      <c r="K85" s="890"/>
      <c r="L85" s="935"/>
      <c r="M85" s="914"/>
      <c r="N85" s="335"/>
      <c r="O85" s="335"/>
      <c r="P85" s="335"/>
      <c r="Q85" s="634"/>
      <c r="R85" s="636"/>
    </row>
    <row r="86" spans="1:18" ht="18" customHeight="1">
      <c r="A86" s="614" t="s">
        <v>117</v>
      </c>
      <c r="B86" s="887" t="s">
        <v>35</v>
      </c>
      <c r="C86" s="888"/>
      <c r="D86" s="887" t="s">
        <v>43</v>
      </c>
      <c r="E86" s="888"/>
      <c r="F86" s="893" t="s">
        <v>633</v>
      </c>
      <c r="G86" s="894"/>
      <c r="H86" s="894"/>
      <c r="I86" s="894"/>
      <c r="J86" s="895"/>
      <c r="K86" s="944"/>
      <c r="L86" s="946" t="s">
        <v>1258</v>
      </c>
      <c r="M86" s="913"/>
      <c r="N86" s="345">
        <v>100</v>
      </c>
      <c r="O86" s="345">
        <v>1</v>
      </c>
      <c r="P86" s="345">
        <v>700</v>
      </c>
      <c r="Q86" s="656" t="s">
        <v>38</v>
      </c>
      <c r="R86" s="658"/>
    </row>
    <row r="87" spans="1:18" ht="18" customHeight="1">
      <c r="A87" s="616"/>
      <c r="B87" s="887" t="s">
        <v>39</v>
      </c>
      <c r="C87" s="888"/>
      <c r="D87" s="887" t="s">
        <v>43</v>
      </c>
      <c r="E87" s="888"/>
      <c r="F87" s="893" t="s">
        <v>1186</v>
      </c>
      <c r="G87" s="894"/>
      <c r="H87" s="894"/>
      <c r="I87" s="894"/>
      <c r="J87" s="895"/>
      <c r="K87" s="945"/>
      <c r="L87" s="947"/>
      <c r="M87" s="914"/>
      <c r="N87" s="335"/>
      <c r="O87" s="335"/>
      <c r="P87" s="335"/>
      <c r="Q87" s="634"/>
      <c r="R87" s="636"/>
    </row>
    <row r="88" spans="1:18" ht="18" customHeight="1">
      <c r="A88" s="614" t="s">
        <v>434</v>
      </c>
      <c r="B88" s="887" t="s">
        <v>10</v>
      </c>
      <c r="C88" s="888"/>
      <c r="D88" s="887" t="s">
        <v>11</v>
      </c>
      <c r="E88" s="888"/>
      <c r="F88" s="893" t="s">
        <v>624</v>
      </c>
      <c r="G88" s="894"/>
      <c r="H88" s="894"/>
      <c r="I88" s="894"/>
      <c r="J88" s="895"/>
      <c r="K88" s="889" t="s">
        <v>1248</v>
      </c>
      <c r="L88" s="866"/>
      <c r="M88" s="867"/>
      <c r="N88" s="345">
        <v>100</v>
      </c>
      <c r="O88" s="345">
        <v>1</v>
      </c>
      <c r="P88" s="345">
        <v>1200</v>
      </c>
      <c r="Q88" s="870" t="s">
        <v>944</v>
      </c>
      <c r="R88" s="658"/>
    </row>
    <row r="89" spans="1:18" ht="18" customHeight="1">
      <c r="A89" s="616"/>
      <c r="B89" s="887" t="s">
        <v>20</v>
      </c>
      <c r="C89" s="888"/>
      <c r="D89" s="887" t="s">
        <v>17</v>
      </c>
      <c r="E89" s="888"/>
      <c r="F89" s="893" t="s">
        <v>923</v>
      </c>
      <c r="G89" s="894"/>
      <c r="H89" s="894"/>
      <c r="I89" s="894"/>
      <c r="J89" s="895"/>
      <c r="K89" s="890"/>
      <c r="L89" s="854"/>
      <c r="M89" s="869"/>
      <c r="N89" s="335"/>
      <c r="O89" s="335"/>
      <c r="P89" s="335"/>
      <c r="Q89" s="634"/>
      <c r="R89" s="636"/>
    </row>
    <row r="90" spans="1:18" ht="18" customHeight="1">
      <c r="A90" s="59" t="s">
        <v>57</v>
      </c>
      <c r="B90" s="618" t="s">
        <v>58</v>
      </c>
      <c r="C90" s="619"/>
      <c r="D90" s="618" t="s">
        <v>49</v>
      </c>
      <c r="E90" s="619"/>
      <c r="F90" s="858" t="s">
        <v>884</v>
      </c>
      <c r="G90" s="859"/>
      <c r="H90" s="859"/>
      <c r="I90" s="859"/>
      <c r="J90" s="860"/>
      <c r="K90" s="32" t="s">
        <v>1259</v>
      </c>
      <c r="L90" s="522"/>
      <c r="M90" s="131" t="s">
        <v>470</v>
      </c>
      <c r="N90" s="344">
        <v>100</v>
      </c>
      <c r="O90" s="344">
        <v>1</v>
      </c>
      <c r="P90" s="371" t="s">
        <v>1179</v>
      </c>
      <c r="Q90" s="652" t="s">
        <v>950</v>
      </c>
      <c r="R90" s="624"/>
    </row>
    <row r="91" spans="1:18" ht="18" customHeight="1">
      <c r="A91" s="57" t="s">
        <v>155</v>
      </c>
      <c r="B91" s="618" t="s">
        <v>58</v>
      </c>
      <c r="C91" s="619"/>
      <c r="D91" s="618" t="s">
        <v>11</v>
      </c>
      <c r="E91" s="619"/>
      <c r="F91" s="858" t="s">
        <v>943</v>
      </c>
      <c r="G91" s="859"/>
      <c r="H91" s="859"/>
      <c r="I91" s="859"/>
      <c r="J91" s="860"/>
      <c r="K91" s="32" t="s">
        <v>1252</v>
      </c>
      <c r="L91" s="512"/>
      <c r="M91" s="216" t="s">
        <v>425</v>
      </c>
      <c r="N91" s="357">
        <v>100</v>
      </c>
      <c r="O91" s="357">
        <v>1</v>
      </c>
      <c r="P91" s="357">
        <v>1600</v>
      </c>
      <c r="Q91" s="652" t="s">
        <v>951</v>
      </c>
      <c r="R91" s="624"/>
    </row>
    <row r="92" spans="1:18" ht="18" customHeight="1">
      <c r="A92" s="614" t="s">
        <v>259</v>
      </c>
      <c r="B92" s="700" t="s">
        <v>81</v>
      </c>
      <c r="C92" s="701"/>
      <c r="D92" s="700" t="s">
        <v>17</v>
      </c>
      <c r="E92" s="701"/>
      <c r="F92" s="662" t="s">
        <v>942</v>
      </c>
      <c r="G92" s="954"/>
      <c r="H92" s="954"/>
      <c r="I92" s="954"/>
      <c r="J92" s="437"/>
      <c r="K92" s="889" t="s">
        <v>1262</v>
      </c>
      <c r="L92" s="866"/>
      <c r="M92" s="439"/>
      <c r="N92" s="440">
        <v>100</v>
      </c>
      <c r="O92" s="440">
        <v>1</v>
      </c>
      <c r="P92" s="440">
        <v>2100</v>
      </c>
      <c r="Q92" s="870" t="s">
        <v>949</v>
      </c>
      <c r="R92" s="658"/>
    </row>
    <row r="93" spans="1:18" ht="18" customHeight="1">
      <c r="A93" s="616"/>
      <c r="B93" s="700" t="s">
        <v>83</v>
      </c>
      <c r="C93" s="701"/>
      <c r="D93" s="700" t="s">
        <v>11</v>
      </c>
      <c r="E93" s="701"/>
      <c r="F93" s="662" t="s">
        <v>268</v>
      </c>
      <c r="G93" s="663"/>
      <c r="H93" s="663"/>
      <c r="I93" s="663"/>
      <c r="J93" s="750"/>
      <c r="K93" s="890"/>
      <c r="L93" s="854"/>
      <c r="M93" s="439"/>
      <c r="N93" s="441"/>
      <c r="O93" s="441"/>
      <c r="P93" s="441"/>
      <c r="Q93" s="634"/>
      <c r="R93" s="636"/>
    </row>
    <row r="94" spans="1:18" ht="18" customHeight="1">
      <c r="A94" s="615" t="s">
        <v>125</v>
      </c>
      <c r="B94" s="700" t="s">
        <v>28</v>
      </c>
      <c r="C94" s="701"/>
      <c r="D94" s="887" t="s">
        <v>14</v>
      </c>
      <c r="E94" s="888"/>
      <c r="F94" s="893" t="s">
        <v>627</v>
      </c>
      <c r="G94" s="894"/>
      <c r="H94" s="894"/>
      <c r="I94" s="894"/>
      <c r="J94" s="895"/>
      <c r="K94" s="944"/>
      <c r="L94" s="866"/>
      <c r="M94" s="867"/>
      <c r="N94" s="345">
        <v>100</v>
      </c>
      <c r="O94" s="345">
        <v>1</v>
      </c>
      <c r="P94" s="345">
        <v>700</v>
      </c>
      <c r="Q94" s="870" t="s">
        <v>946</v>
      </c>
      <c r="R94" s="658"/>
    </row>
    <row r="95" spans="1:18" ht="18" customHeight="1">
      <c r="A95" s="616"/>
      <c r="B95" s="700" t="s">
        <v>939</v>
      </c>
      <c r="C95" s="701"/>
      <c r="D95" s="887" t="s">
        <v>14</v>
      </c>
      <c r="E95" s="888"/>
      <c r="F95" s="893" t="s">
        <v>628</v>
      </c>
      <c r="G95" s="894"/>
      <c r="H95" s="894"/>
      <c r="I95" s="894"/>
      <c r="J95" s="895"/>
      <c r="K95" s="945"/>
      <c r="L95" s="854"/>
      <c r="M95" s="869"/>
      <c r="N95" s="335"/>
      <c r="O95" s="335"/>
      <c r="P95" s="335"/>
      <c r="Q95" s="634"/>
      <c r="R95" s="636"/>
    </row>
    <row r="96" spans="1:18" ht="18" customHeight="1">
      <c r="A96" s="614" t="s">
        <v>127</v>
      </c>
      <c r="B96" s="887" t="s">
        <v>10</v>
      </c>
      <c r="C96" s="888"/>
      <c r="D96" s="919" t="s">
        <v>49</v>
      </c>
      <c r="E96" s="919"/>
      <c r="F96" s="893" t="s">
        <v>1596</v>
      </c>
      <c r="G96" s="894"/>
      <c r="H96" s="894"/>
      <c r="I96" s="894"/>
      <c r="J96" s="895"/>
      <c r="K96" s="944"/>
      <c r="L96" s="866"/>
      <c r="M96" s="920"/>
      <c r="N96" s="365">
        <v>100</v>
      </c>
      <c r="O96" s="365">
        <v>1</v>
      </c>
      <c r="P96" s="365">
        <v>600</v>
      </c>
      <c r="Q96" s="656" t="s">
        <v>12</v>
      </c>
      <c r="R96" s="658"/>
    </row>
    <row r="97" spans="1:18" ht="18" customHeight="1" thickBot="1">
      <c r="A97" s="684"/>
      <c r="B97" s="938" t="s">
        <v>13</v>
      </c>
      <c r="C97" s="939"/>
      <c r="D97" s="938" t="s">
        <v>11</v>
      </c>
      <c r="E97" s="939"/>
      <c r="F97" s="940" t="s">
        <v>414</v>
      </c>
      <c r="G97" s="941"/>
      <c r="H97" s="941"/>
      <c r="I97" s="941"/>
      <c r="J97" s="942"/>
      <c r="K97" s="953"/>
      <c r="L97" s="937"/>
      <c r="M97" s="943"/>
      <c r="N97" s="369"/>
      <c r="O97" s="369"/>
      <c r="P97" s="369"/>
      <c r="Q97" s="780"/>
      <c r="R97" s="782"/>
    </row>
    <row r="98" spans="1:18" ht="18" customHeight="1" thickTop="1">
      <c r="A98" s="57" t="s">
        <v>380</v>
      </c>
      <c r="B98" s="618" t="s">
        <v>58</v>
      </c>
      <c r="C98" s="619"/>
      <c r="D98" s="618" t="s">
        <v>49</v>
      </c>
      <c r="E98" s="619"/>
      <c r="F98" s="858" t="s">
        <v>952</v>
      </c>
      <c r="G98" s="859"/>
      <c r="H98" s="859"/>
      <c r="I98" s="859"/>
      <c r="J98" s="860"/>
      <c r="K98" s="519" t="s">
        <v>1260</v>
      </c>
      <c r="L98" s="523"/>
      <c r="M98" s="131" t="s">
        <v>704</v>
      </c>
      <c r="N98" s="344">
        <v>100</v>
      </c>
      <c r="O98" s="344">
        <v>1</v>
      </c>
      <c r="P98" s="344">
        <v>500</v>
      </c>
      <c r="Q98" s="652" t="s">
        <v>954</v>
      </c>
      <c r="R98" s="624"/>
    </row>
    <row r="99" spans="1:18" ht="18" customHeight="1">
      <c r="A99" s="614" t="s">
        <v>269</v>
      </c>
      <c r="B99" s="700" t="s">
        <v>79</v>
      </c>
      <c r="C99" s="701"/>
      <c r="D99" s="700" t="s">
        <v>14</v>
      </c>
      <c r="E99" s="701"/>
      <c r="F99" s="662" t="s">
        <v>357</v>
      </c>
      <c r="G99" s="663"/>
      <c r="H99" s="663"/>
      <c r="I99" s="663"/>
      <c r="J99" s="750"/>
      <c r="K99" s="948" t="s">
        <v>1261</v>
      </c>
      <c r="L99" s="866"/>
      <c r="M99" s="867"/>
      <c r="N99" s="345">
        <v>100</v>
      </c>
      <c r="O99" s="345">
        <v>1</v>
      </c>
      <c r="P99" s="345">
        <v>1000</v>
      </c>
      <c r="Q99" s="870" t="s">
        <v>961</v>
      </c>
      <c r="R99" s="658"/>
    </row>
    <row r="100" spans="1:18" ht="18" customHeight="1">
      <c r="A100" s="615"/>
      <c r="B100" s="700" t="s">
        <v>81</v>
      </c>
      <c r="C100" s="701"/>
      <c r="D100" s="700" t="s">
        <v>14</v>
      </c>
      <c r="E100" s="701"/>
      <c r="F100" s="662" t="s">
        <v>361</v>
      </c>
      <c r="G100" s="663"/>
      <c r="H100" s="663"/>
      <c r="I100" s="663"/>
      <c r="J100" s="750"/>
      <c r="K100" s="949"/>
      <c r="L100" s="853"/>
      <c r="M100" s="868"/>
      <c r="N100" s="368"/>
      <c r="O100" s="368"/>
      <c r="P100" s="368"/>
      <c r="Q100" s="631"/>
      <c r="R100" s="633"/>
    </row>
    <row r="101" spans="1:18" ht="18" customHeight="1">
      <c r="A101" s="616"/>
      <c r="B101" s="700" t="s">
        <v>83</v>
      </c>
      <c r="C101" s="701"/>
      <c r="D101" s="700" t="s">
        <v>11</v>
      </c>
      <c r="E101" s="701"/>
      <c r="F101" s="662" t="s">
        <v>895</v>
      </c>
      <c r="G101" s="663"/>
      <c r="H101" s="663"/>
      <c r="I101" s="663"/>
      <c r="J101" s="750"/>
      <c r="K101" s="950"/>
      <c r="L101" s="854"/>
      <c r="M101" s="869"/>
      <c r="N101" s="335"/>
      <c r="O101" s="335"/>
      <c r="P101" s="335"/>
      <c r="Q101" s="634"/>
      <c r="R101" s="636"/>
    </row>
    <row r="102" spans="1:18" ht="18" customHeight="1">
      <c r="A102" s="615" t="s">
        <v>567</v>
      </c>
      <c r="B102" s="700" t="s">
        <v>86</v>
      </c>
      <c r="C102" s="701"/>
      <c r="D102" s="700" t="s">
        <v>11</v>
      </c>
      <c r="E102" s="701"/>
      <c r="F102" s="662" t="s">
        <v>817</v>
      </c>
      <c r="G102" s="663"/>
      <c r="H102" s="663"/>
      <c r="I102" s="663"/>
      <c r="J102" s="750"/>
      <c r="K102" s="908" t="s">
        <v>1255</v>
      </c>
      <c r="L102" s="871" t="s">
        <v>1073</v>
      </c>
      <c r="M102" s="867"/>
      <c r="N102" s="345">
        <v>100</v>
      </c>
      <c r="O102" s="345">
        <v>1</v>
      </c>
      <c r="P102" s="345">
        <v>500</v>
      </c>
      <c r="Q102" s="656" t="s">
        <v>958</v>
      </c>
      <c r="R102" s="658"/>
    </row>
    <row r="103" spans="1:18" ht="18" customHeight="1">
      <c r="A103" s="615"/>
      <c r="B103" s="700" t="s">
        <v>959</v>
      </c>
      <c r="C103" s="701"/>
      <c r="D103" s="700" t="s">
        <v>11</v>
      </c>
      <c r="E103" s="701"/>
      <c r="F103" s="662" t="s">
        <v>1436</v>
      </c>
      <c r="G103" s="663"/>
      <c r="H103" s="663"/>
      <c r="I103" s="663"/>
      <c r="J103" s="750"/>
      <c r="K103" s="909"/>
      <c r="L103" s="872"/>
      <c r="M103" s="868"/>
      <c r="N103" s="368"/>
      <c r="O103" s="368"/>
      <c r="P103" s="368"/>
      <c r="Q103" s="631"/>
      <c r="R103" s="633"/>
    </row>
    <row r="104" spans="1:18" ht="18" customHeight="1">
      <c r="A104" s="616"/>
      <c r="B104" s="700" t="s">
        <v>83</v>
      </c>
      <c r="C104" s="701"/>
      <c r="D104" s="700" t="s">
        <v>11</v>
      </c>
      <c r="E104" s="701"/>
      <c r="F104" s="662" t="s">
        <v>973</v>
      </c>
      <c r="G104" s="663"/>
      <c r="H104" s="663"/>
      <c r="I104" s="663"/>
      <c r="J104" s="750"/>
      <c r="K104" s="910"/>
      <c r="L104" s="873"/>
      <c r="M104" s="869"/>
      <c r="N104" s="335"/>
      <c r="O104" s="335"/>
      <c r="P104" s="335"/>
      <c r="Q104" s="634"/>
      <c r="R104" s="636"/>
    </row>
    <row r="105" spans="1:18" ht="18" customHeight="1">
      <c r="A105" s="614" t="s">
        <v>70</v>
      </c>
      <c r="B105" s="762" t="s">
        <v>81</v>
      </c>
      <c r="C105" s="763"/>
      <c r="D105" s="762" t="s">
        <v>17</v>
      </c>
      <c r="E105" s="763"/>
      <c r="F105" s="849" t="s">
        <v>942</v>
      </c>
      <c r="G105" s="850"/>
      <c r="H105" s="850"/>
      <c r="I105" s="850"/>
      <c r="J105" s="261"/>
      <c r="K105" s="851" t="s">
        <v>1254</v>
      </c>
      <c r="L105" s="853"/>
      <c r="M105" s="897"/>
      <c r="N105" s="367">
        <v>100</v>
      </c>
      <c r="O105" s="367">
        <v>1</v>
      </c>
      <c r="P105" s="367">
        <v>2600</v>
      </c>
      <c r="Q105" s="857" t="s">
        <v>953</v>
      </c>
      <c r="R105" s="633"/>
    </row>
    <row r="106" spans="1:18" ht="18" customHeight="1">
      <c r="A106" s="616"/>
      <c r="B106" s="618" t="s">
        <v>83</v>
      </c>
      <c r="C106" s="619"/>
      <c r="D106" s="618" t="s">
        <v>11</v>
      </c>
      <c r="E106" s="619"/>
      <c r="F106" s="858" t="s">
        <v>268</v>
      </c>
      <c r="G106" s="859"/>
      <c r="H106" s="859"/>
      <c r="I106" s="859"/>
      <c r="J106" s="860"/>
      <c r="K106" s="852"/>
      <c r="L106" s="854"/>
      <c r="M106" s="898"/>
      <c r="N106" s="360"/>
      <c r="O106" s="360"/>
      <c r="P106" s="360"/>
      <c r="Q106" s="634"/>
      <c r="R106" s="636"/>
    </row>
    <row r="107" spans="1:18" ht="18" customHeight="1">
      <c r="A107" s="59" t="s">
        <v>818</v>
      </c>
      <c r="B107" s="618" t="s">
        <v>62</v>
      </c>
      <c r="C107" s="619"/>
      <c r="D107" s="618" t="s">
        <v>468</v>
      </c>
      <c r="E107" s="619"/>
      <c r="F107" s="858" t="s">
        <v>1060</v>
      </c>
      <c r="G107" s="859"/>
      <c r="H107" s="859"/>
      <c r="I107" s="859"/>
      <c r="J107" s="860"/>
      <c r="K107" s="33"/>
      <c r="L107" s="512"/>
      <c r="M107" s="97" t="s">
        <v>425</v>
      </c>
      <c r="N107" s="341">
        <v>100</v>
      </c>
      <c r="O107" s="341">
        <v>1</v>
      </c>
      <c r="P107" s="341">
        <v>3100</v>
      </c>
      <c r="Q107" s="652" t="s">
        <v>1061</v>
      </c>
      <c r="R107" s="624"/>
    </row>
    <row r="108" spans="1:18" ht="18" customHeight="1">
      <c r="A108" s="614" t="s">
        <v>158</v>
      </c>
      <c r="B108" s="887" t="s">
        <v>10</v>
      </c>
      <c r="C108" s="888"/>
      <c r="D108" s="887" t="s">
        <v>11</v>
      </c>
      <c r="E108" s="888"/>
      <c r="F108" s="893" t="s">
        <v>624</v>
      </c>
      <c r="G108" s="894"/>
      <c r="H108" s="894"/>
      <c r="I108" s="894"/>
      <c r="J108" s="895"/>
      <c r="K108" s="889" t="s">
        <v>1263</v>
      </c>
      <c r="L108" s="866"/>
      <c r="M108" s="867"/>
      <c r="N108" s="345">
        <v>100</v>
      </c>
      <c r="O108" s="345">
        <v>1</v>
      </c>
      <c r="P108" s="345">
        <v>1000</v>
      </c>
      <c r="Q108" s="656" t="s">
        <v>956</v>
      </c>
      <c r="R108" s="658"/>
    </row>
    <row r="109" spans="1:18" ht="18" customHeight="1">
      <c r="A109" s="616"/>
      <c r="B109" s="887" t="s">
        <v>20</v>
      </c>
      <c r="C109" s="888"/>
      <c r="D109" s="887" t="s">
        <v>11</v>
      </c>
      <c r="E109" s="888"/>
      <c r="F109" s="893" t="s">
        <v>974</v>
      </c>
      <c r="G109" s="894"/>
      <c r="H109" s="894"/>
      <c r="I109" s="894"/>
      <c r="J109" s="895"/>
      <c r="K109" s="890"/>
      <c r="L109" s="854"/>
      <c r="M109" s="869"/>
      <c r="N109" s="335"/>
      <c r="O109" s="335"/>
      <c r="P109" s="335"/>
      <c r="Q109" s="634"/>
      <c r="R109" s="636"/>
    </row>
    <row r="110" spans="1:18" ht="18" customHeight="1">
      <c r="A110" s="278"/>
      <c r="B110" s="270"/>
      <c r="C110" s="270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517"/>
      <c r="O110" s="517"/>
      <c r="P110" s="517"/>
      <c r="Q110" s="39"/>
      <c r="R110" s="39"/>
    </row>
    <row r="111" spans="1:18" ht="18" customHeight="1">
      <c r="A111" s="279" t="s">
        <v>1376</v>
      </c>
    </row>
    <row r="112" spans="1:18" ht="18" customHeight="1"/>
    <row r="113" spans="20:32" ht="18" customHeight="1"/>
    <row r="114" spans="20:32" ht="18" customHeight="1"/>
    <row r="116" spans="20:32" ht="18" customHeight="1"/>
    <row r="117" spans="20:32" ht="18" customHeight="1"/>
    <row r="118" spans="20:32" ht="18" customHeight="1" thickBot="1"/>
    <row r="119" spans="20:32" ht="18" customHeight="1">
      <c r="U119" s="640" t="s">
        <v>1356</v>
      </c>
      <c r="V119" s="644" t="s">
        <v>1357</v>
      </c>
      <c r="W119" s="644"/>
      <c r="X119" s="644" t="s">
        <v>1358</v>
      </c>
      <c r="Y119" s="644"/>
      <c r="Z119" s="644"/>
      <c r="AA119" s="644"/>
      <c r="AB119" s="644"/>
      <c r="AC119" s="644"/>
      <c r="AD119" s="553" t="s">
        <v>1359</v>
      </c>
      <c r="AE119" s="553" t="s">
        <v>1360</v>
      </c>
      <c r="AF119" s="554" t="s">
        <v>1361</v>
      </c>
    </row>
    <row r="120" spans="20:32" ht="18" customHeight="1">
      <c r="U120" s="641"/>
      <c r="V120" s="645"/>
      <c r="W120" s="646"/>
      <c r="X120" s="646"/>
      <c r="Y120" s="646"/>
      <c r="Z120" s="646"/>
      <c r="AA120" s="646"/>
      <c r="AB120" s="646"/>
      <c r="AC120" s="646"/>
      <c r="AD120" s="555"/>
      <c r="AE120" s="555"/>
      <c r="AF120" s="556"/>
    </row>
    <row r="121" spans="20:32" ht="18" customHeight="1">
      <c r="T121" s="1" t="s">
        <v>1377</v>
      </c>
      <c r="U121" s="641"/>
      <c r="V121" s="645"/>
      <c r="W121" s="646"/>
      <c r="X121" s="646"/>
      <c r="Y121" s="646"/>
      <c r="Z121" s="646"/>
      <c r="AA121" s="646"/>
      <c r="AB121" s="646"/>
      <c r="AC121" s="646"/>
      <c r="AD121" s="555"/>
      <c r="AE121" s="555"/>
      <c r="AF121" s="556"/>
    </row>
    <row r="122" spans="20:32" ht="18" customHeight="1">
      <c r="U122" s="642"/>
      <c r="V122" s="645"/>
      <c r="W122" s="646"/>
      <c r="X122" s="646"/>
      <c r="Y122" s="646"/>
      <c r="Z122" s="646"/>
      <c r="AA122" s="646"/>
      <c r="AB122" s="646"/>
      <c r="AC122" s="646"/>
      <c r="AD122" s="555"/>
      <c r="AE122" s="555"/>
      <c r="AF122" s="556"/>
    </row>
    <row r="123" spans="20:32" ht="18" customHeight="1" thickBot="1">
      <c r="U123" s="643"/>
      <c r="V123" s="647" t="s">
        <v>1378</v>
      </c>
      <c r="W123" s="617"/>
      <c r="X123" s="617" t="s">
        <v>1363</v>
      </c>
      <c r="Y123" s="617"/>
      <c r="Z123" s="617"/>
      <c r="AA123" s="617"/>
      <c r="AB123" s="617"/>
      <c r="AC123" s="617"/>
      <c r="AD123" s="557" t="s">
        <v>1364</v>
      </c>
      <c r="AE123" s="557" t="s">
        <v>1365</v>
      </c>
      <c r="AF123" s="558" t="s">
        <v>1366</v>
      </c>
    </row>
    <row r="124" spans="20:32" ht="18" customHeight="1"/>
    <row r="125" spans="20:32" ht="18" customHeight="1"/>
    <row r="126" spans="20:32" ht="18" customHeight="1" thickBot="1"/>
    <row r="127" spans="20:32">
      <c r="U127" s="640" t="s">
        <v>1356</v>
      </c>
      <c r="V127" s="644" t="s">
        <v>1357</v>
      </c>
      <c r="W127" s="644"/>
      <c r="X127" s="644" t="s">
        <v>1358</v>
      </c>
      <c r="Y127" s="644"/>
      <c r="Z127" s="644"/>
      <c r="AA127" s="644"/>
      <c r="AB127" s="644"/>
      <c r="AC127" s="644"/>
      <c r="AD127" s="553" t="s">
        <v>1359</v>
      </c>
      <c r="AE127" s="553" t="s">
        <v>1360</v>
      </c>
      <c r="AF127" s="554" t="s">
        <v>1361</v>
      </c>
    </row>
    <row r="128" spans="20:32">
      <c r="U128" s="641"/>
      <c r="V128" s="645"/>
      <c r="W128" s="646"/>
      <c r="X128" s="646"/>
      <c r="Y128" s="646"/>
      <c r="Z128" s="646"/>
      <c r="AA128" s="646"/>
      <c r="AB128" s="646"/>
      <c r="AC128" s="646"/>
      <c r="AD128" s="555"/>
      <c r="AE128" s="555"/>
      <c r="AF128" s="556"/>
    </row>
    <row r="129" spans="20:32">
      <c r="T129" s="1" t="s">
        <v>1379</v>
      </c>
      <c r="U129" s="641"/>
      <c r="V129" s="645"/>
      <c r="W129" s="646"/>
      <c r="X129" s="646"/>
      <c r="Y129" s="646"/>
      <c r="Z129" s="646"/>
      <c r="AA129" s="646"/>
      <c r="AB129" s="646"/>
      <c r="AC129" s="646"/>
      <c r="AD129" s="555"/>
      <c r="AE129" s="555"/>
      <c r="AF129" s="556"/>
    </row>
    <row r="130" spans="20:32">
      <c r="U130" s="642"/>
      <c r="V130" s="645"/>
      <c r="W130" s="646"/>
      <c r="X130" s="646"/>
      <c r="Y130" s="646"/>
      <c r="Z130" s="646"/>
      <c r="AA130" s="646"/>
      <c r="AB130" s="646"/>
      <c r="AC130" s="646"/>
      <c r="AD130" s="555"/>
      <c r="AE130" s="555"/>
      <c r="AF130" s="556"/>
    </row>
    <row r="131" spans="20:32" ht="18.600000000000001" thickBot="1">
      <c r="U131" s="643"/>
      <c r="V131" s="647" t="s">
        <v>1380</v>
      </c>
      <c r="W131" s="617"/>
      <c r="X131" s="617" t="s">
        <v>1363</v>
      </c>
      <c r="Y131" s="617"/>
      <c r="Z131" s="617"/>
      <c r="AA131" s="617"/>
      <c r="AB131" s="617"/>
      <c r="AC131" s="617"/>
      <c r="AD131" s="557" t="s">
        <v>1364</v>
      </c>
      <c r="AE131" s="557" t="s">
        <v>1365</v>
      </c>
      <c r="AF131" s="558" t="s">
        <v>1366</v>
      </c>
    </row>
  </sheetData>
  <mergeCells count="473">
    <mergeCell ref="Q96:R97"/>
    <mergeCell ref="A94:A95"/>
    <mergeCell ref="Q91:R91"/>
    <mergeCell ref="B94:C94"/>
    <mergeCell ref="D94:E94"/>
    <mergeCell ref="F94:J94"/>
    <mergeCell ref="K94:K95"/>
    <mergeCell ref="L94:L95"/>
    <mergeCell ref="M94:M95"/>
    <mergeCell ref="Q94:R95"/>
    <mergeCell ref="B95:C95"/>
    <mergeCell ref="D95:E95"/>
    <mergeCell ref="F95:J95"/>
    <mergeCell ref="A92:A93"/>
    <mergeCell ref="B92:C92"/>
    <mergeCell ref="D92:E92"/>
    <mergeCell ref="F92:I92"/>
    <mergeCell ref="A96:A97"/>
    <mergeCell ref="Q92:R93"/>
    <mergeCell ref="F93:J93"/>
    <mergeCell ref="F103:J103"/>
    <mergeCell ref="B104:C104"/>
    <mergeCell ref="D104:E104"/>
    <mergeCell ref="F104:J104"/>
    <mergeCell ref="M18:M19"/>
    <mergeCell ref="N42:N43"/>
    <mergeCell ref="O42:O43"/>
    <mergeCell ref="P42:P43"/>
    <mergeCell ref="N4:N5"/>
    <mergeCell ref="O4:O5"/>
    <mergeCell ref="P4:P5"/>
    <mergeCell ref="B96:C96"/>
    <mergeCell ref="D96:E96"/>
    <mergeCell ref="F96:J96"/>
    <mergeCell ref="K96:K97"/>
    <mergeCell ref="L96:L97"/>
    <mergeCell ref="M96:M97"/>
    <mergeCell ref="B97:C97"/>
    <mergeCell ref="D97:E97"/>
    <mergeCell ref="F97:J97"/>
    <mergeCell ref="K92:K93"/>
    <mergeCell ref="L92:L93"/>
    <mergeCell ref="B93:C93"/>
    <mergeCell ref="D93:E93"/>
    <mergeCell ref="M108:M109"/>
    <mergeCell ref="Q108:R109"/>
    <mergeCell ref="B109:C109"/>
    <mergeCell ref="D109:E109"/>
    <mergeCell ref="F109:J109"/>
    <mergeCell ref="F101:J101"/>
    <mergeCell ref="A88:A89"/>
    <mergeCell ref="B88:C88"/>
    <mergeCell ref="D88:E88"/>
    <mergeCell ref="F88:J88"/>
    <mergeCell ref="K88:K89"/>
    <mergeCell ref="L88:L89"/>
    <mergeCell ref="M88:M89"/>
    <mergeCell ref="Q88:R89"/>
    <mergeCell ref="B89:C89"/>
    <mergeCell ref="D89:E89"/>
    <mergeCell ref="F89:J89"/>
    <mergeCell ref="B90:C90"/>
    <mergeCell ref="D90:E90"/>
    <mergeCell ref="F90:J90"/>
    <mergeCell ref="Q90:R90"/>
    <mergeCell ref="B91:C91"/>
    <mergeCell ref="D91:E91"/>
    <mergeCell ref="F91:J91"/>
    <mergeCell ref="A105:A106"/>
    <mergeCell ref="B105:C105"/>
    <mergeCell ref="D105:E105"/>
    <mergeCell ref="F105:I105"/>
    <mergeCell ref="K105:K106"/>
    <mergeCell ref="L105:L106"/>
    <mergeCell ref="M99:M101"/>
    <mergeCell ref="Q99:R101"/>
    <mergeCell ref="B100:C100"/>
    <mergeCell ref="D100:E100"/>
    <mergeCell ref="F100:J100"/>
    <mergeCell ref="B101:C101"/>
    <mergeCell ref="A99:A101"/>
    <mergeCell ref="D101:E101"/>
    <mergeCell ref="A102:A104"/>
    <mergeCell ref="B102:C102"/>
    <mergeCell ref="D102:E102"/>
    <mergeCell ref="F102:J102"/>
    <mergeCell ref="K102:K104"/>
    <mergeCell ref="L102:L104"/>
    <mergeCell ref="M102:M104"/>
    <mergeCell ref="Q102:R104"/>
    <mergeCell ref="B103:C103"/>
    <mergeCell ref="D103:E103"/>
    <mergeCell ref="A108:A109"/>
    <mergeCell ref="B108:C108"/>
    <mergeCell ref="D108:E108"/>
    <mergeCell ref="F108:J108"/>
    <mergeCell ref="K108:K109"/>
    <mergeCell ref="L108:L109"/>
    <mergeCell ref="M105:M106"/>
    <mergeCell ref="Q105:R106"/>
    <mergeCell ref="B98:C98"/>
    <mergeCell ref="D98:E98"/>
    <mergeCell ref="F98:J98"/>
    <mergeCell ref="Q98:R98"/>
    <mergeCell ref="B107:C107"/>
    <mergeCell ref="D107:E107"/>
    <mergeCell ref="F107:J107"/>
    <mergeCell ref="Q107:R107"/>
    <mergeCell ref="B106:C106"/>
    <mergeCell ref="D106:E106"/>
    <mergeCell ref="F106:J106"/>
    <mergeCell ref="B99:C99"/>
    <mergeCell ref="D99:E99"/>
    <mergeCell ref="F99:J99"/>
    <mergeCell ref="K99:K101"/>
    <mergeCell ref="L99:L101"/>
    <mergeCell ref="A86:A87"/>
    <mergeCell ref="B86:C86"/>
    <mergeCell ref="D86:E86"/>
    <mergeCell ref="F86:J86"/>
    <mergeCell ref="K86:K87"/>
    <mergeCell ref="L86:L87"/>
    <mergeCell ref="M86:M87"/>
    <mergeCell ref="Q86:R87"/>
    <mergeCell ref="B87:C87"/>
    <mergeCell ref="D87:E87"/>
    <mergeCell ref="F87:J87"/>
    <mergeCell ref="B83:C83"/>
    <mergeCell ref="D83:E83"/>
    <mergeCell ref="F83:J83"/>
    <mergeCell ref="Q83:R83"/>
    <mergeCell ref="A84:A85"/>
    <mergeCell ref="B84:C84"/>
    <mergeCell ref="D84:E84"/>
    <mergeCell ref="F84:J84"/>
    <mergeCell ref="K84:K85"/>
    <mergeCell ref="L84:L85"/>
    <mergeCell ref="M84:M85"/>
    <mergeCell ref="Q84:R85"/>
    <mergeCell ref="B85:C85"/>
    <mergeCell ref="D85:E85"/>
    <mergeCell ref="F85:J85"/>
    <mergeCell ref="A77:K77"/>
    <mergeCell ref="A80:A81"/>
    <mergeCell ref="B80:C81"/>
    <mergeCell ref="D80:E81"/>
    <mergeCell ref="F80:J81"/>
    <mergeCell ref="K80:K81"/>
    <mergeCell ref="L80:L81"/>
    <mergeCell ref="Q80:R81"/>
    <mergeCell ref="B82:C82"/>
    <mergeCell ref="D82:E82"/>
    <mergeCell ref="F82:J82"/>
    <mergeCell ref="Q82:R82"/>
    <mergeCell ref="N80:N81"/>
    <mergeCell ref="O80:O81"/>
    <mergeCell ref="P80:P81"/>
    <mergeCell ref="Q58:R59"/>
    <mergeCell ref="B59:C59"/>
    <mergeCell ref="D59:E59"/>
    <mergeCell ref="F59:J59"/>
    <mergeCell ref="Q60:R60"/>
    <mergeCell ref="A70:A71"/>
    <mergeCell ref="B70:C70"/>
    <mergeCell ref="D70:E70"/>
    <mergeCell ref="F70:J70"/>
    <mergeCell ref="K70:K71"/>
    <mergeCell ref="L70:L71"/>
    <mergeCell ref="M70:M71"/>
    <mergeCell ref="Q70:R71"/>
    <mergeCell ref="B71:C71"/>
    <mergeCell ref="D71:E71"/>
    <mergeCell ref="F71:J71"/>
    <mergeCell ref="B64:C64"/>
    <mergeCell ref="B60:C60"/>
    <mergeCell ref="D60:E60"/>
    <mergeCell ref="F60:J60"/>
    <mergeCell ref="F58:J58"/>
    <mergeCell ref="A64:A66"/>
    <mergeCell ref="K64:K66"/>
    <mergeCell ref="M58:M59"/>
    <mergeCell ref="F45:J45"/>
    <mergeCell ref="Q45:R45"/>
    <mergeCell ref="F50:I50"/>
    <mergeCell ref="B52:C52"/>
    <mergeCell ref="D52:E52"/>
    <mergeCell ref="F52:J52"/>
    <mergeCell ref="Q52:R52"/>
    <mergeCell ref="B53:C53"/>
    <mergeCell ref="D53:E53"/>
    <mergeCell ref="F53:J53"/>
    <mergeCell ref="Q53:R53"/>
    <mergeCell ref="A58:A59"/>
    <mergeCell ref="B65:C65"/>
    <mergeCell ref="D65:E65"/>
    <mergeCell ref="F65:J65"/>
    <mergeCell ref="D64:E64"/>
    <mergeCell ref="F64:J64"/>
    <mergeCell ref="B66:C66"/>
    <mergeCell ref="D66:E66"/>
    <mergeCell ref="F66:J66"/>
    <mergeCell ref="B58:C58"/>
    <mergeCell ref="D58:E58"/>
    <mergeCell ref="K58:K59"/>
    <mergeCell ref="L58:L59"/>
    <mergeCell ref="Q56:R57"/>
    <mergeCell ref="A54:A55"/>
    <mergeCell ref="B54:C54"/>
    <mergeCell ref="D54:E54"/>
    <mergeCell ref="F54:J54"/>
    <mergeCell ref="K54:K55"/>
    <mergeCell ref="L54:L55"/>
    <mergeCell ref="M54:M55"/>
    <mergeCell ref="Q54:R55"/>
    <mergeCell ref="B55:C55"/>
    <mergeCell ref="D55:E55"/>
    <mergeCell ref="F55:J55"/>
    <mergeCell ref="B56:C56"/>
    <mergeCell ref="D56:E56"/>
    <mergeCell ref="F56:J56"/>
    <mergeCell ref="B57:C57"/>
    <mergeCell ref="D57:E57"/>
    <mergeCell ref="F57:J57"/>
    <mergeCell ref="A56:A57"/>
    <mergeCell ref="K56:K57"/>
    <mergeCell ref="L56:L57"/>
    <mergeCell ref="M56:M57"/>
    <mergeCell ref="A50:A51"/>
    <mergeCell ref="B50:C50"/>
    <mergeCell ref="D50:E50"/>
    <mergeCell ref="K50:K51"/>
    <mergeCell ref="L50:L51"/>
    <mergeCell ref="Q50:R51"/>
    <mergeCell ref="B51:C51"/>
    <mergeCell ref="D51:E51"/>
    <mergeCell ref="F51:J51"/>
    <mergeCell ref="A48:A49"/>
    <mergeCell ref="B48:C48"/>
    <mergeCell ref="D48:E48"/>
    <mergeCell ref="F48:J48"/>
    <mergeCell ref="K48:K49"/>
    <mergeCell ref="L48:L49"/>
    <mergeCell ref="M48:M49"/>
    <mergeCell ref="Q48:R49"/>
    <mergeCell ref="B49:C49"/>
    <mergeCell ref="D49:E49"/>
    <mergeCell ref="F49:J49"/>
    <mergeCell ref="A42:A43"/>
    <mergeCell ref="B42:C43"/>
    <mergeCell ref="D42:E43"/>
    <mergeCell ref="F42:J43"/>
    <mergeCell ref="K42:K43"/>
    <mergeCell ref="L42:L43"/>
    <mergeCell ref="Q42:R43"/>
    <mergeCell ref="A46:A47"/>
    <mergeCell ref="B46:C46"/>
    <mergeCell ref="D46:E46"/>
    <mergeCell ref="F46:J46"/>
    <mergeCell ref="K46:K47"/>
    <mergeCell ref="L46:L47"/>
    <mergeCell ref="M46:M47"/>
    <mergeCell ref="Q46:R47"/>
    <mergeCell ref="B47:C47"/>
    <mergeCell ref="D47:E47"/>
    <mergeCell ref="F47:J47"/>
    <mergeCell ref="B44:C44"/>
    <mergeCell ref="D44:E44"/>
    <mergeCell ref="F44:J44"/>
    <mergeCell ref="Q44:R44"/>
    <mergeCell ref="B45:C45"/>
    <mergeCell ref="D45:E45"/>
    <mergeCell ref="Q4:R5"/>
    <mergeCell ref="A6:A7"/>
    <mergeCell ref="B6:C6"/>
    <mergeCell ref="D6:E6"/>
    <mergeCell ref="F6:J6"/>
    <mergeCell ref="K6:K7"/>
    <mergeCell ref="L6:L7"/>
    <mergeCell ref="M6:M7"/>
    <mergeCell ref="Q6:R7"/>
    <mergeCell ref="B7:C7"/>
    <mergeCell ref="A4:A5"/>
    <mergeCell ref="B4:C5"/>
    <mergeCell ref="D4:E5"/>
    <mergeCell ref="F4:J5"/>
    <mergeCell ref="K4:K5"/>
    <mergeCell ref="L4:L5"/>
    <mergeCell ref="D7:E7"/>
    <mergeCell ref="F7:J7"/>
    <mergeCell ref="M10:M11"/>
    <mergeCell ref="Q10:R11"/>
    <mergeCell ref="B11:C11"/>
    <mergeCell ref="D11:E11"/>
    <mergeCell ref="F11:J11"/>
    <mergeCell ref="L10:L11"/>
    <mergeCell ref="A8:A9"/>
    <mergeCell ref="B8:C8"/>
    <mergeCell ref="D8:E8"/>
    <mergeCell ref="F8:J8"/>
    <mergeCell ref="K8:K9"/>
    <mergeCell ref="L8:L9"/>
    <mergeCell ref="M8:M9"/>
    <mergeCell ref="Q8:R9"/>
    <mergeCell ref="A10:A11"/>
    <mergeCell ref="B10:C10"/>
    <mergeCell ref="D10:E10"/>
    <mergeCell ref="F10:J10"/>
    <mergeCell ref="K10:K11"/>
    <mergeCell ref="B9:C9"/>
    <mergeCell ref="D9:E9"/>
    <mergeCell ref="F9:J9"/>
    <mergeCell ref="A14:A15"/>
    <mergeCell ref="B14:C14"/>
    <mergeCell ref="D14:E14"/>
    <mergeCell ref="F14:J14"/>
    <mergeCell ref="K14:K15"/>
    <mergeCell ref="L14:L15"/>
    <mergeCell ref="L12:L13"/>
    <mergeCell ref="M12:M13"/>
    <mergeCell ref="Q12:R13"/>
    <mergeCell ref="B13:C13"/>
    <mergeCell ref="D13:E13"/>
    <mergeCell ref="F13:J13"/>
    <mergeCell ref="A12:A13"/>
    <mergeCell ref="B12:C12"/>
    <mergeCell ref="D12:E12"/>
    <mergeCell ref="F12:J12"/>
    <mergeCell ref="K12:K13"/>
    <mergeCell ref="M14:M15"/>
    <mergeCell ref="Q14:R15"/>
    <mergeCell ref="B15:C15"/>
    <mergeCell ref="D15:E15"/>
    <mergeCell ref="F15:J15"/>
    <mergeCell ref="B16:C16"/>
    <mergeCell ref="D16:E16"/>
    <mergeCell ref="F16:J16"/>
    <mergeCell ref="Q16:R16"/>
    <mergeCell ref="B28:C28"/>
    <mergeCell ref="D28:E28"/>
    <mergeCell ref="F28:J28"/>
    <mergeCell ref="K28:K30"/>
    <mergeCell ref="M28:M30"/>
    <mergeCell ref="L28:L30"/>
    <mergeCell ref="B17:C17"/>
    <mergeCell ref="D17:E17"/>
    <mergeCell ref="F17:J17"/>
    <mergeCell ref="Q17:R17"/>
    <mergeCell ref="B20:C20"/>
    <mergeCell ref="D20:E20"/>
    <mergeCell ref="F20:J20"/>
    <mergeCell ref="Q20:R20"/>
    <mergeCell ref="B19:C19"/>
    <mergeCell ref="D19:E19"/>
    <mergeCell ref="B18:C18"/>
    <mergeCell ref="D18:E18"/>
    <mergeCell ref="Q18:R19"/>
    <mergeCell ref="L18:L19"/>
    <mergeCell ref="F24:J24"/>
    <mergeCell ref="B23:C23"/>
    <mergeCell ref="D23:E23"/>
    <mergeCell ref="F23:J23"/>
    <mergeCell ref="M31:M33"/>
    <mergeCell ref="F27:J27"/>
    <mergeCell ref="K18:K19"/>
    <mergeCell ref="Q28:R30"/>
    <mergeCell ref="B29:C29"/>
    <mergeCell ref="D29:E29"/>
    <mergeCell ref="F29:J29"/>
    <mergeCell ref="B30:C30"/>
    <mergeCell ref="D30:E30"/>
    <mergeCell ref="F30:J30"/>
    <mergeCell ref="F19:J19"/>
    <mergeCell ref="F18:I18"/>
    <mergeCell ref="B22:C22"/>
    <mergeCell ref="D22:E22"/>
    <mergeCell ref="F22:H22"/>
    <mergeCell ref="Q22:R22"/>
    <mergeCell ref="B26:C26"/>
    <mergeCell ref="D26:E26"/>
    <mergeCell ref="F26:I26"/>
    <mergeCell ref="K26:K27"/>
    <mergeCell ref="A28:A30"/>
    <mergeCell ref="A26:A27"/>
    <mergeCell ref="Q31:R33"/>
    <mergeCell ref="F33:J33"/>
    <mergeCell ref="B31:C31"/>
    <mergeCell ref="D31:E31"/>
    <mergeCell ref="F31:J31"/>
    <mergeCell ref="K31:K33"/>
    <mergeCell ref="B25:C25"/>
    <mergeCell ref="L26:L27"/>
    <mergeCell ref="M26:M27"/>
    <mergeCell ref="Q26:R27"/>
    <mergeCell ref="B27:C27"/>
    <mergeCell ref="D27:E27"/>
    <mergeCell ref="A39:K39"/>
    <mergeCell ref="A1:K1"/>
    <mergeCell ref="Q24:R25"/>
    <mergeCell ref="B21:C21"/>
    <mergeCell ref="D21:E21"/>
    <mergeCell ref="F21:J21"/>
    <mergeCell ref="Q21:R21"/>
    <mergeCell ref="D24:E24"/>
    <mergeCell ref="Q23:R23"/>
    <mergeCell ref="B24:C24"/>
    <mergeCell ref="K24:K25"/>
    <mergeCell ref="L24:L25"/>
    <mergeCell ref="M24:M25"/>
    <mergeCell ref="D25:E25"/>
    <mergeCell ref="F25:J25"/>
    <mergeCell ref="A31:A33"/>
    <mergeCell ref="A18:A19"/>
    <mergeCell ref="A24:A25"/>
    <mergeCell ref="B32:C32"/>
    <mergeCell ref="D32:E32"/>
    <mergeCell ref="F32:J32"/>
    <mergeCell ref="B33:C33"/>
    <mergeCell ref="D33:E33"/>
    <mergeCell ref="L31:L33"/>
    <mergeCell ref="Q67:R67"/>
    <mergeCell ref="A61:A63"/>
    <mergeCell ref="B61:C61"/>
    <mergeCell ref="D61:E61"/>
    <mergeCell ref="F61:J61"/>
    <mergeCell ref="K61:K63"/>
    <mergeCell ref="L61:L63"/>
    <mergeCell ref="M61:M63"/>
    <mergeCell ref="Q61:R63"/>
    <mergeCell ref="B62:C62"/>
    <mergeCell ref="D62:E62"/>
    <mergeCell ref="F62:J62"/>
    <mergeCell ref="B63:C63"/>
    <mergeCell ref="D63:E63"/>
    <mergeCell ref="F63:J63"/>
    <mergeCell ref="Q64:R66"/>
    <mergeCell ref="L64:L66"/>
    <mergeCell ref="M64:M66"/>
    <mergeCell ref="B67:C67"/>
    <mergeCell ref="D67:E67"/>
    <mergeCell ref="F67:J67"/>
    <mergeCell ref="A68:A69"/>
    <mergeCell ref="B68:C68"/>
    <mergeCell ref="D68:E68"/>
    <mergeCell ref="F68:I68"/>
    <mergeCell ref="K68:K69"/>
    <mergeCell ref="L68:L69"/>
    <mergeCell ref="M68:M69"/>
    <mergeCell ref="Q68:R69"/>
    <mergeCell ref="B69:C69"/>
    <mergeCell ref="D69:E69"/>
    <mergeCell ref="F69:J69"/>
    <mergeCell ref="U119:U123"/>
    <mergeCell ref="V119:W119"/>
    <mergeCell ref="X119:AC119"/>
    <mergeCell ref="V120:W120"/>
    <mergeCell ref="X120:AC120"/>
    <mergeCell ref="V121:W121"/>
    <mergeCell ref="X121:AC121"/>
    <mergeCell ref="V122:W122"/>
    <mergeCell ref="X122:AC122"/>
    <mergeCell ref="V123:W123"/>
    <mergeCell ref="X123:AC123"/>
    <mergeCell ref="U127:U131"/>
    <mergeCell ref="V127:W127"/>
    <mergeCell ref="X127:AC127"/>
    <mergeCell ref="V128:W128"/>
    <mergeCell ref="X128:AC128"/>
    <mergeCell ref="V129:W129"/>
    <mergeCell ref="X129:AC129"/>
    <mergeCell ref="V130:W130"/>
    <mergeCell ref="X130:AC130"/>
    <mergeCell ref="V131:W131"/>
    <mergeCell ref="X131:AC131"/>
  </mergeCells>
  <phoneticPr fontId="11"/>
  <printOptions horizontalCentered="1" verticalCentered="1"/>
  <pageMargins left="0.11811023622047245" right="0.11811023622047245" top="0.15748031496062992" bottom="0.11811023622047245" header="0.11811023622047245" footer="0.11811023622047245"/>
  <pageSetup paperSize="9" scale="76" fitToWidth="0" fitToHeight="0" orientation="landscape" r:id="rId1"/>
  <rowBreaks count="2" manualBreakCount="2">
    <brk id="38" max="17" man="1"/>
    <brk id="76" max="17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D749-66D0-43FC-97F5-343E6DD38CC5}">
  <sheetPr>
    <tabColor rgb="FF00B050"/>
  </sheetPr>
  <dimension ref="A1:AF122"/>
  <sheetViews>
    <sheetView view="pageBreakPreview" topLeftCell="A39" zoomScale="85" zoomScaleNormal="100" zoomScaleSheetLayoutView="85" workbookViewId="0">
      <selection activeCell="K50" sqref="K50"/>
    </sheetView>
  </sheetViews>
  <sheetFormatPr defaultColWidth="8.69921875" defaultRowHeight="18"/>
  <cols>
    <col min="1" max="1" width="6.19921875" style="1" customWidth="1"/>
    <col min="2" max="3" width="6.8984375" style="1" customWidth="1"/>
    <col min="4" max="5" width="5.69921875" style="1" customWidth="1"/>
    <col min="6" max="9" width="7.69921875" style="1" customWidth="1"/>
    <col min="10" max="11" width="30.69921875" style="1" customWidth="1"/>
    <col min="12" max="12" width="7.59765625" style="1" customWidth="1"/>
    <col min="13" max="13" width="5.19921875" style="1" customWidth="1"/>
    <col min="14" max="14" width="4.59765625" style="1" customWidth="1"/>
    <col min="15" max="15" width="4.69921875" style="1" customWidth="1"/>
    <col min="16" max="18" width="9.69921875" style="1" customWidth="1"/>
    <col min="19" max="20" width="8.69921875" style="1"/>
    <col min="21" max="21" width="9" style="1" customWidth="1"/>
    <col min="22" max="16384" width="8.69921875" style="1"/>
  </cols>
  <sheetData>
    <row r="1" spans="1:18" ht="18.600000000000001" customHeight="1">
      <c r="A1" s="262" t="s">
        <v>617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ht="18.600000000000001" customHeight="1">
      <c r="A2" s="266" t="s">
        <v>618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1:18" ht="15" customHeight="1">
      <c r="A3" s="49" t="s">
        <v>366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39" t="s">
        <v>983</v>
      </c>
    </row>
    <row r="4" spans="1:18" ht="15" customHeight="1">
      <c r="A4" s="710" t="s">
        <v>2</v>
      </c>
      <c r="B4" s="712" t="s">
        <v>3</v>
      </c>
      <c r="C4" s="712"/>
      <c r="D4" s="650" t="s">
        <v>4</v>
      </c>
      <c r="E4" s="650"/>
      <c r="F4" s="712" t="s">
        <v>5</v>
      </c>
      <c r="G4" s="712"/>
      <c r="H4" s="712"/>
      <c r="I4" s="712"/>
      <c r="J4" s="650" t="s">
        <v>6</v>
      </c>
      <c r="K4" s="650" t="s">
        <v>7</v>
      </c>
      <c r="L4" s="87" t="s">
        <v>407</v>
      </c>
      <c r="M4" s="768" t="s">
        <v>1095</v>
      </c>
      <c r="N4" s="805" t="s">
        <v>1096</v>
      </c>
      <c r="O4" s="715" t="s">
        <v>1097</v>
      </c>
      <c r="P4" s="674" t="s">
        <v>8</v>
      </c>
      <c r="Q4" s="675"/>
      <c r="R4" s="676"/>
    </row>
    <row r="5" spans="1:18" ht="15" customHeight="1">
      <c r="A5" s="711"/>
      <c r="B5" s="712"/>
      <c r="C5" s="712"/>
      <c r="D5" s="650"/>
      <c r="E5" s="650"/>
      <c r="F5" s="712"/>
      <c r="G5" s="712"/>
      <c r="H5" s="712"/>
      <c r="I5" s="712"/>
      <c r="J5" s="650"/>
      <c r="K5" s="650"/>
      <c r="L5" s="76" t="s">
        <v>410</v>
      </c>
      <c r="M5" s="717"/>
      <c r="N5" s="706"/>
      <c r="O5" s="715"/>
      <c r="P5" s="674"/>
      <c r="Q5" s="675"/>
      <c r="R5" s="676"/>
    </row>
    <row r="6" spans="1:18" ht="18" customHeight="1">
      <c r="A6" s="973" t="s">
        <v>16</v>
      </c>
      <c r="B6" s="661" t="s">
        <v>10</v>
      </c>
      <c r="C6" s="661"/>
      <c r="D6" s="661" t="s">
        <v>49</v>
      </c>
      <c r="E6" s="661"/>
      <c r="F6" s="662" t="s">
        <v>621</v>
      </c>
      <c r="G6" s="663"/>
      <c r="H6" s="663"/>
      <c r="I6" s="663"/>
      <c r="J6" s="654"/>
      <c r="K6" s="957"/>
      <c r="L6" s="126"/>
      <c r="M6" s="127" t="e">
        <f>ROUNDUP(#REF!/(J6*K6),0)</f>
        <v>#REF!</v>
      </c>
      <c r="N6" s="127" t="e">
        <f>ROUNDUP(M6*0.2,0)</f>
        <v>#REF!</v>
      </c>
      <c r="O6" s="128">
        <v>0</v>
      </c>
      <c r="P6" s="660" t="s">
        <v>623</v>
      </c>
      <c r="Q6" s="660"/>
      <c r="R6" s="660"/>
    </row>
    <row r="7" spans="1:18" ht="18" customHeight="1">
      <c r="A7" s="973"/>
      <c r="B7" s="661" t="s">
        <v>13</v>
      </c>
      <c r="C7" s="661"/>
      <c r="D7" s="661" t="s">
        <v>11</v>
      </c>
      <c r="E7" s="661"/>
      <c r="F7" s="662" t="s">
        <v>328</v>
      </c>
      <c r="G7" s="663"/>
      <c r="H7" s="663"/>
      <c r="I7" s="663"/>
      <c r="J7" s="655"/>
      <c r="K7" s="958"/>
      <c r="L7" s="126"/>
      <c r="M7" s="127"/>
      <c r="N7" s="127"/>
      <c r="O7" s="128"/>
      <c r="P7" s="660"/>
      <c r="Q7" s="660"/>
      <c r="R7" s="660"/>
    </row>
    <row r="8" spans="1:18" ht="18" customHeight="1">
      <c r="A8" s="973" t="s">
        <v>392</v>
      </c>
      <c r="B8" s="661" t="s">
        <v>10</v>
      </c>
      <c r="C8" s="661"/>
      <c r="D8" s="661" t="s">
        <v>11</v>
      </c>
      <c r="E8" s="661"/>
      <c r="F8" s="662" t="s">
        <v>624</v>
      </c>
      <c r="G8" s="900"/>
      <c r="H8" s="900"/>
      <c r="I8" s="900"/>
      <c r="J8" s="955" t="s">
        <v>625</v>
      </c>
      <c r="K8" s="957"/>
      <c r="L8" s="126"/>
      <c r="M8" s="127" t="e">
        <f>ROUNDUP(#REF!/(J8*K8),0)</f>
        <v>#REF!</v>
      </c>
      <c r="N8" s="127" t="e">
        <f t="shared" ref="N8:N14" si="0">ROUNDUP(M8*0.2,0)</f>
        <v>#REF!</v>
      </c>
      <c r="O8" s="128">
        <v>0</v>
      </c>
      <c r="P8" s="660" t="s">
        <v>626</v>
      </c>
      <c r="Q8" s="660"/>
      <c r="R8" s="660"/>
    </row>
    <row r="9" spans="1:18" ht="18" customHeight="1">
      <c r="A9" s="973"/>
      <c r="B9" s="661" t="s">
        <v>13</v>
      </c>
      <c r="C9" s="661"/>
      <c r="D9" s="661" t="s">
        <v>11</v>
      </c>
      <c r="E9" s="661"/>
      <c r="F9" s="662" t="s">
        <v>328</v>
      </c>
      <c r="G9" s="900"/>
      <c r="H9" s="900"/>
      <c r="I9" s="900"/>
      <c r="J9" s="956"/>
      <c r="K9" s="958"/>
      <c r="L9" s="126"/>
      <c r="M9" s="127"/>
      <c r="N9" s="127"/>
      <c r="O9" s="128"/>
      <c r="P9" s="660"/>
      <c r="Q9" s="660"/>
      <c r="R9" s="660"/>
    </row>
    <row r="10" spans="1:18" ht="18" customHeight="1">
      <c r="A10" s="973" t="s">
        <v>387</v>
      </c>
      <c r="B10" s="661" t="s">
        <v>199</v>
      </c>
      <c r="C10" s="661"/>
      <c r="D10" s="661" t="s">
        <v>14</v>
      </c>
      <c r="E10" s="661"/>
      <c r="F10" s="662" t="s">
        <v>627</v>
      </c>
      <c r="G10" s="900"/>
      <c r="H10" s="900"/>
      <c r="I10" s="900"/>
      <c r="J10" s="955"/>
      <c r="K10" s="957"/>
      <c r="L10" s="126"/>
      <c r="M10" s="127" t="e">
        <f>ROUNDUP(#REF!/(J10*K10),0)</f>
        <v>#REF!</v>
      </c>
      <c r="N10" s="127" t="e">
        <f>ROUNDUP(M10*0.3,0)</f>
        <v>#REF!</v>
      </c>
      <c r="O10" s="128">
        <v>0</v>
      </c>
      <c r="P10" s="660" t="s">
        <v>126</v>
      </c>
      <c r="Q10" s="660"/>
      <c r="R10" s="660"/>
    </row>
    <row r="11" spans="1:18" ht="18" customHeight="1">
      <c r="A11" s="973"/>
      <c r="B11" s="661" t="s">
        <v>202</v>
      </c>
      <c r="C11" s="661"/>
      <c r="D11" s="661" t="s">
        <v>14</v>
      </c>
      <c r="E11" s="661"/>
      <c r="F11" s="662" t="s">
        <v>628</v>
      </c>
      <c r="G11" s="663"/>
      <c r="H11" s="663"/>
      <c r="I11" s="750"/>
      <c r="J11" s="956"/>
      <c r="K11" s="958"/>
      <c r="L11" s="126"/>
      <c r="M11" s="127"/>
      <c r="N11" s="127"/>
      <c r="O11" s="128"/>
      <c r="P11" s="660"/>
      <c r="Q11" s="660"/>
      <c r="R11" s="660"/>
    </row>
    <row r="12" spans="1:18" ht="18" customHeight="1">
      <c r="A12" s="973" t="s">
        <v>34</v>
      </c>
      <c r="B12" s="661" t="s">
        <v>199</v>
      </c>
      <c r="C12" s="661"/>
      <c r="D12" s="661" t="s">
        <v>17</v>
      </c>
      <c r="E12" s="661"/>
      <c r="F12" s="662" t="s">
        <v>629</v>
      </c>
      <c r="G12" s="900"/>
      <c r="H12" s="900"/>
      <c r="I12" s="900"/>
      <c r="J12" s="955" t="s">
        <v>630</v>
      </c>
      <c r="K12" s="957"/>
      <c r="L12" s="126"/>
      <c r="M12" s="127" t="e">
        <f>ROUNDUP(#REF!/(J12*K12),0)</f>
        <v>#REF!</v>
      </c>
      <c r="N12" s="127" t="e">
        <f t="shared" si="0"/>
        <v>#REF!</v>
      </c>
      <c r="O12" s="128">
        <v>0</v>
      </c>
      <c r="P12" s="660" t="s">
        <v>631</v>
      </c>
      <c r="Q12" s="660"/>
      <c r="R12" s="660"/>
    </row>
    <row r="13" spans="1:18" ht="18" customHeight="1">
      <c r="A13" s="973"/>
      <c r="B13" s="661" t="s">
        <v>202</v>
      </c>
      <c r="C13" s="661"/>
      <c r="D13" s="661" t="s">
        <v>17</v>
      </c>
      <c r="E13" s="661"/>
      <c r="F13" s="662" t="s">
        <v>632</v>
      </c>
      <c r="G13" s="900"/>
      <c r="H13" s="900"/>
      <c r="I13" s="900"/>
      <c r="J13" s="956"/>
      <c r="K13" s="958"/>
      <c r="L13" s="126"/>
      <c r="M13" s="127"/>
      <c r="N13" s="127"/>
      <c r="O13" s="128"/>
      <c r="P13" s="660"/>
      <c r="Q13" s="660"/>
      <c r="R13" s="660"/>
    </row>
    <row r="14" spans="1:18" ht="18" customHeight="1">
      <c r="A14" s="973" t="s">
        <v>506</v>
      </c>
      <c r="B14" s="661" t="s">
        <v>35</v>
      </c>
      <c r="C14" s="661"/>
      <c r="D14" s="661" t="s">
        <v>43</v>
      </c>
      <c r="E14" s="661"/>
      <c r="F14" s="662" t="s">
        <v>633</v>
      </c>
      <c r="G14" s="900"/>
      <c r="H14" s="900"/>
      <c r="I14" s="900"/>
      <c r="J14" s="955"/>
      <c r="K14" s="957"/>
      <c r="L14" s="126"/>
      <c r="M14" s="127" t="e">
        <f>ROUNDUP(#REF!/(J14*K14),0)</f>
        <v>#REF!</v>
      </c>
      <c r="N14" s="127" t="e">
        <f t="shared" si="0"/>
        <v>#REF!</v>
      </c>
      <c r="O14" s="128">
        <v>0</v>
      </c>
      <c r="P14" s="660" t="s">
        <v>38</v>
      </c>
      <c r="Q14" s="660"/>
      <c r="R14" s="660"/>
    </row>
    <row r="15" spans="1:18" ht="18" customHeight="1">
      <c r="A15" s="973"/>
      <c r="B15" s="661" t="s">
        <v>119</v>
      </c>
      <c r="C15" s="661"/>
      <c r="D15" s="661" t="s">
        <v>43</v>
      </c>
      <c r="E15" s="661"/>
      <c r="F15" s="662" t="s">
        <v>508</v>
      </c>
      <c r="G15" s="900"/>
      <c r="H15" s="900"/>
      <c r="I15" s="900"/>
      <c r="J15" s="956"/>
      <c r="K15" s="958"/>
      <c r="L15" s="126"/>
      <c r="M15" s="127"/>
      <c r="N15" s="127"/>
      <c r="O15" s="128"/>
      <c r="P15" s="660"/>
      <c r="Q15" s="660"/>
      <c r="R15" s="660"/>
    </row>
    <row r="16" spans="1:18" ht="18" customHeight="1">
      <c r="A16" s="60" t="s">
        <v>586</v>
      </c>
      <c r="B16" s="650" t="s">
        <v>147</v>
      </c>
      <c r="C16" s="650"/>
      <c r="D16" s="650" t="s">
        <v>49</v>
      </c>
      <c r="E16" s="650"/>
      <c r="F16" s="858" t="s">
        <v>284</v>
      </c>
      <c r="G16" s="859"/>
      <c r="H16" s="859"/>
      <c r="I16" s="859"/>
      <c r="J16" s="129" t="s">
        <v>634</v>
      </c>
      <c r="K16" s="130" t="s">
        <v>635</v>
      </c>
      <c r="L16" s="131" t="s">
        <v>470</v>
      </c>
      <c r="M16" s="132" t="e">
        <f>ROUNDUP(#REF!/(J16*K16),0)</f>
        <v>#REF!</v>
      </c>
      <c r="N16" s="132" t="e">
        <f>ROUNDUP(M16*0.2,0)+1</f>
        <v>#REF!</v>
      </c>
      <c r="O16" s="133">
        <v>0</v>
      </c>
      <c r="P16" s="660" t="s">
        <v>636</v>
      </c>
      <c r="Q16" s="660"/>
      <c r="R16" s="660"/>
    </row>
    <row r="17" spans="1:18" ht="18" customHeight="1">
      <c r="A17" s="718" t="s">
        <v>248</v>
      </c>
      <c r="B17" s="650" t="s">
        <v>81</v>
      </c>
      <c r="C17" s="650"/>
      <c r="D17" s="650" t="s">
        <v>17</v>
      </c>
      <c r="E17" s="650"/>
      <c r="F17" s="858" t="s">
        <v>637</v>
      </c>
      <c r="G17" s="900"/>
      <c r="H17" s="900"/>
      <c r="I17" s="900"/>
      <c r="J17" s="999" t="s">
        <v>638</v>
      </c>
      <c r="K17" s="957"/>
      <c r="L17" s="134"/>
      <c r="M17" s="132" t="e">
        <f>ROUNDUP(#REF!/(J17*K17),0)</f>
        <v>#REF!</v>
      </c>
      <c r="N17" s="132" t="e">
        <f>ROUNDUP(M17*0.2,0)+1</f>
        <v>#REF!</v>
      </c>
      <c r="O17" s="135">
        <v>0</v>
      </c>
      <c r="P17" s="656" t="s">
        <v>639</v>
      </c>
      <c r="Q17" s="657"/>
      <c r="R17" s="658"/>
    </row>
    <row r="18" spans="1:18" ht="18" customHeight="1">
      <c r="A18" s="665"/>
      <c r="B18" s="650" t="s">
        <v>131</v>
      </c>
      <c r="C18" s="650"/>
      <c r="D18" s="650" t="s">
        <v>11</v>
      </c>
      <c r="E18" s="650"/>
      <c r="F18" s="858" t="s">
        <v>463</v>
      </c>
      <c r="G18" s="900"/>
      <c r="H18" s="900"/>
      <c r="I18" s="900"/>
      <c r="J18" s="1000"/>
      <c r="K18" s="958"/>
      <c r="L18" s="134"/>
      <c r="M18" s="132"/>
      <c r="N18" s="132"/>
      <c r="O18" s="133"/>
      <c r="P18" s="634"/>
      <c r="Q18" s="635"/>
      <c r="R18" s="636"/>
    </row>
    <row r="19" spans="1:18" ht="18" customHeight="1">
      <c r="A19" s="60" t="s">
        <v>256</v>
      </c>
      <c r="B19" s="650" t="s">
        <v>164</v>
      </c>
      <c r="C19" s="650"/>
      <c r="D19" s="650" t="s">
        <v>468</v>
      </c>
      <c r="E19" s="650"/>
      <c r="F19" s="858" t="s">
        <v>640</v>
      </c>
      <c r="G19" s="900"/>
      <c r="H19" s="900"/>
      <c r="I19" s="900"/>
      <c r="J19" s="136"/>
      <c r="K19" s="137"/>
      <c r="L19" s="138" t="s">
        <v>425</v>
      </c>
      <c r="M19" s="136" t="e">
        <f>ROUNDUP(#REF!/(J19*K19),0)</f>
        <v>#REF!</v>
      </c>
      <c r="N19" s="136" t="e">
        <f>ROUNDUP(M19*0.2,0)+1</f>
        <v>#REF!</v>
      </c>
      <c r="O19" s="139">
        <v>0</v>
      </c>
      <c r="P19" s="660" t="s">
        <v>287</v>
      </c>
      <c r="Q19" s="660"/>
      <c r="R19" s="660"/>
    </row>
    <row r="20" spans="1:18" ht="18" customHeight="1" thickBot="1">
      <c r="A20" s="121" t="s">
        <v>122</v>
      </c>
      <c r="B20" s="727" t="s">
        <v>147</v>
      </c>
      <c r="C20" s="727"/>
      <c r="D20" s="727" t="s">
        <v>240</v>
      </c>
      <c r="E20" s="727"/>
      <c r="F20" s="882" t="s">
        <v>641</v>
      </c>
      <c r="G20" s="997"/>
      <c r="H20" s="997"/>
      <c r="I20" s="997"/>
      <c r="J20" s="140" t="s">
        <v>642</v>
      </c>
      <c r="K20" s="141" t="s">
        <v>250</v>
      </c>
      <c r="L20" s="142" t="s">
        <v>425</v>
      </c>
      <c r="M20" s="140" t="e">
        <f>ROUNDUP(#REF!/(J20*K20),0)</f>
        <v>#REF!</v>
      </c>
      <c r="N20" s="140" t="e">
        <f>ROUNDUP(M20*0.2,0)+1</f>
        <v>#REF!</v>
      </c>
      <c r="O20" s="143">
        <v>0</v>
      </c>
      <c r="P20" s="692" t="s">
        <v>643</v>
      </c>
      <c r="Q20" s="692"/>
      <c r="R20" s="692"/>
    </row>
    <row r="21" spans="1:18" ht="18" customHeight="1" thickTop="1">
      <c r="A21" s="772" t="s">
        <v>400</v>
      </c>
      <c r="B21" s="637" t="s">
        <v>10</v>
      </c>
      <c r="C21" s="637"/>
      <c r="D21" s="638" t="s">
        <v>14</v>
      </c>
      <c r="E21" s="639"/>
      <c r="F21" s="974" t="s">
        <v>644</v>
      </c>
      <c r="G21" s="975"/>
      <c r="H21" s="975"/>
      <c r="I21" s="975"/>
      <c r="J21" s="976" t="s">
        <v>642</v>
      </c>
      <c r="K21" s="998"/>
      <c r="L21" s="144"/>
      <c r="M21" s="145" t="e">
        <f>ROUNDUP(#REF!/(J21*K21),0)</f>
        <v>#REF!</v>
      </c>
      <c r="N21" s="145" t="e">
        <f t="shared" ref="N21" si="1">ROUNDUP(M21*0.2,0)</f>
        <v>#REF!</v>
      </c>
      <c r="O21" s="146">
        <v>0</v>
      </c>
      <c r="P21" s="732" t="s">
        <v>645</v>
      </c>
      <c r="Q21" s="733"/>
      <c r="R21" s="734"/>
    </row>
    <row r="22" spans="1:18" ht="18" customHeight="1">
      <c r="A22" s="664"/>
      <c r="B22" s="637" t="s">
        <v>81</v>
      </c>
      <c r="C22" s="637"/>
      <c r="D22" s="638" t="s">
        <v>14</v>
      </c>
      <c r="E22" s="639"/>
      <c r="F22" s="662" t="s">
        <v>361</v>
      </c>
      <c r="G22" s="900"/>
      <c r="H22" s="900"/>
      <c r="I22" s="900"/>
      <c r="J22" s="977"/>
      <c r="K22" s="996"/>
      <c r="L22" s="144"/>
      <c r="M22" s="127"/>
      <c r="N22" s="127"/>
      <c r="O22" s="128"/>
      <c r="P22" s="631"/>
      <c r="Q22" s="632"/>
      <c r="R22" s="633"/>
    </row>
    <row r="23" spans="1:18" ht="18" customHeight="1">
      <c r="A23" s="665"/>
      <c r="B23" s="661" t="s">
        <v>131</v>
      </c>
      <c r="C23" s="661"/>
      <c r="D23" s="661" t="s">
        <v>11</v>
      </c>
      <c r="E23" s="661"/>
      <c r="F23" s="662" t="s">
        <v>463</v>
      </c>
      <c r="G23" s="900"/>
      <c r="H23" s="900"/>
      <c r="I23" s="900"/>
      <c r="J23" s="956"/>
      <c r="K23" s="958"/>
      <c r="L23" s="126"/>
      <c r="M23" s="127"/>
      <c r="N23" s="127"/>
      <c r="O23" s="128"/>
      <c r="P23" s="634"/>
      <c r="Q23" s="635"/>
      <c r="R23" s="636"/>
    </row>
    <row r="24" spans="1:18" ht="18" customHeight="1">
      <c r="A24" s="664" t="s">
        <v>593</v>
      </c>
      <c r="B24" s="637" t="s">
        <v>10</v>
      </c>
      <c r="C24" s="637"/>
      <c r="D24" s="638" t="s">
        <v>14</v>
      </c>
      <c r="E24" s="639"/>
      <c r="F24" s="662" t="s">
        <v>646</v>
      </c>
      <c r="G24" s="900"/>
      <c r="H24" s="900"/>
      <c r="I24" s="900"/>
      <c r="J24" s="955" t="s">
        <v>647</v>
      </c>
      <c r="K24" s="957" t="s">
        <v>648</v>
      </c>
      <c r="L24" s="144"/>
      <c r="M24" s="127" t="e">
        <f>ROUNDUP(#REF!/(J24*K24),0)</f>
        <v>#REF!</v>
      </c>
      <c r="N24" s="127" t="e">
        <f t="shared" ref="N24" si="2">ROUNDUP(M24*0.2,0)</f>
        <v>#REF!</v>
      </c>
      <c r="O24" s="128">
        <v>0</v>
      </c>
      <c r="P24" s="857" t="s">
        <v>649</v>
      </c>
      <c r="Q24" s="967"/>
      <c r="R24" s="968"/>
    </row>
    <row r="25" spans="1:18" ht="18" customHeight="1">
      <c r="A25" s="664"/>
      <c r="B25" s="637" t="s">
        <v>81</v>
      </c>
      <c r="C25" s="637"/>
      <c r="D25" s="638" t="s">
        <v>14</v>
      </c>
      <c r="E25" s="639"/>
      <c r="F25" s="662" t="s">
        <v>361</v>
      </c>
      <c r="G25" s="900"/>
      <c r="H25" s="900"/>
      <c r="I25" s="900"/>
      <c r="J25" s="977"/>
      <c r="K25" s="996"/>
      <c r="L25" s="126"/>
      <c r="M25" s="127"/>
      <c r="N25" s="127"/>
      <c r="O25" s="128"/>
      <c r="P25" s="857"/>
      <c r="Q25" s="967"/>
      <c r="R25" s="968"/>
    </row>
    <row r="26" spans="1:18" ht="18" customHeight="1">
      <c r="A26" s="665"/>
      <c r="B26" s="661" t="s">
        <v>131</v>
      </c>
      <c r="C26" s="661"/>
      <c r="D26" s="661" t="s">
        <v>11</v>
      </c>
      <c r="E26" s="661"/>
      <c r="F26" s="662" t="s">
        <v>463</v>
      </c>
      <c r="G26" s="900"/>
      <c r="H26" s="900"/>
      <c r="I26" s="900"/>
      <c r="J26" s="956"/>
      <c r="K26" s="958"/>
      <c r="L26" s="126"/>
      <c r="M26" s="127"/>
      <c r="N26" s="127"/>
      <c r="O26" s="128"/>
      <c r="P26" s="969"/>
      <c r="Q26" s="970"/>
      <c r="R26" s="971"/>
    </row>
    <row r="27" spans="1:18" ht="18" customHeight="1">
      <c r="A27" s="718" t="s">
        <v>455</v>
      </c>
      <c r="B27" s="661" t="s">
        <v>199</v>
      </c>
      <c r="C27" s="661"/>
      <c r="D27" s="661" t="s">
        <v>11</v>
      </c>
      <c r="E27" s="661"/>
      <c r="F27" s="662" t="s">
        <v>650</v>
      </c>
      <c r="G27" s="900"/>
      <c r="H27" s="900"/>
      <c r="I27" s="900"/>
      <c r="J27" s="955" t="s">
        <v>651</v>
      </c>
      <c r="K27" s="957"/>
      <c r="L27" s="144"/>
      <c r="M27" s="127" t="e">
        <f>ROUNDUP(#REF!/(J27*K27),0)</f>
        <v>#REF!</v>
      </c>
      <c r="N27" s="127" t="e">
        <f t="shared" ref="N27" si="3">ROUNDUP(M27*0.2,0)</f>
        <v>#REF!</v>
      </c>
      <c r="O27" s="128">
        <v>0</v>
      </c>
      <c r="P27" s="656" t="s">
        <v>652</v>
      </c>
      <c r="Q27" s="657"/>
      <c r="R27" s="658"/>
    </row>
    <row r="28" spans="1:18" ht="18" customHeight="1">
      <c r="A28" s="665"/>
      <c r="B28" s="661" t="s">
        <v>202</v>
      </c>
      <c r="C28" s="661"/>
      <c r="D28" s="661" t="s">
        <v>11</v>
      </c>
      <c r="E28" s="661"/>
      <c r="F28" s="662" t="s">
        <v>653</v>
      </c>
      <c r="G28" s="900"/>
      <c r="H28" s="900"/>
      <c r="I28" s="900"/>
      <c r="J28" s="956"/>
      <c r="K28" s="958"/>
      <c r="L28" s="144"/>
      <c r="M28" s="127"/>
      <c r="N28" s="127"/>
      <c r="O28" s="128"/>
      <c r="P28" s="634"/>
      <c r="Q28" s="635"/>
      <c r="R28" s="636"/>
    </row>
    <row r="29" spans="1:18" ht="18" customHeight="1">
      <c r="A29" s="60" t="s">
        <v>599</v>
      </c>
      <c r="B29" s="650" t="s">
        <v>164</v>
      </c>
      <c r="C29" s="650"/>
      <c r="D29" s="650" t="s">
        <v>63</v>
      </c>
      <c r="E29" s="650"/>
      <c r="F29" s="858" t="s">
        <v>654</v>
      </c>
      <c r="G29" s="900"/>
      <c r="H29" s="900"/>
      <c r="I29" s="900"/>
      <c r="J29" s="132"/>
      <c r="K29" s="147" t="s">
        <v>655</v>
      </c>
      <c r="L29" s="148" t="s">
        <v>425</v>
      </c>
      <c r="M29" s="132" t="e">
        <f>ROUNDUP(#REF!/(J29*K29),0)</f>
        <v>#REF!</v>
      </c>
      <c r="N29" s="132" t="e">
        <f>ROUNDUP(M29*0.2,0)+1</f>
        <v>#REF!</v>
      </c>
      <c r="O29" s="133">
        <v>0</v>
      </c>
      <c r="P29" s="660" t="s">
        <v>656</v>
      </c>
      <c r="Q29" s="660"/>
      <c r="R29" s="660"/>
    </row>
    <row r="30" spans="1:18" ht="18" customHeight="1">
      <c r="A30" s="973" t="s">
        <v>605</v>
      </c>
      <c r="B30" s="661" t="s">
        <v>657</v>
      </c>
      <c r="C30" s="661"/>
      <c r="D30" s="661" t="s">
        <v>11</v>
      </c>
      <c r="E30" s="661"/>
      <c r="F30" s="662" t="s">
        <v>658</v>
      </c>
      <c r="G30" s="900"/>
      <c r="H30" s="900"/>
      <c r="I30" s="900"/>
      <c r="J30" s="955" t="s">
        <v>123</v>
      </c>
      <c r="K30" s="957"/>
      <c r="L30" s="126"/>
      <c r="M30" s="127" t="e">
        <f>ROUNDUP(#REF!/(J30*K30),0)</f>
        <v>#REF!</v>
      </c>
      <c r="N30" s="127" t="e">
        <f>ROUNDUP(M30*0.3,0)</f>
        <v>#REF!</v>
      </c>
      <c r="O30" s="128">
        <v>0</v>
      </c>
      <c r="P30" s="660" t="s">
        <v>659</v>
      </c>
      <c r="Q30" s="660"/>
      <c r="R30" s="660"/>
    </row>
    <row r="31" spans="1:18" ht="18" customHeight="1">
      <c r="A31" s="973"/>
      <c r="B31" s="661" t="s">
        <v>660</v>
      </c>
      <c r="C31" s="661"/>
      <c r="D31" s="661" t="s">
        <v>11</v>
      </c>
      <c r="E31" s="661"/>
      <c r="F31" s="662" t="s">
        <v>661</v>
      </c>
      <c r="G31" s="900"/>
      <c r="H31" s="900"/>
      <c r="I31" s="900"/>
      <c r="J31" s="956"/>
      <c r="K31" s="958"/>
      <c r="L31" s="126"/>
      <c r="M31" s="127"/>
      <c r="N31" s="127"/>
      <c r="O31" s="128"/>
      <c r="P31" s="660"/>
      <c r="Q31" s="660"/>
      <c r="R31" s="660"/>
    </row>
    <row r="32" spans="1:18" ht="18" customHeight="1">
      <c r="A32" s="973" t="s">
        <v>609</v>
      </c>
      <c r="B32" s="661" t="s">
        <v>10</v>
      </c>
      <c r="C32" s="661"/>
      <c r="D32" s="661" t="s">
        <v>17</v>
      </c>
      <c r="E32" s="661"/>
      <c r="F32" s="662" t="s">
        <v>662</v>
      </c>
      <c r="G32" s="900"/>
      <c r="H32" s="900"/>
      <c r="I32" s="900"/>
      <c r="J32" s="955" t="s">
        <v>663</v>
      </c>
      <c r="K32" s="957" t="s">
        <v>664</v>
      </c>
      <c r="L32" s="144"/>
      <c r="M32" s="127" t="e">
        <f>ROUNDUP(#REF!/(J32*K32),0)</f>
        <v>#REF!</v>
      </c>
      <c r="N32" s="127" t="e">
        <f t="shared" ref="N32" si="4">ROUNDUP(M32*0.2,0)</f>
        <v>#REF!</v>
      </c>
      <c r="O32" s="128">
        <v>0</v>
      </c>
      <c r="P32" s="660" t="s">
        <v>220</v>
      </c>
      <c r="Q32" s="660"/>
      <c r="R32" s="660"/>
    </row>
    <row r="33" spans="1:18" ht="18" customHeight="1">
      <c r="A33" s="973"/>
      <c r="B33" s="661" t="s">
        <v>13</v>
      </c>
      <c r="C33" s="661"/>
      <c r="D33" s="661" t="s">
        <v>11</v>
      </c>
      <c r="E33" s="661"/>
      <c r="F33" s="662" t="s">
        <v>21</v>
      </c>
      <c r="G33" s="900"/>
      <c r="H33" s="900"/>
      <c r="I33" s="900"/>
      <c r="J33" s="956"/>
      <c r="K33" s="958"/>
      <c r="L33" s="144"/>
      <c r="M33" s="127"/>
      <c r="N33" s="127"/>
      <c r="O33" s="128"/>
      <c r="P33" s="660"/>
      <c r="Q33" s="660"/>
      <c r="R33" s="660"/>
    </row>
    <row r="34" spans="1:18" ht="18" customHeight="1">
      <c r="A34" s="49" t="s">
        <v>665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 spans="1:18" ht="18.75" customHeight="1">
      <c r="A35" s="262" t="s">
        <v>617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</row>
    <row r="36" spans="1:18" ht="18.75" customHeight="1">
      <c r="A36" s="282" t="s">
        <v>1549</v>
      </c>
      <c r="B36" s="464"/>
      <c r="C36" s="533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</row>
    <row r="37" spans="1:18" ht="15.6" customHeight="1">
      <c r="A37" s="49" t="s">
        <v>366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39"/>
      <c r="Q37" s="49"/>
      <c r="R37" s="39" t="s">
        <v>983</v>
      </c>
    </row>
    <row r="38" spans="1:18" ht="15.6" customHeight="1">
      <c r="A38" s="710" t="s">
        <v>2</v>
      </c>
      <c r="B38" s="712" t="s">
        <v>3</v>
      </c>
      <c r="C38" s="712"/>
      <c r="D38" s="650" t="s">
        <v>4</v>
      </c>
      <c r="E38" s="650"/>
      <c r="F38" s="712" t="s">
        <v>5</v>
      </c>
      <c r="G38" s="712"/>
      <c r="H38" s="712"/>
      <c r="I38" s="712"/>
      <c r="J38" s="650" t="s">
        <v>6</v>
      </c>
      <c r="K38" s="650" t="s">
        <v>7</v>
      </c>
      <c r="L38" s="87" t="s">
        <v>407</v>
      </c>
      <c r="M38" s="768" t="s">
        <v>1095</v>
      </c>
      <c r="N38" s="805" t="s">
        <v>1096</v>
      </c>
      <c r="O38" s="715" t="s">
        <v>1097</v>
      </c>
      <c r="P38" s="674" t="s">
        <v>8</v>
      </c>
      <c r="Q38" s="675"/>
      <c r="R38" s="676"/>
    </row>
    <row r="39" spans="1:18" ht="15.6" customHeight="1">
      <c r="A39" s="711"/>
      <c r="B39" s="712"/>
      <c r="C39" s="712"/>
      <c r="D39" s="650"/>
      <c r="E39" s="650"/>
      <c r="F39" s="712"/>
      <c r="G39" s="712"/>
      <c r="H39" s="712"/>
      <c r="I39" s="712"/>
      <c r="J39" s="650"/>
      <c r="K39" s="650"/>
      <c r="L39" s="76" t="s">
        <v>410</v>
      </c>
      <c r="M39" s="717"/>
      <c r="N39" s="706"/>
      <c r="O39" s="715"/>
      <c r="P39" s="674"/>
      <c r="Q39" s="675"/>
      <c r="R39" s="676"/>
    </row>
    <row r="40" spans="1:18" ht="15.6" customHeight="1">
      <c r="A40" s="973" t="s">
        <v>421</v>
      </c>
      <c r="B40" s="661" t="s">
        <v>10</v>
      </c>
      <c r="C40" s="661"/>
      <c r="D40" s="661" t="s">
        <v>43</v>
      </c>
      <c r="E40" s="661"/>
      <c r="F40" s="659" t="s">
        <v>185</v>
      </c>
      <c r="G40" s="659"/>
      <c r="H40" s="659"/>
      <c r="I40" s="659"/>
      <c r="J40" s="955" t="s">
        <v>1269</v>
      </c>
      <c r="K40" s="957"/>
      <c r="L40" s="126"/>
      <c r="M40" s="435">
        <v>130</v>
      </c>
      <c r="N40" s="435">
        <v>1</v>
      </c>
      <c r="O40" s="436">
        <v>5130</v>
      </c>
      <c r="P40" s="660" t="s">
        <v>1187</v>
      </c>
      <c r="Q40" s="660"/>
      <c r="R40" s="660"/>
    </row>
    <row r="41" spans="1:18" ht="15.6" customHeight="1">
      <c r="A41" s="973"/>
      <c r="B41" s="661" t="s">
        <v>13</v>
      </c>
      <c r="C41" s="661"/>
      <c r="D41" s="661" t="s">
        <v>49</v>
      </c>
      <c r="E41" s="661"/>
      <c r="F41" s="659" t="s">
        <v>69</v>
      </c>
      <c r="G41" s="659"/>
      <c r="H41" s="659"/>
      <c r="I41" s="659"/>
      <c r="J41" s="956"/>
      <c r="K41" s="958"/>
      <c r="L41" s="126"/>
      <c r="M41" s="435"/>
      <c r="N41" s="435"/>
      <c r="O41" s="436"/>
      <c r="P41" s="660"/>
      <c r="Q41" s="660"/>
      <c r="R41" s="660"/>
    </row>
    <row r="42" spans="1:18" ht="15.6" customHeight="1">
      <c r="A42" s="973" t="s">
        <v>110</v>
      </c>
      <c r="B42" s="661" t="s">
        <v>199</v>
      </c>
      <c r="C42" s="661"/>
      <c r="D42" s="661" t="s">
        <v>17</v>
      </c>
      <c r="E42" s="661"/>
      <c r="F42" s="662" t="s">
        <v>629</v>
      </c>
      <c r="G42" s="900"/>
      <c r="H42" s="900"/>
      <c r="I42" s="900"/>
      <c r="J42" s="985" t="s">
        <v>1552</v>
      </c>
      <c r="K42" s="957"/>
      <c r="L42" s="126"/>
      <c r="M42" s="435">
        <v>130</v>
      </c>
      <c r="N42" s="127">
        <v>1</v>
      </c>
      <c r="O42" s="124">
        <v>2130</v>
      </c>
      <c r="P42" s="660" t="s">
        <v>631</v>
      </c>
      <c r="Q42" s="660"/>
      <c r="R42" s="660"/>
    </row>
    <row r="43" spans="1:18" ht="15.6" customHeight="1">
      <c r="A43" s="973"/>
      <c r="B43" s="661" t="s">
        <v>202</v>
      </c>
      <c r="C43" s="661"/>
      <c r="D43" s="661" t="s">
        <v>17</v>
      </c>
      <c r="E43" s="661"/>
      <c r="F43" s="662" t="s">
        <v>632</v>
      </c>
      <c r="G43" s="900"/>
      <c r="H43" s="900"/>
      <c r="I43" s="900"/>
      <c r="J43" s="986"/>
      <c r="K43" s="958"/>
      <c r="L43" s="126"/>
      <c r="M43" s="127"/>
      <c r="N43" s="127"/>
      <c r="O43" s="124"/>
      <c r="P43" s="660"/>
      <c r="Q43" s="660"/>
      <c r="R43" s="660"/>
    </row>
    <row r="44" spans="1:18" ht="15.6" customHeight="1">
      <c r="A44" s="973" t="s">
        <v>808</v>
      </c>
      <c r="B44" s="661" t="s">
        <v>35</v>
      </c>
      <c r="C44" s="661"/>
      <c r="D44" s="661" t="s">
        <v>43</v>
      </c>
      <c r="E44" s="661"/>
      <c r="F44" s="662" t="s">
        <v>633</v>
      </c>
      <c r="G44" s="900"/>
      <c r="H44" s="900"/>
      <c r="I44" s="900"/>
      <c r="J44" s="955"/>
      <c r="K44" s="957"/>
      <c r="L44" s="126"/>
      <c r="M44" s="435">
        <v>130</v>
      </c>
      <c r="N44" s="127">
        <v>1</v>
      </c>
      <c r="O44" s="124">
        <v>700</v>
      </c>
      <c r="P44" s="660" t="s">
        <v>38</v>
      </c>
      <c r="Q44" s="660"/>
      <c r="R44" s="660"/>
    </row>
    <row r="45" spans="1:18" ht="15.6" customHeight="1">
      <c r="A45" s="973"/>
      <c r="B45" s="661" t="s">
        <v>119</v>
      </c>
      <c r="C45" s="661"/>
      <c r="D45" s="661" t="s">
        <v>43</v>
      </c>
      <c r="E45" s="661"/>
      <c r="F45" s="662" t="s">
        <v>508</v>
      </c>
      <c r="G45" s="900"/>
      <c r="H45" s="900"/>
      <c r="I45" s="900"/>
      <c r="J45" s="956"/>
      <c r="K45" s="958"/>
      <c r="L45" s="126"/>
      <c r="M45" s="127"/>
      <c r="N45" s="127"/>
      <c r="O45" s="124"/>
      <c r="P45" s="660"/>
      <c r="Q45" s="660"/>
      <c r="R45" s="660"/>
    </row>
    <row r="46" spans="1:18" ht="15.6" customHeight="1">
      <c r="A46" s="718" t="s">
        <v>248</v>
      </c>
      <c r="B46" s="650" t="s">
        <v>81</v>
      </c>
      <c r="C46" s="650"/>
      <c r="D46" s="650" t="s">
        <v>17</v>
      </c>
      <c r="E46" s="650"/>
      <c r="F46" s="858" t="s">
        <v>637</v>
      </c>
      <c r="G46" s="900"/>
      <c r="H46" s="900"/>
      <c r="I46" s="900"/>
      <c r="J46" s="981" t="s">
        <v>1272</v>
      </c>
      <c r="K46" s="983" t="s">
        <v>1273</v>
      </c>
      <c r="L46" s="134"/>
      <c r="M46" s="132">
        <v>130</v>
      </c>
      <c r="N46" s="132">
        <v>1</v>
      </c>
      <c r="O46" s="43">
        <v>3130</v>
      </c>
      <c r="P46" s="870" t="s">
        <v>930</v>
      </c>
      <c r="Q46" s="657"/>
      <c r="R46" s="658"/>
    </row>
    <row r="47" spans="1:18" ht="15.6" customHeight="1">
      <c r="A47" s="665"/>
      <c r="B47" s="650" t="s">
        <v>131</v>
      </c>
      <c r="C47" s="650"/>
      <c r="D47" s="650" t="s">
        <v>11</v>
      </c>
      <c r="E47" s="650"/>
      <c r="F47" s="858" t="s">
        <v>463</v>
      </c>
      <c r="G47" s="900"/>
      <c r="H47" s="900"/>
      <c r="I47" s="900"/>
      <c r="J47" s="982"/>
      <c r="K47" s="984"/>
      <c r="L47" s="134"/>
      <c r="M47" s="132"/>
      <c r="N47" s="132"/>
      <c r="O47" s="32"/>
      <c r="P47" s="634"/>
      <c r="Q47" s="635"/>
      <c r="R47" s="636"/>
    </row>
    <row r="48" spans="1:18" ht="15.6" customHeight="1">
      <c r="A48" s="164" t="s">
        <v>155</v>
      </c>
      <c r="B48" s="650" t="s">
        <v>147</v>
      </c>
      <c r="C48" s="650"/>
      <c r="D48" s="650" t="s">
        <v>11</v>
      </c>
      <c r="E48" s="650"/>
      <c r="F48" s="858" t="s">
        <v>928</v>
      </c>
      <c r="G48" s="900"/>
      <c r="H48" s="900"/>
      <c r="I48" s="900"/>
      <c r="J48" s="132" t="s">
        <v>1281</v>
      </c>
      <c r="K48" s="283"/>
      <c r="L48" s="148" t="s">
        <v>425</v>
      </c>
      <c r="M48" s="132">
        <v>130</v>
      </c>
      <c r="N48" s="132">
        <v>1</v>
      </c>
      <c r="O48" s="32">
        <v>2630</v>
      </c>
      <c r="P48" s="660" t="s">
        <v>643</v>
      </c>
      <c r="Q48" s="660"/>
      <c r="R48" s="660"/>
    </row>
    <row r="49" spans="1:18" ht="15.6" customHeight="1">
      <c r="A49" s="60" t="s">
        <v>256</v>
      </c>
      <c r="B49" s="650" t="s">
        <v>164</v>
      </c>
      <c r="C49" s="650"/>
      <c r="D49" s="650" t="s">
        <v>468</v>
      </c>
      <c r="E49" s="650"/>
      <c r="F49" s="858" t="s">
        <v>640</v>
      </c>
      <c r="G49" s="900"/>
      <c r="H49" s="900"/>
      <c r="I49" s="900"/>
      <c r="J49" s="136"/>
      <c r="K49" s="284"/>
      <c r="L49" s="138" t="s">
        <v>425</v>
      </c>
      <c r="M49" s="132">
        <v>130</v>
      </c>
      <c r="N49" s="136">
        <v>1</v>
      </c>
      <c r="O49" s="52">
        <v>13130</v>
      </c>
      <c r="P49" s="660" t="s">
        <v>287</v>
      </c>
      <c r="Q49" s="660"/>
      <c r="R49" s="660"/>
    </row>
    <row r="50" spans="1:18" ht="28.95" customHeight="1">
      <c r="A50" s="60" t="s">
        <v>122</v>
      </c>
      <c r="B50" s="650" t="s">
        <v>147</v>
      </c>
      <c r="C50" s="650"/>
      <c r="D50" s="650" t="s">
        <v>49</v>
      </c>
      <c r="E50" s="650"/>
      <c r="F50" s="858" t="s">
        <v>284</v>
      </c>
      <c r="G50" s="859"/>
      <c r="H50" s="859"/>
      <c r="I50" s="859"/>
      <c r="J50" s="526" t="s">
        <v>1274</v>
      </c>
      <c r="K50" s="609" t="s">
        <v>1551</v>
      </c>
      <c r="L50" s="131" t="s">
        <v>470</v>
      </c>
      <c r="M50" s="132">
        <v>130</v>
      </c>
      <c r="N50" s="132">
        <v>1</v>
      </c>
      <c r="O50" s="32">
        <v>1530</v>
      </c>
      <c r="P50" s="660" t="s">
        <v>636</v>
      </c>
      <c r="Q50" s="660"/>
      <c r="R50" s="660"/>
    </row>
    <row r="51" spans="1:18" ht="15.6" customHeight="1">
      <c r="A51" s="665" t="s">
        <v>809</v>
      </c>
      <c r="B51" s="661" t="s">
        <v>199</v>
      </c>
      <c r="C51" s="661"/>
      <c r="D51" s="661" t="s">
        <v>14</v>
      </c>
      <c r="E51" s="661"/>
      <c r="F51" s="662" t="s">
        <v>979</v>
      </c>
      <c r="G51" s="900"/>
      <c r="H51" s="900"/>
      <c r="I51" s="900"/>
      <c r="J51" s="994" t="s">
        <v>1553</v>
      </c>
      <c r="K51" s="964" t="s">
        <v>1267</v>
      </c>
      <c r="L51" s="126"/>
      <c r="M51" s="435">
        <v>130</v>
      </c>
      <c r="N51" s="127">
        <v>1</v>
      </c>
      <c r="O51" s="124">
        <v>600</v>
      </c>
      <c r="P51" s="660" t="s">
        <v>126</v>
      </c>
      <c r="Q51" s="660"/>
      <c r="R51" s="660"/>
    </row>
    <row r="52" spans="1:18" ht="15.6" customHeight="1">
      <c r="A52" s="973"/>
      <c r="B52" s="661" t="s">
        <v>202</v>
      </c>
      <c r="C52" s="661"/>
      <c r="D52" s="661" t="s">
        <v>14</v>
      </c>
      <c r="E52" s="661"/>
      <c r="F52" s="662" t="s">
        <v>628</v>
      </c>
      <c r="G52" s="663"/>
      <c r="H52" s="663"/>
      <c r="I52" s="750"/>
      <c r="J52" s="995"/>
      <c r="K52" s="966"/>
      <c r="L52" s="126"/>
      <c r="M52" s="127"/>
      <c r="N52" s="127"/>
      <c r="O52" s="124"/>
      <c r="P52" s="660"/>
      <c r="Q52" s="660"/>
      <c r="R52" s="660"/>
    </row>
    <row r="53" spans="1:18" ht="15.6" customHeight="1">
      <c r="A53" s="973" t="s">
        <v>125</v>
      </c>
      <c r="B53" s="661" t="s">
        <v>10</v>
      </c>
      <c r="C53" s="661"/>
      <c r="D53" s="661" t="s">
        <v>11</v>
      </c>
      <c r="E53" s="661"/>
      <c r="F53" s="662" t="s">
        <v>624</v>
      </c>
      <c r="G53" s="900"/>
      <c r="H53" s="900"/>
      <c r="I53" s="900"/>
      <c r="J53" s="959" t="s">
        <v>1271</v>
      </c>
      <c r="K53" s="957" t="s">
        <v>1062</v>
      </c>
      <c r="L53" s="126"/>
      <c r="M53" s="435">
        <v>130</v>
      </c>
      <c r="N53" s="127">
        <v>1</v>
      </c>
      <c r="O53" s="124">
        <v>1200</v>
      </c>
      <c r="P53" s="660" t="s">
        <v>626</v>
      </c>
      <c r="Q53" s="660"/>
      <c r="R53" s="660"/>
    </row>
    <row r="54" spans="1:18" ht="15.6" customHeight="1">
      <c r="A54" s="973"/>
      <c r="B54" s="661" t="s">
        <v>13</v>
      </c>
      <c r="C54" s="661"/>
      <c r="D54" s="661" t="s">
        <v>11</v>
      </c>
      <c r="E54" s="661"/>
      <c r="F54" s="662" t="s">
        <v>923</v>
      </c>
      <c r="G54" s="900"/>
      <c r="H54" s="900"/>
      <c r="I54" s="900"/>
      <c r="J54" s="960"/>
      <c r="K54" s="958"/>
      <c r="L54" s="126"/>
      <c r="M54" s="127"/>
      <c r="N54" s="127"/>
      <c r="O54" s="124"/>
      <c r="P54" s="660"/>
      <c r="Q54" s="660"/>
      <c r="R54" s="660"/>
    </row>
    <row r="55" spans="1:18" ht="15.6" customHeight="1">
      <c r="A55" s="718" t="s">
        <v>325</v>
      </c>
      <c r="B55" s="661" t="s">
        <v>10</v>
      </c>
      <c r="C55" s="661"/>
      <c r="D55" s="661" t="s">
        <v>49</v>
      </c>
      <c r="E55" s="661"/>
      <c r="F55" s="662" t="s">
        <v>621</v>
      </c>
      <c r="G55" s="663"/>
      <c r="H55" s="663"/>
      <c r="I55" s="663"/>
      <c r="J55" s="654" t="s">
        <v>1283</v>
      </c>
      <c r="K55" s="957"/>
      <c r="L55" s="126"/>
      <c r="M55" s="435">
        <v>130</v>
      </c>
      <c r="N55" s="127">
        <v>1</v>
      </c>
      <c r="O55" s="124">
        <v>700</v>
      </c>
      <c r="P55" s="660" t="s">
        <v>623</v>
      </c>
      <c r="Q55" s="660"/>
      <c r="R55" s="660"/>
    </row>
    <row r="56" spans="1:18" ht="15.6" customHeight="1" thickBot="1">
      <c r="A56" s="665"/>
      <c r="B56" s="979" t="s">
        <v>13</v>
      </c>
      <c r="C56" s="979"/>
      <c r="D56" s="979" t="s">
        <v>11</v>
      </c>
      <c r="E56" s="979"/>
      <c r="F56" s="662" t="s">
        <v>328</v>
      </c>
      <c r="G56" s="663"/>
      <c r="H56" s="663"/>
      <c r="I56" s="663"/>
      <c r="J56" s="655"/>
      <c r="K56" s="958"/>
      <c r="L56" s="259"/>
      <c r="M56" s="362"/>
      <c r="N56" s="362"/>
      <c r="O56" s="363"/>
      <c r="P56" s="692"/>
      <c r="Q56" s="692"/>
      <c r="R56" s="692"/>
    </row>
    <row r="57" spans="1:18" ht="15.6" customHeight="1" thickTop="1">
      <c r="A57" s="772" t="s">
        <v>66</v>
      </c>
      <c r="B57" s="637" t="s">
        <v>10</v>
      </c>
      <c r="C57" s="637"/>
      <c r="D57" s="638" t="s">
        <v>14</v>
      </c>
      <c r="E57" s="639"/>
      <c r="F57" s="974" t="s">
        <v>644</v>
      </c>
      <c r="G57" s="975"/>
      <c r="H57" s="975"/>
      <c r="I57" s="975"/>
      <c r="J57" s="976" t="s">
        <v>1276</v>
      </c>
      <c r="K57" s="972" t="s">
        <v>1284</v>
      </c>
      <c r="L57" s="144"/>
      <c r="M57" s="435">
        <v>130</v>
      </c>
      <c r="N57" s="145">
        <v>1</v>
      </c>
      <c r="O57" s="51">
        <v>700</v>
      </c>
      <c r="P57" s="631" t="s">
        <v>645</v>
      </c>
      <c r="Q57" s="632"/>
      <c r="R57" s="633"/>
    </row>
    <row r="58" spans="1:18" ht="15.6" customHeight="1">
      <c r="A58" s="664"/>
      <c r="B58" s="637" t="s">
        <v>81</v>
      </c>
      <c r="C58" s="637"/>
      <c r="D58" s="638" t="s">
        <v>14</v>
      </c>
      <c r="E58" s="639"/>
      <c r="F58" s="662" t="s">
        <v>361</v>
      </c>
      <c r="G58" s="900"/>
      <c r="H58" s="900"/>
      <c r="I58" s="900"/>
      <c r="J58" s="977"/>
      <c r="K58" s="965"/>
      <c r="L58" s="144"/>
      <c r="M58" s="127"/>
      <c r="N58" s="127"/>
      <c r="O58" s="124"/>
      <c r="P58" s="631"/>
      <c r="Q58" s="632"/>
      <c r="R58" s="633"/>
    </row>
    <row r="59" spans="1:18" ht="15.6" customHeight="1">
      <c r="A59" s="665"/>
      <c r="B59" s="661" t="s">
        <v>131</v>
      </c>
      <c r="C59" s="661"/>
      <c r="D59" s="661" t="s">
        <v>11</v>
      </c>
      <c r="E59" s="661"/>
      <c r="F59" s="662" t="s">
        <v>362</v>
      </c>
      <c r="G59" s="900"/>
      <c r="H59" s="900"/>
      <c r="I59" s="978"/>
      <c r="J59" s="956"/>
      <c r="K59" s="966"/>
      <c r="L59" s="126"/>
      <c r="M59" s="127"/>
      <c r="N59" s="127"/>
      <c r="O59" s="124"/>
      <c r="P59" s="634"/>
      <c r="Q59" s="635"/>
      <c r="R59" s="636"/>
    </row>
    <row r="60" spans="1:18" ht="15.6" customHeight="1">
      <c r="A60" s="664" t="s">
        <v>130</v>
      </c>
      <c r="B60" s="637" t="s">
        <v>10</v>
      </c>
      <c r="C60" s="637"/>
      <c r="D60" s="638" t="s">
        <v>14</v>
      </c>
      <c r="E60" s="639"/>
      <c r="F60" s="666" t="s">
        <v>644</v>
      </c>
      <c r="G60" s="850"/>
      <c r="H60" s="850"/>
      <c r="I60" s="850"/>
      <c r="J60" s="959" t="s">
        <v>1285</v>
      </c>
      <c r="K60" s="964" t="s">
        <v>1267</v>
      </c>
      <c r="L60" s="144"/>
      <c r="M60" s="435">
        <v>130</v>
      </c>
      <c r="N60" s="127">
        <v>1</v>
      </c>
      <c r="O60" s="124">
        <v>1530</v>
      </c>
      <c r="P60" s="857" t="s">
        <v>649</v>
      </c>
      <c r="Q60" s="967"/>
      <c r="R60" s="968"/>
    </row>
    <row r="61" spans="1:18" ht="15.6" customHeight="1">
      <c r="A61" s="664"/>
      <c r="B61" s="637" t="s">
        <v>81</v>
      </c>
      <c r="C61" s="637"/>
      <c r="D61" s="638" t="s">
        <v>14</v>
      </c>
      <c r="E61" s="639"/>
      <c r="F61" s="662" t="s">
        <v>361</v>
      </c>
      <c r="G61" s="900"/>
      <c r="H61" s="900"/>
      <c r="I61" s="900"/>
      <c r="J61" s="963"/>
      <c r="K61" s="965"/>
      <c r="L61" s="126"/>
      <c r="M61" s="127"/>
      <c r="N61" s="127"/>
      <c r="O61" s="124"/>
      <c r="P61" s="857"/>
      <c r="Q61" s="967"/>
      <c r="R61" s="968"/>
    </row>
    <row r="62" spans="1:18" ht="15.6" customHeight="1">
      <c r="A62" s="665"/>
      <c r="B62" s="661" t="s">
        <v>131</v>
      </c>
      <c r="C62" s="661"/>
      <c r="D62" s="661" t="s">
        <v>11</v>
      </c>
      <c r="E62" s="661"/>
      <c r="F62" s="662" t="s">
        <v>362</v>
      </c>
      <c r="G62" s="900"/>
      <c r="H62" s="900"/>
      <c r="I62" s="900"/>
      <c r="J62" s="960"/>
      <c r="K62" s="966"/>
      <c r="L62" s="126"/>
      <c r="M62" s="127"/>
      <c r="N62" s="127"/>
      <c r="O62" s="124"/>
      <c r="P62" s="969"/>
      <c r="Q62" s="970"/>
      <c r="R62" s="971"/>
    </row>
    <row r="63" spans="1:18" s="290" customFormat="1" ht="28.95" customHeight="1">
      <c r="A63" s="286" t="s">
        <v>567</v>
      </c>
      <c r="B63" s="989" t="s">
        <v>164</v>
      </c>
      <c r="C63" s="989"/>
      <c r="D63" s="989" t="s">
        <v>63</v>
      </c>
      <c r="E63" s="989"/>
      <c r="F63" s="990" t="s">
        <v>654</v>
      </c>
      <c r="G63" s="991"/>
      <c r="H63" s="991"/>
      <c r="I63" s="991"/>
      <c r="J63" s="527" t="s">
        <v>1555</v>
      </c>
      <c r="K63" s="287"/>
      <c r="L63" s="288" t="s">
        <v>425</v>
      </c>
      <c r="M63" s="132">
        <v>130</v>
      </c>
      <c r="N63" s="289">
        <v>1</v>
      </c>
      <c r="O63" s="32">
        <v>4630</v>
      </c>
      <c r="P63" s="980" t="s">
        <v>656</v>
      </c>
      <c r="Q63" s="980"/>
      <c r="R63" s="980"/>
    </row>
    <row r="64" spans="1:18" ht="15.6" customHeight="1">
      <c r="A64" s="973" t="s">
        <v>767</v>
      </c>
      <c r="B64" s="661" t="s">
        <v>657</v>
      </c>
      <c r="C64" s="661"/>
      <c r="D64" s="661" t="s">
        <v>11</v>
      </c>
      <c r="E64" s="661"/>
      <c r="F64" s="662" t="s">
        <v>924</v>
      </c>
      <c r="G64" s="900"/>
      <c r="H64" s="900"/>
      <c r="I64" s="900"/>
      <c r="J64" s="959" t="s">
        <v>1277</v>
      </c>
      <c r="K64" s="957"/>
      <c r="L64" s="126"/>
      <c r="M64" s="435">
        <v>130</v>
      </c>
      <c r="N64" s="127">
        <v>1</v>
      </c>
      <c r="O64" s="124">
        <v>500</v>
      </c>
      <c r="P64" s="660" t="s">
        <v>659</v>
      </c>
      <c r="Q64" s="660"/>
      <c r="R64" s="660"/>
    </row>
    <row r="65" spans="1:18" ht="15.6" customHeight="1">
      <c r="A65" s="973"/>
      <c r="B65" s="661" t="s">
        <v>660</v>
      </c>
      <c r="C65" s="661"/>
      <c r="D65" s="661" t="s">
        <v>11</v>
      </c>
      <c r="E65" s="661"/>
      <c r="F65" s="662" t="s">
        <v>925</v>
      </c>
      <c r="G65" s="900"/>
      <c r="H65" s="900"/>
      <c r="I65" s="900"/>
      <c r="J65" s="960"/>
      <c r="K65" s="958"/>
      <c r="L65" s="126"/>
      <c r="M65" s="127"/>
      <c r="N65" s="127"/>
      <c r="O65" s="124"/>
      <c r="P65" s="660"/>
      <c r="Q65" s="660"/>
      <c r="R65" s="660"/>
    </row>
    <row r="66" spans="1:18" ht="30" customHeight="1">
      <c r="A66" s="718" t="s">
        <v>768</v>
      </c>
      <c r="B66" s="661" t="s">
        <v>10</v>
      </c>
      <c r="C66" s="661"/>
      <c r="D66" s="661" t="s">
        <v>17</v>
      </c>
      <c r="E66" s="661"/>
      <c r="F66" s="662" t="s">
        <v>662</v>
      </c>
      <c r="G66" s="900"/>
      <c r="H66" s="900"/>
      <c r="I66" s="900"/>
      <c r="J66" s="959" t="s">
        <v>1554</v>
      </c>
      <c r="K66" s="992" t="s">
        <v>1287</v>
      </c>
      <c r="L66" s="144"/>
      <c r="M66" s="435">
        <v>130</v>
      </c>
      <c r="N66" s="127">
        <v>1</v>
      </c>
      <c r="O66" s="124">
        <v>1200</v>
      </c>
      <c r="P66" s="660" t="s">
        <v>220</v>
      </c>
      <c r="Q66" s="660"/>
      <c r="R66" s="660"/>
    </row>
    <row r="67" spans="1:18" ht="30" customHeight="1">
      <c r="A67" s="665"/>
      <c r="B67" s="661" t="s">
        <v>13</v>
      </c>
      <c r="C67" s="661"/>
      <c r="D67" s="661" t="s">
        <v>11</v>
      </c>
      <c r="E67" s="661"/>
      <c r="F67" s="662" t="s">
        <v>926</v>
      </c>
      <c r="G67" s="900"/>
      <c r="H67" s="900"/>
      <c r="I67" s="900"/>
      <c r="J67" s="960"/>
      <c r="K67" s="993"/>
      <c r="L67" s="144"/>
      <c r="M67" s="127"/>
      <c r="N67" s="127"/>
      <c r="O67" s="124"/>
      <c r="P67" s="660"/>
      <c r="Q67" s="660"/>
      <c r="R67" s="660"/>
    </row>
    <row r="68" spans="1:18" ht="28.2" customHeight="1">
      <c r="A68" s="164" t="s">
        <v>352</v>
      </c>
      <c r="B68" s="650" t="s">
        <v>932</v>
      </c>
      <c r="C68" s="650"/>
      <c r="D68" s="650" t="s">
        <v>933</v>
      </c>
      <c r="E68" s="650"/>
      <c r="F68" s="858" t="s">
        <v>964</v>
      </c>
      <c r="G68" s="900"/>
      <c r="H68" s="900"/>
      <c r="I68" s="900"/>
      <c r="J68" s="258" t="s">
        <v>1279</v>
      </c>
      <c r="K68" s="525" t="s">
        <v>1556</v>
      </c>
      <c r="L68" s="568" t="s">
        <v>425</v>
      </c>
      <c r="M68" s="435">
        <v>130</v>
      </c>
      <c r="N68" s="127">
        <v>1</v>
      </c>
      <c r="O68" s="124">
        <v>5130</v>
      </c>
      <c r="P68" s="660" t="s">
        <v>643</v>
      </c>
      <c r="Q68" s="660"/>
      <c r="R68" s="660"/>
    </row>
    <row r="69" spans="1:18" ht="15.6" customHeight="1">
      <c r="A69" s="60" t="s">
        <v>283</v>
      </c>
      <c r="B69" s="650" t="s">
        <v>147</v>
      </c>
      <c r="C69" s="650"/>
      <c r="D69" s="650" t="s">
        <v>11</v>
      </c>
      <c r="E69" s="650"/>
      <c r="F69" s="858" t="s">
        <v>928</v>
      </c>
      <c r="G69" s="900"/>
      <c r="H69" s="900"/>
      <c r="I69" s="900"/>
      <c r="J69" s="132"/>
      <c r="K69" s="285"/>
      <c r="L69" s="148" t="s">
        <v>425</v>
      </c>
      <c r="M69" s="132">
        <v>130</v>
      </c>
      <c r="N69" s="132">
        <v>1</v>
      </c>
      <c r="O69" s="32">
        <v>5100</v>
      </c>
      <c r="P69" s="660" t="s">
        <v>643</v>
      </c>
      <c r="Q69" s="660"/>
      <c r="R69" s="660"/>
    </row>
    <row r="70" spans="1:18" ht="15.6" customHeight="1">
      <c r="A70" s="973" t="s">
        <v>927</v>
      </c>
      <c r="B70" s="661" t="s">
        <v>199</v>
      </c>
      <c r="C70" s="661"/>
      <c r="D70" s="661" t="s">
        <v>11</v>
      </c>
      <c r="E70" s="661"/>
      <c r="F70" s="662" t="s">
        <v>650</v>
      </c>
      <c r="G70" s="900"/>
      <c r="H70" s="900"/>
      <c r="I70" s="900"/>
      <c r="J70" s="959" t="s">
        <v>1280</v>
      </c>
      <c r="K70" s="961"/>
      <c r="L70" s="144"/>
      <c r="M70" s="435">
        <v>130</v>
      </c>
      <c r="N70" s="127">
        <v>1</v>
      </c>
      <c r="O70" s="124">
        <v>2130</v>
      </c>
      <c r="P70" s="656" t="s">
        <v>652</v>
      </c>
      <c r="Q70" s="657"/>
      <c r="R70" s="658"/>
    </row>
    <row r="71" spans="1:18" ht="15.6" customHeight="1">
      <c r="A71" s="973"/>
      <c r="B71" s="661" t="s">
        <v>202</v>
      </c>
      <c r="C71" s="661"/>
      <c r="D71" s="661" t="s">
        <v>11</v>
      </c>
      <c r="E71" s="661"/>
      <c r="F71" s="662" t="s">
        <v>929</v>
      </c>
      <c r="G71" s="900"/>
      <c r="H71" s="900"/>
      <c r="I71" s="900"/>
      <c r="J71" s="960"/>
      <c r="K71" s="962"/>
      <c r="L71" s="144"/>
      <c r="M71" s="127"/>
      <c r="N71" s="127"/>
      <c r="O71" s="124"/>
      <c r="P71" s="634"/>
      <c r="Q71" s="635"/>
      <c r="R71" s="636"/>
    </row>
    <row r="72" spans="1:18" ht="18" customHeight="1">
      <c r="A72" s="278" t="s">
        <v>1376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5"/>
      <c r="P72" s="49"/>
      <c r="Q72" s="49"/>
      <c r="R72" s="49"/>
    </row>
    <row r="73" spans="1:18" ht="18" customHeight="1">
      <c r="A73" s="279" t="s">
        <v>1383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5"/>
      <c r="P73" s="49"/>
      <c r="Q73" s="49"/>
      <c r="R73" s="49"/>
    </row>
    <row r="74" spans="1:18" ht="18" customHeight="1">
      <c r="A74" s="27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5"/>
      <c r="P74" s="49"/>
      <c r="Q74" s="49"/>
      <c r="R74" s="49"/>
    </row>
    <row r="75" spans="1:18" ht="18" customHeight="1">
      <c r="A75" s="27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5"/>
      <c r="P75" s="49"/>
      <c r="Q75" s="49"/>
      <c r="R75" s="49"/>
    </row>
    <row r="76" spans="1:18" ht="18.75" customHeight="1">
      <c r="A76" s="262" t="s">
        <v>617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47"/>
      <c r="P76" s="39"/>
      <c r="Q76" s="39"/>
      <c r="R76" s="39"/>
    </row>
    <row r="77" spans="1:18" ht="18.75" customHeight="1">
      <c r="A77" s="282" t="s">
        <v>1548</v>
      </c>
      <c r="B77" s="464"/>
      <c r="C77" s="533"/>
      <c r="D77" s="533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47"/>
      <c r="P77" s="39"/>
      <c r="Q77" s="39"/>
      <c r="R77" s="39"/>
    </row>
    <row r="78" spans="1:18" ht="15" customHeight="1">
      <c r="A78" s="49" t="s">
        <v>366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5"/>
      <c r="P78" s="39"/>
      <c r="Q78" s="49"/>
      <c r="R78" s="39" t="s">
        <v>983</v>
      </c>
    </row>
    <row r="79" spans="1:18" ht="15.75" customHeight="1">
      <c r="A79" s="710" t="s">
        <v>2</v>
      </c>
      <c r="B79" s="712" t="s">
        <v>3</v>
      </c>
      <c r="C79" s="712"/>
      <c r="D79" s="650" t="s">
        <v>4</v>
      </c>
      <c r="E79" s="650"/>
      <c r="F79" s="712" t="s">
        <v>5</v>
      </c>
      <c r="G79" s="712"/>
      <c r="H79" s="712"/>
      <c r="I79" s="712"/>
      <c r="J79" s="650" t="s">
        <v>6</v>
      </c>
      <c r="K79" s="650" t="s">
        <v>7</v>
      </c>
      <c r="L79" s="87" t="s">
        <v>407</v>
      </c>
      <c r="M79" s="768" t="s">
        <v>1095</v>
      </c>
      <c r="N79" s="805" t="s">
        <v>1096</v>
      </c>
      <c r="O79" s="122" t="s">
        <v>1097</v>
      </c>
      <c r="P79" s="674" t="s">
        <v>8</v>
      </c>
      <c r="Q79" s="675"/>
      <c r="R79" s="676"/>
    </row>
    <row r="80" spans="1:18" ht="15.75" customHeight="1">
      <c r="A80" s="711"/>
      <c r="B80" s="712"/>
      <c r="C80" s="712"/>
      <c r="D80" s="650"/>
      <c r="E80" s="650"/>
      <c r="F80" s="712"/>
      <c r="G80" s="712"/>
      <c r="H80" s="712"/>
      <c r="I80" s="712"/>
      <c r="J80" s="650"/>
      <c r="K80" s="650"/>
      <c r="L80" s="76" t="s">
        <v>410</v>
      </c>
      <c r="M80" s="717"/>
      <c r="N80" s="706"/>
      <c r="O80" s="122"/>
      <c r="P80" s="674"/>
      <c r="Q80" s="675"/>
      <c r="R80" s="676"/>
    </row>
    <row r="81" spans="1:18" ht="16.2" customHeight="1">
      <c r="A81" s="973" t="s">
        <v>184</v>
      </c>
      <c r="B81" s="661" t="s">
        <v>10</v>
      </c>
      <c r="C81" s="661"/>
      <c r="D81" s="661" t="s">
        <v>43</v>
      </c>
      <c r="E81" s="661"/>
      <c r="F81" s="659" t="s">
        <v>185</v>
      </c>
      <c r="G81" s="659"/>
      <c r="H81" s="659"/>
      <c r="I81" s="659"/>
      <c r="J81" s="955" t="s">
        <v>1269</v>
      </c>
      <c r="K81" s="957"/>
      <c r="L81" s="126"/>
      <c r="M81" s="435">
        <v>130</v>
      </c>
      <c r="N81" s="435">
        <v>1</v>
      </c>
      <c r="O81" s="436">
        <v>5130</v>
      </c>
      <c r="P81" s="660" t="s">
        <v>1187</v>
      </c>
      <c r="Q81" s="660"/>
      <c r="R81" s="660"/>
    </row>
    <row r="82" spans="1:18" ht="16.2" customHeight="1">
      <c r="A82" s="973"/>
      <c r="B82" s="661" t="s">
        <v>13</v>
      </c>
      <c r="C82" s="661"/>
      <c r="D82" s="661" t="s">
        <v>49</v>
      </c>
      <c r="E82" s="661"/>
      <c r="F82" s="659" t="s">
        <v>69</v>
      </c>
      <c r="G82" s="659"/>
      <c r="H82" s="659"/>
      <c r="I82" s="659"/>
      <c r="J82" s="956"/>
      <c r="K82" s="958"/>
      <c r="L82" s="126"/>
      <c r="M82" s="435"/>
      <c r="N82" s="435"/>
      <c r="O82" s="436"/>
      <c r="P82" s="660"/>
      <c r="Q82" s="660"/>
      <c r="R82" s="660"/>
    </row>
    <row r="83" spans="1:18" ht="16.2" customHeight="1">
      <c r="A83" s="973" t="s">
        <v>808</v>
      </c>
      <c r="B83" s="661" t="s">
        <v>35</v>
      </c>
      <c r="C83" s="661"/>
      <c r="D83" s="661" t="s">
        <v>43</v>
      </c>
      <c r="E83" s="661"/>
      <c r="F83" s="662" t="s">
        <v>633</v>
      </c>
      <c r="G83" s="900"/>
      <c r="H83" s="900"/>
      <c r="I83" s="900"/>
      <c r="J83" s="955"/>
      <c r="K83" s="987" t="s">
        <v>1258</v>
      </c>
      <c r="L83" s="126"/>
      <c r="M83" s="127">
        <v>130</v>
      </c>
      <c r="N83" s="127">
        <v>1</v>
      </c>
      <c r="O83" s="124">
        <v>700</v>
      </c>
      <c r="P83" s="660" t="s">
        <v>38</v>
      </c>
      <c r="Q83" s="660"/>
      <c r="R83" s="660"/>
    </row>
    <row r="84" spans="1:18" ht="16.2" customHeight="1">
      <c r="A84" s="973"/>
      <c r="B84" s="661" t="s">
        <v>119</v>
      </c>
      <c r="C84" s="661"/>
      <c r="D84" s="661" t="s">
        <v>43</v>
      </c>
      <c r="E84" s="661"/>
      <c r="F84" s="662" t="s">
        <v>1186</v>
      </c>
      <c r="G84" s="900"/>
      <c r="H84" s="900"/>
      <c r="I84" s="900"/>
      <c r="J84" s="956"/>
      <c r="K84" s="988"/>
      <c r="L84" s="126"/>
      <c r="M84" s="127"/>
      <c r="N84" s="127"/>
      <c r="O84" s="124"/>
      <c r="P84" s="660"/>
      <c r="Q84" s="660"/>
      <c r="R84" s="660"/>
    </row>
    <row r="85" spans="1:18" ht="16.2" customHeight="1">
      <c r="A85" s="973" t="s">
        <v>732</v>
      </c>
      <c r="B85" s="661" t="s">
        <v>199</v>
      </c>
      <c r="C85" s="661"/>
      <c r="D85" s="661" t="s">
        <v>17</v>
      </c>
      <c r="E85" s="661"/>
      <c r="F85" s="662" t="s">
        <v>629</v>
      </c>
      <c r="G85" s="900"/>
      <c r="H85" s="900"/>
      <c r="I85" s="900"/>
      <c r="J85" s="985" t="s">
        <v>1270</v>
      </c>
      <c r="K85" s="957"/>
      <c r="L85" s="126"/>
      <c r="M85" s="127">
        <v>130</v>
      </c>
      <c r="N85" s="127">
        <v>1</v>
      </c>
      <c r="O85" s="124">
        <v>2130</v>
      </c>
      <c r="P85" s="660" t="s">
        <v>631</v>
      </c>
      <c r="Q85" s="660"/>
      <c r="R85" s="660"/>
    </row>
    <row r="86" spans="1:18" ht="16.2" customHeight="1">
      <c r="A86" s="973"/>
      <c r="B86" s="661" t="s">
        <v>202</v>
      </c>
      <c r="C86" s="661"/>
      <c r="D86" s="661" t="s">
        <v>17</v>
      </c>
      <c r="E86" s="661"/>
      <c r="F86" s="662" t="s">
        <v>632</v>
      </c>
      <c r="G86" s="900"/>
      <c r="H86" s="900"/>
      <c r="I86" s="900"/>
      <c r="J86" s="986"/>
      <c r="K86" s="958"/>
      <c r="L86" s="126"/>
      <c r="M86" s="127"/>
      <c r="N86" s="127"/>
      <c r="O86" s="124"/>
      <c r="P86" s="660"/>
      <c r="Q86" s="660"/>
      <c r="R86" s="660"/>
    </row>
    <row r="87" spans="1:18" ht="16.2" customHeight="1">
      <c r="A87" s="973" t="s">
        <v>309</v>
      </c>
      <c r="B87" s="661" t="s">
        <v>10</v>
      </c>
      <c r="C87" s="661"/>
      <c r="D87" s="661" t="s">
        <v>11</v>
      </c>
      <c r="E87" s="661"/>
      <c r="F87" s="662" t="s">
        <v>624</v>
      </c>
      <c r="G87" s="900"/>
      <c r="H87" s="900"/>
      <c r="I87" s="900"/>
      <c r="J87" s="959" t="s">
        <v>1271</v>
      </c>
      <c r="K87" s="957" t="s">
        <v>1062</v>
      </c>
      <c r="L87" s="126"/>
      <c r="M87" s="127">
        <v>130</v>
      </c>
      <c r="N87" s="127">
        <v>1</v>
      </c>
      <c r="O87" s="124">
        <v>1230</v>
      </c>
      <c r="P87" s="980" t="s">
        <v>1268</v>
      </c>
      <c r="Q87" s="660"/>
      <c r="R87" s="660"/>
    </row>
    <row r="88" spans="1:18" ht="16.2" customHeight="1">
      <c r="A88" s="973"/>
      <c r="B88" s="661" t="s">
        <v>13</v>
      </c>
      <c r="C88" s="661"/>
      <c r="D88" s="661" t="s">
        <v>17</v>
      </c>
      <c r="E88" s="661"/>
      <c r="F88" s="662" t="s">
        <v>923</v>
      </c>
      <c r="G88" s="900"/>
      <c r="H88" s="900"/>
      <c r="I88" s="900"/>
      <c r="J88" s="960"/>
      <c r="K88" s="958"/>
      <c r="L88" s="126"/>
      <c r="M88" s="127"/>
      <c r="N88" s="127"/>
      <c r="O88" s="124"/>
      <c r="P88" s="660"/>
      <c r="Q88" s="660"/>
      <c r="R88" s="660"/>
    </row>
    <row r="89" spans="1:18" ht="16.2" customHeight="1">
      <c r="A89" s="718" t="s">
        <v>248</v>
      </c>
      <c r="B89" s="650" t="s">
        <v>81</v>
      </c>
      <c r="C89" s="650"/>
      <c r="D89" s="650" t="s">
        <v>17</v>
      </c>
      <c r="E89" s="650"/>
      <c r="F89" s="858" t="s">
        <v>637</v>
      </c>
      <c r="G89" s="900"/>
      <c r="H89" s="900"/>
      <c r="I89" s="900"/>
      <c r="J89" s="981" t="s">
        <v>1272</v>
      </c>
      <c r="K89" s="983" t="s">
        <v>1273</v>
      </c>
      <c r="L89" s="438"/>
      <c r="M89" s="127">
        <v>130</v>
      </c>
      <c r="N89" s="127">
        <v>1</v>
      </c>
      <c r="O89" s="51">
        <v>3130</v>
      </c>
      <c r="P89" s="870" t="s">
        <v>930</v>
      </c>
      <c r="Q89" s="657"/>
      <c r="R89" s="658"/>
    </row>
    <row r="90" spans="1:18" ht="16.2" customHeight="1">
      <c r="A90" s="665"/>
      <c r="B90" s="650" t="s">
        <v>131</v>
      </c>
      <c r="C90" s="650"/>
      <c r="D90" s="650" t="s">
        <v>11</v>
      </c>
      <c r="E90" s="650"/>
      <c r="F90" s="858" t="s">
        <v>463</v>
      </c>
      <c r="G90" s="900"/>
      <c r="H90" s="900"/>
      <c r="I90" s="900"/>
      <c r="J90" s="982"/>
      <c r="K90" s="984"/>
      <c r="L90" s="438"/>
      <c r="M90" s="127"/>
      <c r="N90" s="127"/>
      <c r="O90" s="124"/>
      <c r="P90" s="634"/>
      <c r="Q90" s="635"/>
      <c r="R90" s="636"/>
    </row>
    <row r="91" spans="1:18" ht="16.2" customHeight="1">
      <c r="A91" s="164" t="s">
        <v>155</v>
      </c>
      <c r="B91" s="650" t="s">
        <v>147</v>
      </c>
      <c r="C91" s="650"/>
      <c r="D91" s="650" t="s">
        <v>11</v>
      </c>
      <c r="E91" s="650"/>
      <c r="F91" s="858" t="s">
        <v>928</v>
      </c>
      <c r="G91" s="900"/>
      <c r="H91" s="900"/>
      <c r="I91" s="900"/>
      <c r="J91" s="132" t="s">
        <v>1281</v>
      </c>
      <c r="K91" s="130"/>
      <c r="L91" s="148" t="s">
        <v>425</v>
      </c>
      <c r="M91" s="132">
        <v>130</v>
      </c>
      <c r="N91" s="132">
        <v>1</v>
      </c>
      <c r="O91" s="32">
        <v>2630</v>
      </c>
      <c r="P91" s="660" t="s">
        <v>643</v>
      </c>
      <c r="Q91" s="660"/>
      <c r="R91" s="660"/>
    </row>
    <row r="92" spans="1:18" ht="30" customHeight="1">
      <c r="A92" s="60" t="s">
        <v>122</v>
      </c>
      <c r="B92" s="650" t="s">
        <v>147</v>
      </c>
      <c r="C92" s="650"/>
      <c r="D92" s="650" t="s">
        <v>49</v>
      </c>
      <c r="E92" s="650"/>
      <c r="F92" s="858" t="s">
        <v>602</v>
      </c>
      <c r="G92" s="859"/>
      <c r="H92" s="859"/>
      <c r="I92" s="859"/>
      <c r="J92" s="526" t="s">
        <v>1274</v>
      </c>
      <c r="K92" s="525" t="s">
        <v>1282</v>
      </c>
      <c r="L92" s="131" t="s">
        <v>470</v>
      </c>
      <c r="M92" s="132">
        <v>130</v>
      </c>
      <c r="N92" s="132">
        <v>1</v>
      </c>
      <c r="O92" s="32">
        <v>1530</v>
      </c>
      <c r="P92" s="660" t="s">
        <v>636</v>
      </c>
      <c r="Q92" s="660"/>
      <c r="R92" s="660"/>
    </row>
    <row r="93" spans="1:18" ht="16.2" customHeight="1">
      <c r="A93" s="60" t="s">
        <v>931</v>
      </c>
      <c r="B93" s="650" t="s">
        <v>164</v>
      </c>
      <c r="C93" s="650"/>
      <c r="D93" s="650" t="s">
        <v>468</v>
      </c>
      <c r="E93" s="650"/>
      <c r="F93" s="858" t="s">
        <v>640</v>
      </c>
      <c r="G93" s="900"/>
      <c r="H93" s="900"/>
      <c r="I93" s="900"/>
      <c r="J93" s="136"/>
      <c r="K93" s="137"/>
      <c r="L93" s="138" t="s">
        <v>425</v>
      </c>
      <c r="M93" s="136">
        <v>130</v>
      </c>
      <c r="N93" s="136">
        <v>1</v>
      </c>
      <c r="O93" s="52">
        <v>13130</v>
      </c>
      <c r="P93" s="660" t="s">
        <v>287</v>
      </c>
      <c r="Q93" s="660"/>
      <c r="R93" s="660"/>
    </row>
    <row r="94" spans="1:18" ht="16.2" customHeight="1">
      <c r="A94" s="665" t="s">
        <v>125</v>
      </c>
      <c r="B94" s="661" t="s">
        <v>199</v>
      </c>
      <c r="C94" s="661"/>
      <c r="D94" s="661" t="s">
        <v>14</v>
      </c>
      <c r="E94" s="661"/>
      <c r="F94" s="662" t="s">
        <v>979</v>
      </c>
      <c r="G94" s="900"/>
      <c r="H94" s="900"/>
      <c r="I94" s="900"/>
      <c r="J94" s="959" t="s">
        <v>1275</v>
      </c>
      <c r="K94" s="964" t="s">
        <v>1267</v>
      </c>
      <c r="L94" s="126"/>
      <c r="M94" s="127">
        <v>130</v>
      </c>
      <c r="N94" s="127">
        <v>1</v>
      </c>
      <c r="O94" s="124">
        <v>600</v>
      </c>
      <c r="P94" s="660" t="s">
        <v>126</v>
      </c>
      <c r="Q94" s="660"/>
      <c r="R94" s="660"/>
    </row>
    <row r="95" spans="1:18" ht="16.2" customHeight="1">
      <c r="A95" s="973"/>
      <c r="B95" s="661" t="s">
        <v>202</v>
      </c>
      <c r="C95" s="661"/>
      <c r="D95" s="661" t="s">
        <v>14</v>
      </c>
      <c r="E95" s="661"/>
      <c r="F95" s="662" t="s">
        <v>628</v>
      </c>
      <c r="G95" s="663"/>
      <c r="H95" s="663"/>
      <c r="I95" s="750"/>
      <c r="J95" s="960"/>
      <c r="K95" s="966"/>
      <c r="L95" s="126"/>
      <c r="M95" s="127"/>
      <c r="N95" s="127"/>
      <c r="O95" s="124"/>
      <c r="P95" s="660"/>
      <c r="Q95" s="660"/>
      <c r="R95" s="660"/>
    </row>
    <row r="96" spans="1:18" ht="16.2" customHeight="1">
      <c r="A96" s="718" t="s">
        <v>325</v>
      </c>
      <c r="B96" s="661" t="s">
        <v>10</v>
      </c>
      <c r="C96" s="661"/>
      <c r="D96" s="661" t="s">
        <v>49</v>
      </c>
      <c r="E96" s="661"/>
      <c r="F96" s="662" t="s">
        <v>621</v>
      </c>
      <c r="G96" s="663"/>
      <c r="H96" s="663"/>
      <c r="I96" s="663"/>
      <c r="J96" s="654" t="s">
        <v>1283</v>
      </c>
      <c r="K96" s="957"/>
      <c r="L96" s="126"/>
      <c r="M96" s="127">
        <v>130</v>
      </c>
      <c r="N96" s="127">
        <v>1</v>
      </c>
      <c r="O96" s="124">
        <v>700</v>
      </c>
      <c r="P96" s="660" t="s">
        <v>623</v>
      </c>
      <c r="Q96" s="660"/>
      <c r="R96" s="660"/>
    </row>
    <row r="97" spans="1:18" ht="16.2" customHeight="1" thickBot="1">
      <c r="A97" s="665"/>
      <c r="B97" s="979" t="s">
        <v>13</v>
      </c>
      <c r="C97" s="979"/>
      <c r="D97" s="979" t="s">
        <v>11</v>
      </c>
      <c r="E97" s="979"/>
      <c r="F97" s="662" t="s">
        <v>328</v>
      </c>
      <c r="G97" s="663"/>
      <c r="H97" s="663"/>
      <c r="I97" s="663"/>
      <c r="J97" s="655"/>
      <c r="K97" s="958"/>
      <c r="L97" s="259"/>
      <c r="M97" s="362"/>
      <c r="N97" s="362"/>
      <c r="O97" s="363"/>
      <c r="P97" s="660"/>
      <c r="Q97" s="660"/>
      <c r="R97" s="660"/>
    </row>
    <row r="98" spans="1:18" ht="16.2" customHeight="1" thickTop="1">
      <c r="A98" s="772" t="s">
        <v>66</v>
      </c>
      <c r="B98" s="637" t="s">
        <v>10</v>
      </c>
      <c r="C98" s="637"/>
      <c r="D98" s="638" t="s">
        <v>14</v>
      </c>
      <c r="E98" s="639"/>
      <c r="F98" s="974" t="s">
        <v>644</v>
      </c>
      <c r="G98" s="975"/>
      <c r="H98" s="975"/>
      <c r="I98" s="975"/>
      <c r="J98" s="976" t="s">
        <v>1276</v>
      </c>
      <c r="K98" s="972" t="s">
        <v>1284</v>
      </c>
      <c r="L98" s="144"/>
      <c r="M98" s="145">
        <v>130</v>
      </c>
      <c r="N98" s="145">
        <v>1</v>
      </c>
      <c r="O98" s="51">
        <v>700</v>
      </c>
      <c r="P98" s="732" t="s">
        <v>645</v>
      </c>
      <c r="Q98" s="733"/>
      <c r="R98" s="734"/>
    </row>
    <row r="99" spans="1:18" ht="16.2" customHeight="1">
      <c r="A99" s="664"/>
      <c r="B99" s="637" t="s">
        <v>81</v>
      </c>
      <c r="C99" s="637"/>
      <c r="D99" s="638" t="s">
        <v>14</v>
      </c>
      <c r="E99" s="639"/>
      <c r="F99" s="662" t="s">
        <v>361</v>
      </c>
      <c r="G99" s="900"/>
      <c r="H99" s="900"/>
      <c r="I99" s="900"/>
      <c r="J99" s="977"/>
      <c r="K99" s="965"/>
      <c r="L99" s="144"/>
      <c r="M99" s="127"/>
      <c r="N99" s="127"/>
      <c r="O99" s="124"/>
      <c r="P99" s="631"/>
      <c r="Q99" s="632"/>
      <c r="R99" s="633"/>
    </row>
    <row r="100" spans="1:18" ht="16.2" customHeight="1">
      <c r="A100" s="665"/>
      <c r="B100" s="661" t="s">
        <v>131</v>
      </c>
      <c r="C100" s="661"/>
      <c r="D100" s="661" t="s">
        <v>11</v>
      </c>
      <c r="E100" s="661"/>
      <c r="F100" s="662" t="s">
        <v>362</v>
      </c>
      <c r="G100" s="900"/>
      <c r="H100" s="900"/>
      <c r="I100" s="978"/>
      <c r="J100" s="956"/>
      <c r="K100" s="966"/>
      <c r="L100" s="126"/>
      <c r="M100" s="127"/>
      <c r="N100" s="127"/>
      <c r="O100" s="124"/>
      <c r="P100" s="634"/>
      <c r="Q100" s="635"/>
      <c r="R100" s="636"/>
    </row>
    <row r="101" spans="1:18" ht="16.2" customHeight="1">
      <c r="A101" s="664" t="s">
        <v>130</v>
      </c>
      <c r="B101" s="637" t="s">
        <v>10</v>
      </c>
      <c r="C101" s="637"/>
      <c r="D101" s="638" t="s">
        <v>14</v>
      </c>
      <c r="E101" s="639"/>
      <c r="F101" s="666" t="s">
        <v>644</v>
      </c>
      <c r="G101" s="850"/>
      <c r="H101" s="850"/>
      <c r="I101" s="850"/>
      <c r="J101" s="959" t="s">
        <v>1285</v>
      </c>
      <c r="K101" s="964" t="s">
        <v>1267</v>
      </c>
      <c r="L101" s="144"/>
      <c r="M101" s="127">
        <v>130</v>
      </c>
      <c r="N101" s="127">
        <v>1</v>
      </c>
      <c r="O101" s="124">
        <v>1530</v>
      </c>
      <c r="P101" s="857" t="s">
        <v>649</v>
      </c>
      <c r="Q101" s="967"/>
      <c r="R101" s="968"/>
    </row>
    <row r="102" spans="1:18" ht="16.2" customHeight="1">
      <c r="A102" s="664"/>
      <c r="B102" s="637" t="s">
        <v>81</v>
      </c>
      <c r="C102" s="637"/>
      <c r="D102" s="638" t="s">
        <v>14</v>
      </c>
      <c r="E102" s="639"/>
      <c r="F102" s="662" t="s">
        <v>361</v>
      </c>
      <c r="G102" s="900"/>
      <c r="H102" s="900"/>
      <c r="I102" s="900"/>
      <c r="J102" s="963"/>
      <c r="K102" s="965"/>
      <c r="L102" s="126"/>
      <c r="M102" s="127"/>
      <c r="N102" s="127"/>
      <c r="O102" s="124"/>
      <c r="P102" s="857"/>
      <c r="Q102" s="967"/>
      <c r="R102" s="968"/>
    </row>
    <row r="103" spans="1:18" ht="16.2" customHeight="1">
      <c r="A103" s="665"/>
      <c r="B103" s="661" t="s">
        <v>131</v>
      </c>
      <c r="C103" s="661"/>
      <c r="D103" s="661" t="s">
        <v>11</v>
      </c>
      <c r="E103" s="661"/>
      <c r="F103" s="662" t="s">
        <v>362</v>
      </c>
      <c r="G103" s="900"/>
      <c r="H103" s="900"/>
      <c r="I103" s="900"/>
      <c r="J103" s="960"/>
      <c r="K103" s="966"/>
      <c r="L103" s="126"/>
      <c r="M103" s="127"/>
      <c r="N103" s="127"/>
      <c r="O103" s="124"/>
      <c r="P103" s="969"/>
      <c r="Q103" s="970"/>
      <c r="R103" s="971"/>
    </row>
    <row r="104" spans="1:18" ht="30" customHeight="1">
      <c r="A104" s="60" t="s">
        <v>567</v>
      </c>
      <c r="B104" s="650" t="s">
        <v>164</v>
      </c>
      <c r="C104" s="650"/>
      <c r="D104" s="650" t="s">
        <v>63</v>
      </c>
      <c r="E104" s="650"/>
      <c r="F104" s="858" t="s">
        <v>654</v>
      </c>
      <c r="G104" s="900"/>
      <c r="H104" s="900"/>
      <c r="I104" s="900"/>
      <c r="J104" s="527" t="s">
        <v>1288</v>
      </c>
      <c r="K104" s="147" t="s">
        <v>1036</v>
      </c>
      <c r="L104" s="148" t="s">
        <v>425</v>
      </c>
      <c r="M104" s="132">
        <v>130</v>
      </c>
      <c r="N104" s="132">
        <v>1</v>
      </c>
      <c r="O104" s="32">
        <v>4630</v>
      </c>
      <c r="P104" s="660" t="s">
        <v>656</v>
      </c>
      <c r="Q104" s="660"/>
      <c r="R104" s="660"/>
    </row>
    <row r="105" spans="1:18" ht="16.2" customHeight="1">
      <c r="A105" s="973" t="s">
        <v>767</v>
      </c>
      <c r="B105" s="661" t="s">
        <v>657</v>
      </c>
      <c r="C105" s="661"/>
      <c r="D105" s="661" t="s">
        <v>11</v>
      </c>
      <c r="E105" s="661"/>
      <c r="F105" s="662" t="s">
        <v>924</v>
      </c>
      <c r="G105" s="900"/>
      <c r="H105" s="900"/>
      <c r="I105" s="900"/>
      <c r="J105" s="959" t="s">
        <v>1277</v>
      </c>
      <c r="K105" s="957"/>
      <c r="L105" s="126"/>
      <c r="M105" s="127">
        <v>130</v>
      </c>
      <c r="N105" s="127">
        <v>1</v>
      </c>
      <c r="O105" s="124">
        <v>500</v>
      </c>
      <c r="P105" s="660" t="s">
        <v>659</v>
      </c>
      <c r="Q105" s="660"/>
      <c r="R105" s="660"/>
    </row>
    <row r="106" spans="1:18" ht="16.2" customHeight="1">
      <c r="A106" s="973"/>
      <c r="B106" s="661" t="s">
        <v>660</v>
      </c>
      <c r="C106" s="661"/>
      <c r="D106" s="661" t="s">
        <v>11</v>
      </c>
      <c r="E106" s="661"/>
      <c r="F106" s="662" t="s">
        <v>925</v>
      </c>
      <c r="G106" s="900"/>
      <c r="H106" s="900"/>
      <c r="I106" s="900"/>
      <c r="J106" s="960"/>
      <c r="K106" s="958"/>
      <c r="L106" s="126"/>
      <c r="M106" s="127"/>
      <c r="N106" s="127"/>
      <c r="O106" s="124"/>
      <c r="P106" s="660"/>
      <c r="Q106" s="660"/>
      <c r="R106" s="660"/>
    </row>
    <row r="107" spans="1:18" ht="16.2" customHeight="1">
      <c r="A107" s="718" t="s">
        <v>768</v>
      </c>
      <c r="B107" s="661" t="s">
        <v>10</v>
      </c>
      <c r="C107" s="661"/>
      <c r="D107" s="661" t="s">
        <v>17</v>
      </c>
      <c r="E107" s="661"/>
      <c r="F107" s="662" t="s">
        <v>662</v>
      </c>
      <c r="G107" s="900"/>
      <c r="H107" s="900"/>
      <c r="I107" s="900"/>
      <c r="J107" s="959" t="s">
        <v>1278</v>
      </c>
      <c r="K107" s="961" t="s">
        <v>1287</v>
      </c>
      <c r="L107" s="144"/>
      <c r="M107" s="127">
        <v>130</v>
      </c>
      <c r="N107" s="127">
        <v>1</v>
      </c>
      <c r="O107" s="124">
        <v>1230</v>
      </c>
      <c r="P107" s="660" t="s">
        <v>220</v>
      </c>
      <c r="Q107" s="660"/>
      <c r="R107" s="660"/>
    </row>
    <row r="108" spans="1:18" ht="30" customHeight="1">
      <c r="A108" s="665"/>
      <c r="B108" s="661" t="s">
        <v>13</v>
      </c>
      <c r="C108" s="661"/>
      <c r="D108" s="661" t="s">
        <v>11</v>
      </c>
      <c r="E108" s="661"/>
      <c r="F108" s="662" t="s">
        <v>926</v>
      </c>
      <c r="G108" s="900"/>
      <c r="H108" s="900"/>
      <c r="I108" s="900"/>
      <c r="J108" s="960"/>
      <c r="K108" s="962"/>
      <c r="L108" s="144"/>
      <c r="M108" s="127"/>
      <c r="N108" s="127"/>
      <c r="O108" s="124"/>
      <c r="P108" s="660"/>
      <c r="Q108" s="660"/>
      <c r="R108" s="660"/>
    </row>
    <row r="109" spans="1:18" ht="30" customHeight="1">
      <c r="A109" s="164" t="s">
        <v>352</v>
      </c>
      <c r="B109" s="650" t="s">
        <v>932</v>
      </c>
      <c r="C109" s="650"/>
      <c r="D109" s="650" t="s">
        <v>933</v>
      </c>
      <c r="E109" s="650"/>
      <c r="F109" s="858" t="s">
        <v>964</v>
      </c>
      <c r="G109" s="900"/>
      <c r="H109" s="900"/>
      <c r="I109" s="900"/>
      <c r="J109" s="258" t="s">
        <v>1279</v>
      </c>
      <c r="K109" s="525" t="s">
        <v>1286</v>
      </c>
      <c r="L109" s="148" t="s">
        <v>425</v>
      </c>
      <c r="M109" s="132">
        <v>130</v>
      </c>
      <c r="N109" s="132">
        <v>1</v>
      </c>
      <c r="O109" s="32">
        <v>5130</v>
      </c>
      <c r="P109" s="660" t="s">
        <v>643</v>
      </c>
      <c r="Q109" s="660"/>
      <c r="R109" s="660"/>
    </row>
    <row r="110" spans="1:18" ht="16.2" customHeight="1">
      <c r="A110" s="60" t="s">
        <v>283</v>
      </c>
      <c r="B110" s="650" t="s">
        <v>147</v>
      </c>
      <c r="C110" s="650"/>
      <c r="D110" s="650" t="s">
        <v>11</v>
      </c>
      <c r="E110" s="650"/>
      <c r="F110" s="858" t="s">
        <v>928</v>
      </c>
      <c r="G110" s="900"/>
      <c r="H110" s="900"/>
      <c r="I110" s="900"/>
      <c r="J110" s="132"/>
      <c r="K110" s="130"/>
      <c r="L110" s="148" t="s">
        <v>425</v>
      </c>
      <c r="M110" s="132">
        <v>130</v>
      </c>
      <c r="N110" s="132">
        <v>1</v>
      </c>
      <c r="O110" s="32">
        <v>5130</v>
      </c>
      <c r="P110" s="660" t="s">
        <v>643</v>
      </c>
      <c r="Q110" s="660"/>
      <c r="R110" s="660"/>
    </row>
    <row r="111" spans="1:18" ht="16.2" customHeight="1">
      <c r="A111" s="973" t="s">
        <v>927</v>
      </c>
      <c r="B111" s="661" t="s">
        <v>199</v>
      </c>
      <c r="C111" s="661"/>
      <c r="D111" s="661" t="s">
        <v>11</v>
      </c>
      <c r="E111" s="661"/>
      <c r="F111" s="662" t="s">
        <v>650</v>
      </c>
      <c r="G111" s="900"/>
      <c r="H111" s="900"/>
      <c r="I111" s="900"/>
      <c r="J111" s="959" t="s">
        <v>1280</v>
      </c>
      <c r="K111" s="957"/>
      <c r="L111" s="144"/>
      <c r="M111" s="127">
        <v>130</v>
      </c>
      <c r="N111" s="127">
        <v>1</v>
      </c>
      <c r="O111" s="124">
        <v>2130</v>
      </c>
      <c r="P111" s="656" t="s">
        <v>652</v>
      </c>
      <c r="Q111" s="657"/>
      <c r="R111" s="658"/>
    </row>
    <row r="112" spans="1:18" ht="16.2" customHeight="1">
      <c r="A112" s="973"/>
      <c r="B112" s="661" t="s">
        <v>202</v>
      </c>
      <c r="C112" s="661"/>
      <c r="D112" s="661" t="s">
        <v>11</v>
      </c>
      <c r="E112" s="661"/>
      <c r="F112" s="662" t="s">
        <v>929</v>
      </c>
      <c r="G112" s="900"/>
      <c r="H112" s="900"/>
      <c r="I112" s="900"/>
      <c r="J112" s="960"/>
      <c r="K112" s="958"/>
      <c r="L112" s="144"/>
      <c r="M112" s="127"/>
      <c r="N112" s="127"/>
      <c r="O112" s="124"/>
      <c r="P112" s="634"/>
      <c r="Q112" s="635"/>
      <c r="R112" s="636"/>
    </row>
    <row r="113" spans="1:32" ht="18" customHeight="1">
      <c r="A113" s="278" t="s">
        <v>1376</v>
      </c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</row>
    <row r="114" spans="1:32" ht="18" customHeight="1">
      <c r="A114" s="279" t="s">
        <v>1383</v>
      </c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</row>
    <row r="118" spans="1:32" ht="18.600000000000001" thickBot="1"/>
    <row r="119" spans="1:32" ht="18" customHeight="1">
      <c r="U119" s="832" t="s">
        <v>1356</v>
      </c>
      <c r="V119" s="644" t="s">
        <v>1357</v>
      </c>
      <c r="W119" s="644"/>
      <c r="X119" s="644" t="s">
        <v>1358</v>
      </c>
      <c r="Y119" s="644"/>
      <c r="Z119" s="644"/>
      <c r="AA119" s="644"/>
      <c r="AB119" s="644"/>
      <c r="AC119" s="644"/>
      <c r="AD119" s="553" t="s">
        <v>1359</v>
      </c>
      <c r="AE119" s="553" t="s">
        <v>1360</v>
      </c>
      <c r="AF119" s="554" t="s">
        <v>1361</v>
      </c>
    </row>
    <row r="120" spans="1:32">
      <c r="S120" s="1" t="s">
        <v>1550</v>
      </c>
      <c r="U120" s="833"/>
      <c r="V120" s="645"/>
      <c r="W120" s="646"/>
      <c r="X120" s="646"/>
      <c r="Y120" s="646"/>
      <c r="Z120" s="646"/>
      <c r="AA120" s="646"/>
      <c r="AB120" s="646"/>
      <c r="AC120" s="646"/>
      <c r="AD120" s="555"/>
      <c r="AE120" s="555"/>
      <c r="AF120" s="556"/>
    </row>
    <row r="121" spans="1:32" ht="18" customHeight="1">
      <c r="U121" s="833"/>
      <c r="V121" s="645"/>
      <c r="W121" s="646"/>
      <c r="X121" s="646"/>
      <c r="Y121" s="646"/>
      <c r="Z121" s="646"/>
      <c r="AA121" s="646"/>
      <c r="AB121" s="646"/>
      <c r="AC121" s="646"/>
      <c r="AD121" s="555"/>
      <c r="AE121" s="555"/>
      <c r="AF121" s="556"/>
    </row>
    <row r="122" spans="1:32" ht="18.600000000000001" thickBot="1">
      <c r="U122" s="834"/>
      <c r="V122" s="647" t="s">
        <v>1384</v>
      </c>
      <c r="W122" s="617"/>
      <c r="X122" s="617" t="s">
        <v>1363</v>
      </c>
      <c r="Y122" s="617"/>
      <c r="Z122" s="617"/>
      <c r="AA122" s="617"/>
      <c r="AB122" s="617"/>
      <c r="AC122" s="617"/>
      <c r="AD122" s="557" t="s">
        <v>1364</v>
      </c>
      <c r="AE122" s="557" t="s">
        <v>1365</v>
      </c>
      <c r="AF122" s="558" t="s">
        <v>1366</v>
      </c>
    </row>
  </sheetData>
  <mergeCells count="470">
    <mergeCell ref="D9:E9"/>
    <mergeCell ref="F9:I9"/>
    <mergeCell ref="M4:M5"/>
    <mergeCell ref="N4:N5"/>
    <mergeCell ref="O4:O5"/>
    <mergeCell ref="P4:R5"/>
    <mergeCell ref="A4:A5"/>
    <mergeCell ref="B4:C5"/>
    <mergeCell ref="D4:E5"/>
    <mergeCell ref="F4:I5"/>
    <mergeCell ref="J4:J5"/>
    <mergeCell ref="K4:K5"/>
    <mergeCell ref="A14:A15"/>
    <mergeCell ref="B14:C14"/>
    <mergeCell ref="D14:E14"/>
    <mergeCell ref="F14:I14"/>
    <mergeCell ref="J14:J15"/>
    <mergeCell ref="K14:K15"/>
    <mergeCell ref="P6:R7"/>
    <mergeCell ref="B7:C7"/>
    <mergeCell ref="D7:E7"/>
    <mergeCell ref="F7:I7"/>
    <mergeCell ref="A8:A9"/>
    <mergeCell ref="B8:C8"/>
    <mergeCell ref="D8:E8"/>
    <mergeCell ref="F8:I8"/>
    <mergeCell ref="J8:J9"/>
    <mergeCell ref="K8:K9"/>
    <mergeCell ref="A6:A7"/>
    <mergeCell ref="B6:C6"/>
    <mergeCell ref="D6:E6"/>
    <mergeCell ref="F6:I6"/>
    <mergeCell ref="J6:J7"/>
    <mergeCell ref="K6:K7"/>
    <mergeCell ref="P8:R9"/>
    <mergeCell ref="B9:C9"/>
    <mergeCell ref="P10:R11"/>
    <mergeCell ref="B11:C11"/>
    <mergeCell ref="D11:E11"/>
    <mergeCell ref="F11:I11"/>
    <mergeCell ref="A12:A13"/>
    <mergeCell ref="B12:C12"/>
    <mergeCell ref="D12:E12"/>
    <mergeCell ref="F12:I12"/>
    <mergeCell ref="J12:J13"/>
    <mergeCell ref="K12:K13"/>
    <mergeCell ref="A10:A11"/>
    <mergeCell ref="B10:C10"/>
    <mergeCell ref="D10:E10"/>
    <mergeCell ref="F10:I10"/>
    <mergeCell ref="J10:J11"/>
    <mergeCell ref="K10:K11"/>
    <mergeCell ref="P14:R15"/>
    <mergeCell ref="B15:C15"/>
    <mergeCell ref="D15:E15"/>
    <mergeCell ref="F15:I15"/>
    <mergeCell ref="B16:C16"/>
    <mergeCell ref="D16:E16"/>
    <mergeCell ref="F16:I16"/>
    <mergeCell ref="P16:R16"/>
    <mergeCell ref="P12:R13"/>
    <mergeCell ref="B13:C13"/>
    <mergeCell ref="D13:E13"/>
    <mergeCell ref="F13:I13"/>
    <mergeCell ref="A21:A23"/>
    <mergeCell ref="B21:C21"/>
    <mergeCell ref="D21:E21"/>
    <mergeCell ref="F21:I21"/>
    <mergeCell ref="J21:J23"/>
    <mergeCell ref="K21:K23"/>
    <mergeCell ref="P17:R18"/>
    <mergeCell ref="B18:C18"/>
    <mergeCell ref="D18:E18"/>
    <mergeCell ref="F18:I18"/>
    <mergeCell ref="B19:C19"/>
    <mergeCell ref="D19:E19"/>
    <mergeCell ref="F19:I19"/>
    <mergeCell ref="P19:R19"/>
    <mergeCell ref="A17:A18"/>
    <mergeCell ref="B17:C17"/>
    <mergeCell ref="D17:E17"/>
    <mergeCell ref="F17:I17"/>
    <mergeCell ref="J17:J18"/>
    <mergeCell ref="K17:K18"/>
    <mergeCell ref="P21:R23"/>
    <mergeCell ref="B22:C22"/>
    <mergeCell ref="D22:E22"/>
    <mergeCell ref="F22:I22"/>
    <mergeCell ref="B23:C23"/>
    <mergeCell ref="D23:E23"/>
    <mergeCell ref="F23:I23"/>
    <mergeCell ref="B20:C20"/>
    <mergeCell ref="D20:E20"/>
    <mergeCell ref="F20:I20"/>
    <mergeCell ref="P20:R20"/>
    <mergeCell ref="P24:R26"/>
    <mergeCell ref="B25:C25"/>
    <mergeCell ref="D25:E25"/>
    <mergeCell ref="F25:I25"/>
    <mergeCell ref="B26:C26"/>
    <mergeCell ref="D26:E26"/>
    <mergeCell ref="F26:I26"/>
    <mergeCell ref="A24:A26"/>
    <mergeCell ref="B24:C24"/>
    <mergeCell ref="D24:E24"/>
    <mergeCell ref="F24:I24"/>
    <mergeCell ref="J24:J26"/>
    <mergeCell ref="K24:K26"/>
    <mergeCell ref="P27:R28"/>
    <mergeCell ref="B28:C28"/>
    <mergeCell ref="D28:E28"/>
    <mergeCell ref="F28:I28"/>
    <mergeCell ref="B29:C29"/>
    <mergeCell ref="D29:E29"/>
    <mergeCell ref="F29:I29"/>
    <mergeCell ref="P29:R29"/>
    <mergeCell ref="A27:A28"/>
    <mergeCell ref="B27:C27"/>
    <mergeCell ref="D27:E27"/>
    <mergeCell ref="F27:I27"/>
    <mergeCell ref="J27:J28"/>
    <mergeCell ref="K27:K28"/>
    <mergeCell ref="P32:R33"/>
    <mergeCell ref="B33:C33"/>
    <mergeCell ref="D33:E33"/>
    <mergeCell ref="F33:I33"/>
    <mergeCell ref="P30:R31"/>
    <mergeCell ref="B31:C31"/>
    <mergeCell ref="D31:E31"/>
    <mergeCell ref="F31:I31"/>
    <mergeCell ref="A32:A33"/>
    <mergeCell ref="B32:C32"/>
    <mergeCell ref="D32:E32"/>
    <mergeCell ref="F32:I32"/>
    <mergeCell ref="J32:J33"/>
    <mergeCell ref="K32:K33"/>
    <mergeCell ref="A30:A31"/>
    <mergeCell ref="B30:C30"/>
    <mergeCell ref="D30:E30"/>
    <mergeCell ref="F30:I30"/>
    <mergeCell ref="J30:J31"/>
    <mergeCell ref="K30:K31"/>
    <mergeCell ref="P38:R39"/>
    <mergeCell ref="A42:A43"/>
    <mergeCell ref="B42:C42"/>
    <mergeCell ref="D42:E42"/>
    <mergeCell ref="F42:I42"/>
    <mergeCell ref="J42:J43"/>
    <mergeCell ref="K42:K43"/>
    <mergeCell ref="P42:R43"/>
    <mergeCell ref="B43:C43"/>
    <mergeCell ref="D43:E43"/>
    <mergeCell ref="F43:I43"/>
    <mergeCell ref="A38:A39"/>
    <mergeCell ref="B38:C39"/>
    <mergeCell ref="D38:E39"/>
    <mergeCell ref="F38:I39"/>
    <mergeCell ref="J38:J39"/>
    <mergeCell ref="K38:K39"/>
    <mergeCell ref="M38:M39"/>
    <mergeCell ref="N38:N39"/>
    <mergeCell ref="O38:O39"/>
    <mergeCell ref="A40:A41"/>
    <mergeCell ref="B40:C40"/>
    <mergeCell ref="D40:E40"/>
    <mergeCell ref="F40:I40"/>
    <mergeCell ref="A44:A45"/>
    <mergeCell ref="B44:C44"/>
    <mergeCell ref="D44:E44"/>
    <mergeCell ref="F44:I44"/>
    <mergeCell ref="J44:J45"/>
    <mergeCell ref="K44:K45"/>
    <mergeCell ref="P44:R45"/>
    <mergeCell ref="B45:C45"/>
    <mergeCell ref="D45:E45"/>
    <mergeCell ref="F45:I45"/>
    <mergeCell ref="A46:A47"/>
    <mergeCell ref="B46:C46"/>
    <mergeCell ref="D46:E46"/>
    <mergeCell ref="F46:I46"/>
    <mergeCell ref="J46:J47"/>
    <mergeCell ref="K46:K47"/>
    <mergeCell ref="P46:R47"/>
    <mergeCell ref="B47:C47"/>
    <mergeCell ref="D47:E47"/>
    <mergeCell ref="F47:I47"/>
    <mergeCell ref="A51:A52"/>
    <mergeCell ref="B51:C51"/>
    <mergeCell ref="D51:E51"/>
    <mergeCell ref="F51:I51"/>
    <mergeCell ref="J51:J52"/>
    <mergeCell ref="K51:K52"/>
    <mergeCell ref="P51:R52"/>
    <mergeCell ref="B52:C52"/>
    <mergeCell ref="D52:E52"/>
    <mergeCell ref="F52:I52"/>
    <mergeCell ref="K55:K56"/>
    <mergeCell ref="P55:R56"/>
    <mergeCell ref="B56:C56"/>
    <mergeCell ref="D56:E56"/>
    <mergeCell ref="F56:I56"/>
    <mergeCell ref="A53:A54"/>
    <mergeCell ref="B53:C53"/>
    <mergeCell ref="D53:E53"/>
    <mergeCell ref="F53:I53"/>
    <mergeCell ref="J53:J54"/>
    <mergeCell ref="K53:K54"/>
    <mergeCell ref="P53:R54"/>
    <mergeCell ref="B54:C54"/>
    <mergeCell ref="D54:E54"/>
    <mergeCell ref="F54:I54"/>
    <mergeCell ref="F58:I58"/>
    <mergeCell ref="B59:C59"/>
    <mergeCell ref="D59:E59"/>
    <mergeCell ref="F59:I59"/>
    <mergeCell ref="B55:C55"/>
    <mergeCell ref="D55:E55"/>
    <mergeCell ref="F55:I55"/>
    <mergeCell ref="A55:A56"/>
    <mergeCell ref="J55:J56"/>
    <mergeCell ref="B48:C48"/>
    <mergeCell ref="D48:E48"/>
    <mergeCell ref="F48:I48"/>
    <mergeCell ref="P48:R48"/>
    <mergeCell ref="A66:A67"/>
    <mergeCell ref="B66:C66"/>
    <mergeCell ref="D66:E66"/>
    <mergeCell ref="F66:I66"/>
    <mergeCell ref="J66:J67"/>
    <mergeCell ref="K66:K67"/>
    <mergeCell ref="P66:R67"/>
    <mergeCell ref="B67:C67"/>
    <mergeCell ref="D67:E67"/>
    <mergeCell ref="F67:I67"/>
    <mergeCell ref="A60:A62"/>
    <mergeCell ref="B60:C60"/>
    <mergeCell ref="D60:E60"/>
    <mergeCell ref="F60:I60"/>
    <mergeCell ref="J60:J62"/>
    <mergeCell ref="K60:K62"/>
    <mergeCell ref="P60:R62"/>
    <mergeCell ref="B61:C61"/>
    <mergeCell ref="D61:E61"/>
    <mergeCell ref="F61:I61"/>
    <mergeCell ref="A70:A71"/>
    <mergeCell ref="B70:C70"/>
    <mergeCell ref="D70:E70"/>
    <mergeCell ref="F70:I70"/>
    <mergeCell ref="B49:C49"/>
    <mergeCell ref="D49:E49"/>
    <mergeCell ref="F49:I49"/>
    <mergeCell ref="P49:R49"/>
    <mergeCell ref="B50:C50"/>
    <mergeCell ref="D50:E50"/>
    <mergeCell ref="F50:I50"/>
    <mergeCell ref="P50:R50"/>
    <mergeCell ref="B62:C62"/>
    <mergeCell ref="D62:E62"/>
    <mergeCell ref="F62:I62"/>
    <mergeCell ref="A57:A59"/>
    <mergeCell ref="B57:C57"/>
    <mergeCell ref="D57:E57"/>
    <mergeCell ref="F57:I57"/>
    <mergeCell ref="J57:J59"/>
    <mergeCell ref="K57:K59"/>
    <mergeCell ref="P57:R59"/>
    <mergeCell ref="B58:C58"/>
    <mergeCell ref="D58:E58"/>
    <mergeCell ref="B63:C63"/>
    <mergeCell ref="D63:E63"/>
    <mergeCell ref="F63:I63"/>
    <mergeCell ref="P63:R63"/>
    <mergeCell ref="B64:C64"/>
    <mergeCell ref="D64:E64"/>
    <mergeCell ref="F64:I64"/>
    <mergeCell ref="A64:A65"/>
    <mergeCell ref="J64:J65"/>
    <mergeCell ref="K64:K65"/>
    <mergeCell ref="P64:R65"/>
    <mergeCell ref="B65:C65"/>
    <mergeCell ref="D65:E65"/>
    <mergeCell ref="F65:I65"/>
    <mergeCell ref="A79:A80"/>
    <mergeCell ref="B79:C80"/>
    <mergeCell ref="D79:E80"/>
    <mergeCell ref="F79:I80"/>
    <mergeCell ref="J79:J80"/>
    <mergeCell ref="K79:K80"/>
    <mergeCell ref="M79:M80"/>
    <mergeCell ref="N79:N80"/>
    <mergeCell ref="A83:A84"/>
    <mergeCell ref="B83:C83"/>
    <mergeCell ref="D83:E83"/>
    <mergeCell ref="F83:I83"/>
    <mergeCell ref="J83:J84"/>
    <mergeCell ref="K83:K84"/>
    <mergeCell ref="D81:E81"/>
    <mergeCell ref="F81:I81"/>
    <mergeCell ref="B82:C82"/>
    <mergeCell ref="D82:E82"/>
    <mergeCell ref="F82:I82"/>
    <mergeCell ref="A81:A82"/>
    <mergeCell ref="B81:C81"/>
    <mergeCell ref="P83:R84"/>
    <mergeCell ref="B84:C84"/>
    <mergeCell ref="D84:E84"/>
    <mergeCell ref="F84:I84"/>
    <mergeCell ref="A85:A86"/>
    <mergeCell ref="B85:C85"/>
    <mergeCell ref="D85:E85"/>
    <mergeCell ref="F85:I85"/>
    <mergeCell ref="J85:J86"/>
    <mergeCell ref="K85:K86"/>
    <mergeCell ref="P85:R86"/>
    <mergeCell ref="B86:C86"/>
    <mergeCell ref="D86:E86"/>
    <mergeCell ref="F86:I86"/>
    <mergeCell ref="D90:E90"/>
    <mergeCell ref="F90:I90"/>
    <mergeCell ref="B91:C91"/>
    <mergeCell ref="D91:E91"/>
    <mergeCell ref="F91:I91"/>
    <mergeCell ref="P91:R91"/>
    <mergeCell ref="A87:A88"/>
    <mergeCell ref="B87:C87"/>
    <mergeCell ref="D87:E87"/>
    <mergeCell ref="F87:I87"/>
    <mergeCell ref="J87:J88"/>
    <mergeCell ref="K87:K88"/>
    <mergeCell ref="P87:R88"/>
    <mergeCell ref="B88:C88"/>
    <mergeCell ref="D88:E88"/>
    <mergeCell ref="F88:I88"/>
    <mergeCell ref="A89:A90"/>
    <mergeCell ref="J89:J90"/>
    <mergeCell ref="K89:K90"/>
    <mergeCell ref="P89:R90"/>
    <mergeCell ref="B89:C89"/>
    <mergeCell ref="D89:E89"/>
    <mergeCell ref="F89:I89"/>
    <mergeCell ref="B90:C90"/>
    <mergeCell ref="A94:A95"/>
    <mergeCell ref="B94:C94"/>
    <mergeCell ref="D94:E94"/>
    <mergeCell ref="F94:I94"/>
    <mergeCell ref="J94:J95"/>
    <mergeCell ref="K94:K95"/>
    <mergeCell ref="P94:R95"/>
    <mergeCell ref="B95:C95"/>
    <mergeCell ref="D95:E95"/>
    <mergeCell ref="F95:I95"/>
    <mergeCell ref="A96:A97"/>
    <mergeCell ref="B96:C96"/>
    <mergeCell ref="D96:E96"/>
    <mergeCell ref="F96:I96"/>
    <mergeCell ref="J96:J97"/>
    <mergeCell ref="K96:K97"/>
    <mergeCell ref="P96:R97"/>
    <mergeCell ref="B97:C97"/>
    <mergeCell ref="D97:E97"/>
    <mergeCell ref="F97:I97"/>
    <mergeCell ref="A98:A100"/>
    <mergeCell ref="B98:C98"/>
    <mergeCell ref="D98:E98"/>
    <mergeCell ref="F98:I98"/>
    <mergeCell ref="A101:A103"/>
    <mergeCell ref="B101:C101"/>
    <mergeCell ref="D101:E101"/>
    <mergeCell ref="F101:I101"/>
    <mergeCell ref="J98:J100"/>
    <mergeCell ref="B99:C99"/>
    <mergeCell ref="D99:E99"/>
    <mergeCell ref="F99:I99"/>
    <mergeCell ref="B100:C100"/>
    <mergeCell ref="D100:E100"/>
    <mergeCell ref="F100:I100"/>
    <mergeCell ref="B110:C110"/>
    <mergeCell ref="D110:E110"/>
    <mergeCell ref="F110:I110"/>
    <mergeCell ref="P110:R110"/>
    <mergeCell ref="A111:A112"/>
    <mergeCell ref="B111:C111"/>
    <mergeCell ref="D111:E111"/>
    <mergeCell ref="F111:I111"/>
    <mergeCell ref="J111:J112"/>
    <mergeCell ref="K111:K112"/>
    <mergeCell ref="P111:R112"/>
    <mergeCell ref="B112:C112"/>
    <mergeCell ref="D112:E112"/>
    <mergeCell ref="F112:I112"/>
    <mergeCell ref="A107:A108"/>
    <mergeCell ref="B107:C107"/>
    <mergeCell ref="D107:E107"/>
    <mergeCell ref="F107:I107"/>
    <mergeCell ref="J107:J108"/>
    <mergeCell ref="B108:C108"/>
    <mergeCell ref="D108:E108"/>
    <mergeCell ref="F108:I108"/>
    <mergeCell ref="A105:A106"/>
    <mergeCell ref="B105:C105"/>
    <mergeCell ref="D105:E105"/>
    <mergeCell ref="F105:I105"/>
    <mergeCell ref="J105:J106"/>
    <mergeCell ref="B106:C106"/>
    <mergeCell ref="D106:E106"/>
    <mergeCell ref="F106:I106"/>
    <mergeCell ref="F93:I93"/>
    <mergeCell ref="K107:K108"/>
    <mergeCell ref="P107:R108"/>
    <mergeCell ref="K105:K106"/>
    <mergeCell ref="P105:R106"/>
    <mergeCell ref="J101:J103"/>
    <mergeCell ref="K101:K103"/>
    <mergeCell ref="P101:R103"/>
    <mergeCell ref="B102:C102"/>
    <mergeCell ref="D102:E102"/>
    <mergeCell ref="F102:I102"/>
    <mergeCell ref="B103:C103"/>
    <mergeCell ref="D103:E103"/>
    <mergeCell ref="F103:I103"/>
    <mergeCell ref="K98:K100"/>
    <mergeCell ref="P98:R100"/>
    <mergeCell ref="V121:W121"/>
    <mergeCell ref="X121:AC121"/>
    <mergeCell ref="V122:W122"/>
    <mergeCell ref="X122:AC122"/>
    <mergeCell ref="U119:U122"/>
    <mergeCell ref="P81:R82"/>
    <mergeCell ref="J81:J82"/>
    <mergeCell ref="K81:K82"/>
    <mergeCell ref="B68:C68"/>
    <mergeCell ref="D68:E68"/>
    <mergeCell ref="F68:I68"/>
    <mergeCell ref="P68:R68"/>
    <mergeCell ref="P79:R80"/>
    <mergeCell ref="J70:J71"/>
    <mergeCell ref="K70:K71"/>
    <mergeCell ref="P70:R71"/>
    <mergeCell ref="B71:C71"/>
    <mergeCell ref="D71:E71"/>
    <mergeCell ref="F71:I71"/>
    <mergeCell ref="B69:C69"/>
    <mergeCell ref="D69:E69"/>
    <mergeCell ref="F69:I69"/>
    <mergeCell ref="P69:R69"/>
    <mergeCell ref="P92:R92"/>
    <mergeCell ref="J40:J41"/>
    <mergeCell ref="K40:K41"/>
    <mergeCell ref="P40:R41"/>
    <mergeCell ref="B41:C41"/>
    <mergeCell ref="D41:E41"/>
    <mergeCell ref="F41:I41"/>
    <mergeCell ref="V119:W119"/>
    <mergeCell ref="X119:AC119"/>
    <mergeCell ref="V120:W120"/>
    <mergeCell ref="X120:AC120"/>
    <mergeCell ref="P93:R93"/>
    <mergeCell ref="B109:C109"/>
    <mergeCell ref="D109:E109"/>
    <mergeCell ref="F109:I109"/>
    <mergeCell ref="P109:R109"/>
    <mergeCell ref="B104:C104"/>
    <mergeCell ref="D104:E104"/>
    <mergeCell ref="F104:I104"/>
    <mergeCell ref="P104:R104"/>
    <mergeCell ref="B92:C92"/>
    <mergeCell ref="D92:E92"/>
    <mergeCell ref="F92:I92"/>
    <mergeCell ref="B93:C93"/>
    <mergeCell ref="D93:E93"/>
  </mergeCells>
  <phoneticPr fontId="11"/>
  <printOptions horizontalCentered="1" verticalCentered="1"/>
  <pageMargins left="0.12" right="0.12" top="0.11811023622047245" bottom="0.11811023622047245" header="0.11811023622047245" footer="0.11811023622047245"/>
  <pageSetup paperSize="9" scale="75" fitToWidth="0" fitToHeight="0" orientation="landscape" r:id="rId1"/>
  <rowBreaks count="2" manualBreakCount="2">
    <brk id="34" max="16383" man="1"/>
    <brk id="75" max="16383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EF9C-0F9E-4C34-AD0D-DF415040860E}">
  <sheetPr>
    <tabColor rgb="FF00B050"/>
  </sheetPr>
  <dimension ref="A1:AG80"/>
  <sheetViews>
    <sheetView view="pageBreakPreview" zoomScale="85" zoomScaleNormal="100" zoomScaleSheetLayoutView="85" workbookViewId="0"/>
  </sheetViews>
  <sheetFormatPr defaultRowHeight="18"/>
  <cols>
    <col min="1" max="1" width="5.69921875" customWidth="1"/>
    <col min="2" max="3" width="8.69921875" customWidth="1"/>
    <col min="4" max="5" width="5.69921875" customWidth="1"/>
    <col min="6" max="9" width="7.69921875" customWidth="1"/>
    <col min="10" max="11" width="30.69921875" customWidth="1"/>
    <col min="12" max="12" width="7.59765625" customWidth="1"/>
    <col min="13" max="15" width="5.69921875" customWidth="1"/>
    <col min="16" max="18" width="8.69921875" customWidth="1"/>
  </cols>
  <sheetData>
    <row r="1" spans="1:18" ht="18.75" customHeight="1">
      <c r="A1" s="262" t="s">
        <v>1410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ht="18.75" customHeight="1">
      <c r="A2" s="267" t="s">
        <v>1496</v>
      </c>
      <c r="B2" s="464"/>
      <c r="C2" s="464"/>
      <c r="D2" s="533"/>
      <c r="E2" s="533"/>
      <c r="F2" s="39"/>
      <c r="G2" s="39"/>
      <c r="H2" s="39"/>
      <c r="I2" s="39"/>
      <c r="J2" s="39"/>
      <c r="K2" s="39"/>
      <c r="L2" s="465"/>
      <c r="M2" s="39"/>
      <c r="N2" s="39"/>
      <c r="O2" s="39"/>
      <c r="P2" s="39"/>
      <c r="Q2" s="39"/>
      <c r="R2" s="39"/>
    </row>
    <row r="3" spans="1:18" ht="15.9" customHeight="1">
      <c r="A3" s="49" t="s">
        <v>366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 t="s">
        <v>983</v>
      </c>
    </row>
    <row r="4" spans="1:18" ht="15.9" customHeight="1">
      <c r="A4" s="710" t="s">
        <v>2</v>
      </c>
      <c r="B4" s="712" t="s">
        <v>3</v>
      </c>
      <c r="C4" s="712"/>
      <c r="D4" s="650" t="s">
        <v>4</v>
      </c>
      <c r="E4" s="650"/>
      <c r="F4" s="712" t="s">
        <v>5</v>
      </c>
      <c r="G4" s="712"/>
      <c r="H4" s="712"/>
      <c r="I4" s="712"/>
      <c r="J4" s="713" t="s">
        <v>491</v>
      </c>
      <c r="K4" s="715" t="s">
        <v>7</v>
      </c>
      <c r="L4" s="467" t="s">
        <v>1178</v>
      </c>
      <c r="M4" s="768" t="s">
        <v>1095</v>
      </c>
      <c r="N4" s="805" t="s">
        <v>1096</v>
      </c>
      <c r="O4" s="715" t="s">
        <v>1097</v>
      </c>
      <c r="P4" s="674" t="s">
        <v>8</v>
      </c>
      <c r="Q4" s="675"/>
      <c r="R4" s="676"/>
    </row>
    <row r="5" spans="1:18" ht="15.9" customHeight="1">
      <c r="A5" s="711"/>
      <c r="B5" s="712"/>
      <c r="C5" s="712"/>
      <c r="D5" s="650"/>
      <c r="E5" s="650"/>
      <c r="F5" s="712"/>
      <c r="G5" s="712"/>
      <c r="H5" s="712"/>
      <c r="I5" s="712"/>
      <c r="J5" s="714"/>
      <c r="K5" s="715"/>
      <c r="L5" s="186" t="s">
        <v>1170</v>
      </c>
      <c r="M5" s="717"/>
      <c r="N5" s="706"/>
      <c r="O5" s="715"/>
      <c r="P5" s="674"/>
      <c r="Q5" s="675"/>
      <c r="R5" s="676"/>
    </row>
    <row r="6" spans="1:18" ht="16.95" customHeight="1">
      <c r="A6" s="59" t="s">
        <v>233</v>
      </c>
      <c r="B6" s="706" t="s">
        <v>178</v>
      </c>
      <c r="C6" s="706"/>
      <c r="D6" s="650" t="s">
        <v>240</v>
      </c>
      <c r="E6" s="650"/>
      <c r="F6" s="707" t="s">
        <v>1067</v>
      </c>
      <c r="G6" s="707"/>
      <c r="H6" s="707"/>
      <c r="I6" s="707"/>
      <c r="J6" s="23" t="s">
        <v>1291</v>
      </c>
      <c r="K6" s="536" t="s">
        <v>989</v>
      </c>
      <c r="L6" s="93" t="s">
        <v>425</v>
      </c>
      <c r="M6" s="25">
        <v>120</v>
      </c>
      <c r="N6" s="25">
        <v>1</v>
      </c>
      <c r="O6" s="43">
        <v>20200</v>
      </c>
      <c r="P6" s="708" t="s">
        <v>916</v>
      </c>
      <c r="Q6" s="708"/>
      <c r="R6" s="708"/>
    </row>
    <row r="7" spans="1:18" ht="16.95" customHeight="1">
      <c r="A7" s="57" t="s">
        <v>239</v>
      </c>
      <c r="B7" s="650" t="s">
        <v>236</v>
      </c>
      <c r="C7" s="650"/>
      <c r="D7" s="650" t="s">
        <v>49</v>
      </c>
      <c r="E7" s="650"/>
      <c r="F7" s="651" t="s">
        <v>1171</v>
      </c>
      <c r="G7" s="651"/>
      <c r="H7" s="651"/>
      <c r="I7" s="651"/>
      <c r="J7" s="15" t="s">
        <v>1228</v>
      </c>
      <c r="K7" s="506"/>
      <c r="L7" s="97" t="s">
        <v>436</v>
      </c>
      <c r="M7" s="25">
        <v>120</v>
      </c>
      <c r="N7" s="25">
        <v>1</v>
      </c>
      <c r="O7" s="32">
        <v>12120</v>
      </c>
      <c r="P7" s="708" t="s">
        <v>917</v>
      </c>
      <c r="Q7" s="708"/>
      <c r="R7" s="708"/>
    </row>
    <row r="8" spans="1:18" ht="16.95" customHeight="1">
      <c r="A8" s="614" t="s">
        <v>242</v>
      </c>
      <c r="B8" s="661" t="s">
        <v>10</v>
      </c>
      <c r="C8" s="661"/>
      <c r="D8" s="661" t="s">
        <v>11</v>
      </c>
      <c r="E8" s="661"/>
      <c r="F8" s="659" t="s">
        <v>415</v>
      </c>
      <c r="G8" s="659"/>
      <c r="H8" s="659"/>
      <c r="I8" s="659"/>
      <c r="J8" s="625" t="s">
        <v>1301</v>
      </c>
      <c r="K8" s="704" t="s">
        <v>1074</v>
      </c>
      <c r="L8" s="88"/>
      <c r="M8" s="8">
        <v>120</v>
      </c>
      <c r="N8" s="8">
        <v>1</v>
      </c>
      <c r="O8" s="124">
        <v>12120</v>
      </c>
      <c r="P8" s="656" t="s">
        <v>875</v>
      </c>
      <c r="Q8" s="657"/>
      <c r="R8" s="658"/>
    </row>
    <row r="9" spans="1:18" ht="16.95" customHeight="1">
      <c r="A9" s="616"/>
      <c r="B9" s="700" t="s">
        <v>13</v>
      </c>
      <c r="C9" s="701"/>
      <c r="D9" s="661" t="s">
        <v>11</v>
      </c>
      <c r="E9" s="661"/>
      <c r="F9" s="659" t="s">
        <v>418</v>
      </c>
      <c r="G9" s="659"/>
      <c r="H9" s="659"/>
      <c r="I9" s="659"/>
      <c r="J9" s="627"/>
      <c r="K9" s="705"/>
      <c r="L9" s="88"/>
      <c r="M9" s="8"/>
      <c r="N9" s="8"/>
      <c r="O9" s="124"/>
      <c r="P9" s="634"/>
      <c r="Q9" s="635"/>
      <c r="R9" s="636"/>
    </row>
    <row r="10" spans="1:18" ht="16.95" customHeight="1">
      <c r="A10" s="614" t="s">
        <v>807</v>
      </c>
      <c r="B10" s="661" t="s">
        <v>10</v>
      </c>
      <c r="C10" s="661"/>
      <c r="D10" s="661" t="s">
        <v>43</v>
      </c>
      <c r="E10" s="661"/>
      <c r="F10" s="653" t="s">
        <v>1525</v>
      </c>
      <c r="G10" s="653"/>
      <c r="H10" s="653"/>
      <c r="I10" s="653"/>
      <c r="J10" s="625" t="s">
        <v>1292</v>
      </c>
      <c r="K10" s="1014"/>
      <c r="L10" s="88"/>
      <c r="M10" s="8">
        <v>120</v>
      </c>
      <c r="N10" s="8">
        <v>1</v>
      </c>
      <c r="O10" s="124">
        <v>1220</v>
      </c>
      <c r="P10" s="656" t="s">
        <v>874</v>
      </c>
      <c r="Q10" s="657"/>
      <c r="R10" s="658"/>
    </row>
    <row r="11" spans="1:18" ht="16.95" customHeight="1">
      <c r="A11" s="616"/>
      <c r="B11" s="700" t="s">
        <v>13</v>
      </c>
      <c r="C11" s="701"/>
      <c r="D11" s="661" t="s">
        <v>11</v>
      </c>
      <c r="E11" s="661"/>
      <c r="F11" s="653" t="s">
        <v>414</v>
      </c>
      <c r="G11" s="653"/>
      <c r="H11" s="653"/>
      <c r="I11" s="653"/>
      <c r="J11" s="627"/>
      <c r="K11" s="844"/>
      <c r="L11" s="88"/>
      <c r="M11" s="8"/>
      <c r="N11" s="8"/>
      <c r="O11" s="124"/>
      <c r="P11" s="634"/>
      <c r="Q11" s="635"/>
      <c r="R11" s="636"/>
    </row>
    <row r="12" spans="1:18" ht="16.95" customHeight="1">
      <c r="A12" s="614" t="s">
        <v>808</v>
      </c>
      <c r="B12" s="661" t="s">
        <v>35</v>
      </c>
      <c r="C12" s="661"/>
      <c r="D12" s="661" t="s">
        <v>11</v>
      </c>
      <c r="E12" s="661"/>
      <c r="F12" s="699" t="s">
        <v>1190</v>
      </c>
      <c r="G12" s="699"/>
      <c r="H12" s="699"/>
      <c r="I12" s="699"/>
      <c r="J12" s="685"/>
      <c r="K12" s="702" t="s">
        <v>37</v>
      </c>
      <c r="L12" s="88"/>
      <c r="M12" s="8">
        <v>120</v>
      </c>
      <c r="N12" s="8">
        <v>1</v>
      </c>
      <c r="O12" s="124">
        <v>1200</v>
      </c>
      <c r="P12" s="660" t="s">
        <v>38</v>
      </c>
      <c r="Q12" s="660"/>
      <c r="R12" s="660"/>
    </row>
    <row r="13" spans="1:18" ht="16.95" customHeight="1">
      <c r="A13" s="616"/>
      <c r="B13" s="661" t="s">
        <v>304</v>
      </c>
      <c r="C13" s="661"/>
      <c r="D13" s="661" t="s">
        <v>11</v>
      </c>
      <c r="E13" s="661"/>
      <c r="F13" s="699" t="s">
        <v>1191</v>
      </c>
      <c r="G13" s="699"/>
      <c r="H13" s="699"/>
      <c r="I13" s="699"/>
      <c r="J13" s="686"/>
      <c r="K13" s="691"/>
      <c r="L13" s="88"/>
      <c r="M13" s="8"/>
      <c r="N13" s="8"/>
      <c r="O13" s="124"/>
      <c r="P13" s="660"/>
      <c r="Q13" s="660"/>
      <c r="R13" s="660"/>
    </row>
    <row r="14" spans="1:18" ht="30" customHeight="1">
      <c r="A14" s="59" t="s">
        <v>549</v>
      </c>
      <c r="B14" s="650" t="s">
        <v>164</v>
      </c>
      <c r="C14" s="650"/>
      <c r="D14" s="650" t="s">
        <v>63</v>
      </c>
      <c r="E14" s="650"/>
      <c r="F14" s="651" t="s">
        <v>788</v>
      </c>
      <c r="G14" s="651"/>
      <c r="H14" s="651"/>
      <c r="I14" s="651"/>
      <c r="J14" s="269" t="s">
        <v>1230</v>
      </c>
      <c r="K14" s="509"/>
      <c r="L14" s="93" t="s">
        <v>425</v>
      </c>
      <c r="M14" s="25">
        <v>120</v>
      </c>
      <c r="N14" s="25">
        <v>1</v>
      </c>
      <c r="O14" s="32">
        <v>5120</v>
      </c>
      <c r="P14" s="652" t="s">
        <v>871</v>
      </c>
      <c r="Q14" s="623"/>
      <c r="R14" s="624"/>
    </row>
    <row r="15" spans="1:18" ht="16.95" customHeight="1">
      <c r="A15" s="57" t="s">
        <v>434</v>
      </c>
      <c r="B15" s="696" t="s">
        <v>1114</v>
      </c>
      <c r="C15" s="696"/>
      <c r="D15" s="696" t="s">
        <v>1115</v>
      </c>
      <c r="E15" s="696"/>
      <c r="F15" s="697" t="s">
        <v>1116</v>
      </c>
      <c r="G15" s="697"/>
      <c r="H15" s="697"/>
      <c r="I15" s="697"/>
      <c r="J15" s="67" t="s">
        <v>1293</v>
      </c>
      <c r="K15" s="508"/>
      <c r="L15" s="97" t="s">
        <v>436</v>
      </c>
      <c r="M15" s="25">
        <v>120</v>
      </c>
      <c r="N15" s="25">
        <v>1</v>
      </c>
      <c r="O15" s="52">
        <v>10120</v>
      </c>
      <c r="P15" s="698" t="s">
        <v>438</v>
      </c>
      <c r="Q15" s="698"/>
      <c r="R15" s="698"/>
    </row>
    <row r="16" spans="1:18" ht="30" customHeight="1">
      <c r="A16" s="229" t="s">
        <v>309</v>
      </c>
      <c r="B16" s="650" t="s">
        <v>147</v>
      </c>
      <c r="C16" s="650"/>
      <c r="D16" s="650" t="s">
        <v>49</v>
      </c>
      <c r="E16" s="650"/>
      <c r="F16" s="651" t="s">
        <v>441</v>
      </c>
      <c r="G16" s="651"/>
      <c r="H16" s="651"/>
      <c r="I16" s="651"/>
      <c r="J16" s="296" t="s">
        <v>1294</v>
      </c>
      <c r="K16" s="507" t="s">
        <v>1087</v>
      </c>
      <c r="L16" s="113" t="s">
        <v>425</v>
      </c>
      <c r="M16" s="25">
        <v>120</v>
      </c>
      <c r="N16" s="25">
        <v>1</v>
      </c>
      <c r="O16" s="32">
        <v>4120</v>
      </c>
      <c r="P16" s="660" t="s">
        <v>872</v>
      </c>
      <c r="Q16" s="660"/>
      <c r="R16" s="660"/>
    </row>
    <row r="17" spans="1:18" ht="16.95" customHeight="1">
      <c r="A17" s="614" t="s">
        <v>809</v>
      </c>
      <c r="B17" s="661" t="s">
        <v>199</v>
      </c>
      <c r="C17" s="661"/>
      <c r="D17" s="661" t="s">
        <v>11</v>
      </c>
      <c r="E17" s="661"/>
      <c r="F17" s="659" t="s">
        <v>419</v>
      </c>
      <c r="G17" s="659"/>
      <c r="H17" s="659"/>
      <c r="I17" s="659"/>
      <c r="J17" s="689"/>
      <c r="K17" s="690" t="s">
        <v>420</v>
      </c>
      <c r="L17" s="88"/>
      <c r="M17" s="8">
        <v>120</v>
      </c>
      <c r="N17" s="8">
        <v>1</v>
      </c>
      <c r="O17" s="124">
        <v>2120</v>
      </c>
      <c r="P17" s="660" t="s">
        <v>323</v>
      </c>
      <c r="Q17" s="660"/>
      <c r="R17" s="660"/>
    </row>
    <row r="18" spans="1:18" ht="16.95" customHeight="1">
      <c r="A18" s="616"/>
      <c r="B18" s="661" t="s">
        <v>202</v>
      </c>
      <c r="C18" s="661"/>
      <c r="D18" s="661" t="s">
        <v>11</v>
      </c>
      <c r="E18" s="661"/>
      <c r="F18" s="659" t="s">
        <v>203</v>
      </c>
      <c r="G18" s="659"/>
      <c r="H18" s="659"/>
      <c r="I18" s="659"/>
      <c r="J18" s="686"/>
      <c r="K18" s="691"/>
      <c r="L18" s="88"/>
      <c r="M18" s="8"/>
      <c r="N18" s="8"/>
      <c r="O18" s="124"/>
      <c r="P18" s="660"/>
      <c r="Q18" s="660"/>
      <c r="R18" s="660"/>
    </row>
    <row r="19" spans="1:18" ht="16.95" customHeight="1">
      <c r="A19" s="614" t="s">
        <v>127</v>
      </c>
      <c r="B19" s="661" t="s">
        <v>10</v>
      </c>
      <c r="C19" s="661"/>
      <c r="D19" s="661" t="s">
        <v>43</v>
      </c>
      <c r="E19" s="661"/>
      <c r="F19" s="659" t="s">
        <v>810</v>
      </c>
      <c r="G19" s="659"/>
      <c r="H19" s="659"/>
      <c r="I19" s="659"/>
      <c r="J19" s="685" t="s">
        <v>1228</v>
      </c>
      <c r="K19" s="846"/>
      <c r="L19" s="88"/>
      <c r="M19" s="8">
        <v>120</v>
      </c>
      <c r="N19" s="8">
        <v>1</v>
      </c>
      <c r="O19" s="124">
        <v>500</v>
      </c>
      <c r="P19" s="660" t="s">
        <v>12</v>
      </c>
      <c r="Q19" s="660"/>
      <c r="R19" s="660"/>
    </row>
    <row r="20" spans="1:18" ht="16.95" customHeight="1" thickBot="1">
      <c r="A20" s="684"/>
      <c r="B20" s="693" t="s">
        <v>13</v>
      </c>
      <c r="C20" s="694"/>
      <c r="D20" s="693" t="s">
        <v>14</v>
      </c>
      <c r="E20" s="694"/>
      <c r="F20" s="695" t="s">
        <v>811</v>
      </c>
      <c r="G20" s="695"/>
      <c r="H20" s="695"/>
      <c r="I20" s="695"/>
      <c r="J20" s="686"/>
      <c r="K20" s="1015"/>
      <c r="L20" s="224"/>
      <c r="M20" s="24"/>
      <c r="N20" s="24"/>
      <c r="O20" s="363"/>
      <c r="P20" s="692"/>
      <c r="Q20" s="692"/>
      <c r="R20" s="692"/>
    </row>
    <row r="21" spans="1:18" ht="16.95" customHeight="1" thickTop="1">
      <c r="A21" s="664" t="s">
        <v>380</v>
      </c>
      <c r="B21" s="637" t="s">
        <v>10</v>
      </c>
      <c r="C21" s="637"/>
      <c r="D21" s="638" t="s">
        <v>14</v>
      </c>
      <c r="E21" s="639"/>
      <c r="F21" s="653" t="s">
        <v>1495</v>
      </c>
      <c r="G21" s="653"/>
      <c r="H21" s="653"/>
      <c r="I21" s="653"/>
      <c r="J21" s="677" t="s">
        <v>1295</v>
      </c>
      <c r="K21" s="678" t="s">
        <v>986</v>
      </c>
      <c r="L21" s="108"/>
      <c r="M21" s="14">
        <v>120</v>
      </c>
      <c r="N21" s="14">
        <v>1</v>
      </c>
      <c r="O21" s="51">
        <v>2120</v>
      </c>
      <c r="P21" s="631" t="s">
        <v>825</v>
      </c>
      <c r="Q21" s="632"/>
      <c r="R21" s="633"/>
    </row>
    <row r="22" spans="1:18" ht="16.95" customHeight="1">
      <c r="A22" s="664"/>
      <c r="B22" s="637" t="s">
        <v>81</v>
      </c>
      <c r="C22" s="637"/>
      <c r="D22" s="638" t="s">
        <v>14</v>
      </c>
      <c r="E22" s="639"/>
      <c r="F22" s="653" t="s">
        <v>448</v>
      </c>
      <c r="G22" s="653"/>
      <c r="H22" s="653"/>
      <c r="I22" s="653"/>
      <c r="J22" s="626"/>
      <c r="K22" s="845"/>
      <c r="L22" s="108"/>
      <c r="M22" s="8"/>
      <c r="N22" s="8"/>
      <c r="O22" s="51"/>
      <c r="P22" s="631"/>
      <c r="Q22" s="632"/>
      <c r="R22" s="633"/>
    </row>
    <row r="23" spans="1:18" ht="16.95" customHeight="1">
      <c r="A23" s="665"/>
      <c r="B23" s="637" t="s">
        <v>83</v>
      </c>
      <c r="C23" s="637"/>
      <c r="D23" s="638" t="s">
        <v>11</v>
      </c>
      <c r="E23" s="639"/>
      <c r="F23" s="659" t="s">
        <v>1165</v>
      </c>
      <c r="G23" s="659"/>
      <c r="H23" s="659"/>
      <c r="I23" s="659"/>
      <c r="J23" s="627"/>
      <c r="K23" s="1016"/>
      <c r="L23" s="108"/>
      <c r="M23" s="8"/>
      <c r="N23" s="8"/>
      <c r="O23" s="51"/>
      <c r="P23" s="634"/>
      <c r="Q23" s="635"/>
      <c r="R23" s="636"/>
    </row>
    <row r="24" spans="1:18" ht="16.95" customHeight="1">
      <c r="A24" s="59" t="s">
        <v>269</v>
      </c>
      <c r="B24" s="679" t="s">
        <v>868</v>
      </c>
      <c r="C24" s="680"/>
      <c r="D24" s="650" t="s">
        <v>240</v>
      </c>
      <c r="E24" s="650"/>
      <c r="F24" s="681" t="s">
        <v>1192</v>
      </c>
      <c r="G24" s="682"/>
      <c r="H24" s="682"/>
      <c r="I24" s="683"/>
      <c r="J24" s="255" t="s">
        <v>1296</v>
      </c>
      <c r="K24" s="535"/>
      <c r="L24" s="76" t="s">
        <v>425</v>
      </c>
      <c r="M24" s="320">
        <v>120</v>
      </c>
      <c r="N24" s="320">
        <v>1</v>
      </c>
      <c r="O24" s="528">
        <v>8120</v>
      </c>
      <c r="P24" s="674" t="s">
        <v>918</v>
      </c>
      <c r="Q24" s="675"/>
      <c r="R24" s="676"/>
    </row>
    <row r="25" spans="1:18" ht="30" customHeight="1">
      <c r="A25" s="59" t="s">
        <v>156</v>
      </c>
      <c r="B25" s="650" t="s">
        <v>205</v>
      </c>
      <c r="C25" s="650"/>
      <c r="D25" s="618" t="s">
        <v>49</v>
      </c>
      <c r="E25" s="619"/>
      <c r="F25" s="620" t="s">
        <v>1149</v>
      </c>
      <c r="G25" s="621"/>
      <c r="H25" s="621"/>
      <c r="I25" s="622"/>
      <c r="J25" s="304" t="s">
        <v>1297</v>
      </c>
      <c r="K25" s="305" t="s">
        <v>1289</v>
      </c>
      <c r="L25" s="97" t="s">
        <v>425</v>
      </c>
      <c r="M25" s="323">
        <v>120</v>
      </c>
      <c r="N25" s="323">
        <v>1</v>
      </c>
      <c r="O25" s="334">
        <v>13120</v>
      </c>
      <c r="P25" s="652" t="s">
        <v>876</v>
      </c>
      <c r="Q25" s="623"/>
      <c r="R25" s="624"/>
    </row>
    <row r="26" spans="1:18" ht="30" customHeight="1">
      <c r="A26" s="231" t="s">
        <v>70</v>
      </c>
      <c r="B26" s="650" t="s">
        <v>147</v>
      </c>
      <c r="C26" s="650"/>
      <c r="D26" s="650" t="s">
        <v>49</v>
      </c>
      <c r="E26" s="650"/>
      <c r="F26" s="651" t="s">
        <v>441</v>
      </c>
      <c r="G26" s="651"/>
      <c r="H26" s="651"/>
      <c r="I26" s="651"/>
      <c r="J26" s="296" t="s">
        <v>1294</v>
      </c>
      <c r="K26" s="507" t="s">
        <v>1290</v>
      </c>
      <c r="L26" s="97" t="s">
        <v>425</v>
      </c>
      <c r="M26" s="323">
        <v>120</v>
      </c>
      <c r="N26" s="323">
        <v>1</v>
      </c>
      <c r="O26" s="334">
        <v>10120</v>
      </c>
      <c r="P26" s="660" t="s">
        <v>877</v>
      </c>
      <c r="Q26" s="660"/>
      <c r="R26" s="660"/>
    </row>
    <row r="27" spans="1:18" ht="16.95" customHeight="1">
      <c r="A27" s="664" t="s">
        <v>141</v>
      </c>
      <c r="B27" s="637" t="s">
        <v>10</v>
      </c>
      <c r="C27" s="637"/>
      <c r="D27" s="638" t="s">
        <v>43</v>
      </c>
      <c r="E27" s="639"/>
      <c r="F27" s="666" t="s">
        <v>890</v>
      </c>
      <c r="G27" s="667"/>
      <c r="H27" s="667"/>
      <c r="I27" s="667"/>
      <c r="J27" s="668" t="s">
        <v>1299</v>
      </c>
      <c r="K27" s="1017"/>
      <c r="L27" s="108"/>
      <c r="M27" s="324">
        <v>120</v>
      </c>
      <c r="N27" s="324">
        <v>1</v>
      </c>
      <c r="O27" s="529">
        <v>3120</v>
      </c>
      <c r="P27" s="631" t="s">
        <v>910</v>
      </c>
      <c r="Q27" s="632"/>
      <c r="R27" s="633"/>
    </row>
    <row r="28" spans="1:18" ht="16.95" customHeight="1">
      <c r="A28" s="664"/>
      <c r="B28" s="637" t="s">
        <v>81</v>
      </c>
      <c r="C28" s="637"/>
      <c r="D28" s="661" t="s">
        <v>11</v>
      </c>
      <c r="E28" s="661"/>
      <c r="F28" s="662" t="s">
        <v>891</v>
      </c>
      <c r="G28" s="663"/>
      <c r="H28" s="663"/>
      <c r="I28" s="663"/>
      <c r="J28" s="669"/>
      <c r="K28" s="1018"/>
      <c r="L28" s="108"/>
      <c r="M28" s="324"/>
      <c r="N28" s="324"/>
      <c r="O28" s="529"/>
      <c r="P28" s="631"/>
      <c r="Q28" s="632"/>
      <c r="R28" s="633"/>
    </row>
    <row r="29" spans="1:18" ht="16.95" customHeight="1">
      <c r="A29" s="665"/>
      <c r="B29" s="637" t="s">
        <v>83</v>
      </c>
      <c r="C29" s="637"/>
      <c r="D29" s="661" t="s">
        <v>11</v>
      </c>
      <c r="E29" s="661"/>
      <c r="F29" s="659" t="s">
        <v>892</v>
      </c>
      <c r="G29" s="659"/>
      <c r="H29" s="659"/>
      <c r="I29" s="659"/>
      <c r="J29" s="670"/>
      <c r="K29" s="1019"/>
      <c r="L29" s="108"/>
      <c r="M29" s="324"/>
      <c r="N29" s="324"/>
      <c r="O29" s="529"/>
      <c r="P29" s="634"/>
      <c r="Q29" s="635"/>
      <c r="R29" s="636"/>
    </row>
    <row r="30" spans="1:18" ht="16.95" customHeight="1">
      <c r="A30" s="184" t="s">
        <v>352</v>
      </c>
      <c r="B30" s="650" t="s">
        <v>147</v>
      </c>
      <c r="C30" s="650"/>
      <c r="D30" s="650" t="s">
        <v>49</v>
      </c>
      <c r="E30" s="650"/>
      <c r="F30" s="651" t="s">
        <v>966</v>
      </c>
      <c r="G30" s="651"/>
      <c r="H30" s="651"/>
      <c r="I30" s="651"/>
      <c r="J30" s="25" t="s">
        <v>1574</v>
      </c>
      <c r="K30" s="25" t="s">
        <v>1573</v>
      </c>
      <c r="L30" s="97" t="s">
        <v>425</v>
      </c>
      <c r="M30" s="334">
        <v>120</v>
      </c>
      <c r="N30" s="552">
        <v>1</v>
      </c>
      <c r="O30" s="333">
        <v>1320</v>
      </c>
      <c r="P30" s="652" t="s">
        <v>976</v>
      </c>
      <c r="Q30" s="623"/>
      <c r="R30" s="624"/>
    </row>
    <row r="31" spans="1:18" ht="16.95" customHeight="1">
      <c r="A31" s="73" t="s">
        <v>78</v>
      </c>
      <c r="B31" s="650" t="s">
        <v>211</v>
      </c>
      <c r="C31" s="650"/>
      <c r="D31" s="650" t="s">
        <v>72</v>
      </c>
      <c r="E31" s="650"/>
      <c r="F31" s="651" t="s">
        <v>893</v>
      </c>
      <c r="G31" s="651"/>
      <c r="H31" s="651"/>
      <c r="I31" s="651"/>
      <c r="J31" s="25" t="s">
        <v>1298</v>
      </c>
      <c r="K31" s="509"/>
      <c r="L31" s="97" t="s">
        <v>436</v>
      </c>
      <c r="M31" s="323">
        <v>120</v>
      </c>
      <c r="N31" s="323">
        <v>1</v>
      </c>
      <c r="O31" s="334">
        <v>25120</v>
      </c>
      <c r="P31" s="660" t="s">
        <v>1070</v>
      </c>
      <c r="Q31" s="660"/>
      <c r="R31" s="660"/>
    </row>
    <row r="32" spans="1:18" ht="16.95" customHeight="1">
      <c r="A32" s="73" t="s">
        <v>919</v>
      </c>
      <c r="B32" s="650" t="s">
        <v>147</v>
      </c>
      <c r="C32" s="650"/>
      <c r="D32" s="650" t="s">
        <v>49</v>
      </c>
      <c r="E32" s="650"/>
      <c r="F32" s="651" t="s">
        <v>1150</v>
      </c>
      <c r="G32" s="651"/>
      <c r="H32" s="651"/>
      <c r="I32" s="651"/>
      <c r="J32" s="25" t="s">
        <v>1575</v>
      </c>
      <c r="K32" s="25" t="s">
        <v>1573</v>
      </c>
      <c r="L32" s="97" t="s">
        <v>1169</v>
      </c>
      <c r="M32" s="323">
        <v>120</v>
      </c>
      <c r="N32" s="323">
        <v>1</v>
      </c>
      <c r="O32" s="334">
        <v>2620</v>
      </c>
      <c r="P32" s="652" t="s">
        <v>977</v>
      </c>
      <c r="Q32" s="623"/>
      <c r="R32" s="624"/>
    </row>
    <row r="33" spans="1:33" ht="16.95" customHeight="1">
      <c r="A33" s="59" t="s">
        <v>920</v>
      </c>
      <c r="B33" s="618" t="s">
        <v>62</v>
      </c>
      <c r="C33" s="619"/>
      <c r="D33" s="618" t="s">
        <v>63</v>
      </c>
      <c r="E33" s="619"/>
      <c r="F33" s="620" t="s">
        <v>882</v>
      </c>
      <c r="G33" s="621"/>
      <c r="H33" s="621"/>
      <c r="I33" s="622"/>
      <c r="J33" s="25" t="s">
        <v>1298</v>
      </c>
      <c r="K33" s="509"/>
      <c r="L33" s="257" t="s">
        <v>425</v>
      </c>
      <c r="M33" s="328">
        <v>120</v>
      </c>
      <c r="N33" s="25">
        <v>1</v>
      </c>
      <c r="O33" s="32">
        <v>10120</v>
      </c>
      <c r="P33" s="623" t="s">
        <v>883</v>
      </c>
      <c r="Q33" s="623"/>
      <c r="R33" s="624"/>
    </row>
    <row r="34" spans="1:33" ht="30" customHeight="1">
      <c r="A34" s="59" t="s">
        <v>921</v>
      </c>
      <c r="B34" s="618" t="s">
        <v>178</v>
      </c>
      <c r="C34" s="619"/>
      <c r="D34" s="618" t="s">
        <v>72</v>
      </c>
      <c r="E34" s="619"/>
      <c r="F34" s="620" t="s">
        <v>922</v>
      </c>
      <c r="G34" s="621"/>
      <c r="H34" s="621"/>
      <c r="I34" s="622"/>
      <c r="J34" s="532" t="s">
        <v>1353</v>
      </c>
      <c r="K34" s="537" t="s">
        <v>1091</v>
      </c>
      <c r="L34" s="97" t="s">
        <v>436</v>
      </c>
      <c r="M34" s="25">
        <v>120</v>
      </c>
      <c r="N34" s="25">
        <v>1</v>
      </c>
      <c r="O34" s="32">
        <v>5120</v>
      </c>
      <c r="P34" s="660" t="s">
        <v>878</v>
      </c>
      <c r="Q34" s="660"/>
      <c r="R34" s="660"/>
    </row>
    <row r="35" spans="1:33" ht="16.95" customHeight="1">
      <c r="A35" s="530" t="s">
        <v>1068</v>
      </c>
      <c r="B35" s="1009" t="s">
        <v>164</v>
      </c>
      <c r="C35" s="1010"/>
      <c r="D35" s="874" t="s">
        <v>93</v>
      </c>
      <c r="E35" s="875"/>
      <c r="F35" s="1011" t="s">
        <v>1093</v>
      </c>
      <c r="G35" s="1012"/>
      <c r="H35" s="1012"/>
      <c r="I35" s="1013"/>
      <c r="J35" s="170"/>
      <c r="K35" s="534"/>
      <c r="L35" s="93" t="s">
        <v>425</v>
      </c>
      <c r="M35" s="170">
        <v>120</v>
      </c>
      <c r="N35" s="170">
        <v>1</v>
      </c>
      <c r="O35" s="36">
        <v>7120</v>
      </c>
      <c r="P35" s="1006" t="s">
        <v>1069</v>
      </c>
      <c r="Q35" s="1007"/>
      <c r="R35" s="1008"/>
    </row>
    <row r="36" spans="1:33" ht="18" customHeight="1">
      <c r="A36" s="279" t="s">
        <v>1376</v>
      </c>
      <c r="B36" s="531"/>
      <c r="C36" s="531"/>
      <c r="D36" s="531"/>
      <c r="E36" s="531"/>
      <c r="F36" s="531"/>
      <c r="G36" s="531"/>
      <c r="H36" s="531"/>
      <c r="I36" s="531"/>
      <c r="J36" s="531"/>
      <c r="K36" s="531"/>
      <c r="L36" s="531"/>
      <c r="M36" s="531"/>
      <c r="N36" s="531"/>
      <c r="O36" s="531"/>
      <c r="P36" s="531"/>
      <c r="Q36" s="531"/>
      <c r="R36" s="531"/>
    </row>
    <row r="37" spans="1:33" ht="18" customHeight="1"/>
    <row r="38" spans="1:33" ht="18" customHeight="1"/>
    <row r="39" spans="1:33" ht="18" customHeight="1"/>
    <row r="41" spans="1:33" ht="18.600000000000001" customHeight="1">
      <c r="A41" s="262" t="s">
        <v>1410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</row>
    <row r="42" spans="1:33" ht="18.600000000000001" customHeight="1">
      <c r="A42" s="267" t="s">
        <v>1497</v>
      </c>
      <c r="B42" s="464"/>
      <c r="C42" s="464"/>
      <c r="D42" s="533"/>
      <c r="E42" s="533"/>
      <c r="F42" s="39"/>
      <c r="G42" s="39"/>
      <c r="H42" s="39"/>
      <c r="I42" s="39"/>
      <c r="J42" s="39"/>
      <c r="K42" s="39"/>
      <c r="L42" s="465"/>
      <c r="M42" s="39"/>
      <c r="N42" s="39"/>
      <c r="O42" s="39"/>
      <c r="P42" s="39"/>
      <c r="Q42" s="39"/>
      <c r="R42" s="39"/>
    </row>
    <row r="43" spans="1:33" ht="15.6" customHeight="1" thickBot="1">
      <c r="A43" s="49" t="s">
        <v>366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 t="s">
        <v>983</v>
      </c>
    </row>
    <row r="44" spans="1:33" ht="15.6" customHeight="1">
      <c r="A44" s="710" t="s">
        <v>2</v>
      </c>
      <c r="B44" s="712" t="s">
        <v>3</v>
      </c>
      <c r="C44" s="712"/>
      <c r="D44" s="650" t="s">
        <v>4</v>
      </c>
      <c r="E44" s="650"/>
      <c r="F44" s="712" t="s">
        <v>5</v>
      </c>
      <c r="G44" s="712"/>
      <c r="H44" s="712"/>
      <c r="I44" s="712"/>
      <c r="J44" s="713" t="s">
        <v>491</v>
      </c>
      <c r="K44" s="715" t="s">
        <v>7</v>
      </c>
      <c r="L44" s="467" t="s">
        <v>1178</v>
      </c>
      <c r="M44" s="768" t="s">
        <v>1095</v>
      </c>
      <c r="N44" s="805" t="s">
        <v>1096</v>
      </c>
      <c r="O44" s="715" t="s">
        <v>1097</v>
      </c>
      <c r="P44" s="674" t="s">
        <v>8</v>
      </c>
      <c r="Q44" s="675"/>
      <c r="R44" s="676"/>
      <c r="V44" s="640" t="s">
        <v>1356</v>
      </c>
      <c r="W44" s="835" t="s">
        <v>1357</v>
      </c>
      <c r="X44" s="836"/>
      <c r="Y44" s="835" t="s">
        <v>1358</v>
      </c>
      <c r="Z44" s="837"/>
      <c r="AA44" s="837"/>
      <c r="AB44" s="837"/>
      <c r="AC44" s="837"/>
      <c r="AD44" s="836"/>
      <c r="AE44" s="553" t="s">
        <v>1359</v>
      </c>
      <c r="AF44" s="553" t="s">
        <v>1360</v>
      </c>
      <c r="AG44" s="554" t="s">
        <v>1361</v>
      </c>
    </row>
    <row r="45" spans="1:33" ht="15.6" customHeight="1">
      <c r="A45" s="711"/>
      <c r="B45" s="712"/>
      <c r="C45" s="712"/>
      <c r="D45" s="650"/>
      <c r="E45" s="650"/>
      <c r="F45" s="712"/>
      <c r="G45" s="712"/>
      <c r="H45" s="712"/>
      <c r="I45" s="712"/>
      <c r="J45" s="714"/>
      <c r="K45" s="715"/>
      <c r="L45" s="186" t="s">
        <v>1170</v>
      </c>
      <c r="M45" s="717"/>
      <c r="N45" s="706"/>
      <c r="O45" s="715"/>
      <c r="P45" s="674"/>
      <c r="Q45" s="675"/>
      <c r="R45" s="676"/>
      <c r="V45" s="641"/>
      <c r="W45" s="1001"/>
      <c r="X45" s="1002"/>
      <c r="Y45" s="1003"/>
      <c r="Z45" s="1004"/>
      <c r="AA45" s="1004"/>
      <c r="AB45" s="1004"/>
      <c r="AC45" s="1004"/>
      <c r="AD45" s="1005"/>
      <c r="AE45" s="555"/>
      <c r="AF45" s="555"/>
      <c r="AG45" s="556"/>
    </row>
    <row r="46" spans="1:33" ht="16.8" customHeight="1">
      <c r="A46" s="59" t="s">
        <v>298</v>
      </c>
      <c r="B46" s="706" t="s">
        <v>178</v>
      </c>
      <c r="C46" s="706"/>
      <c r="D46" s="650" t="s">
        <v>240</v>
      </c>
      <c r="E46" s="650"/>
      <c r="F46" s="707" t="s">
        <v>1067</v>
      </c>
      <c r="G46" s="707"/>
      <c r="H46" s="707"/>
      <c r="I46" s="707"/>
      <c r="J46" s="23" t="s">
        <v>1291</v>
      </c>
      <c r="K46" s="536" t="s">
        <v>989</v>
      </c>
      <c r="L46" s="93" t="s">
        <v>425</v>
      </c>
      <c r="M46" s="25">
        <v>120</v>
      </c>
      <c r="N46" s="25">
        <v>1</v>
      </c>
      <c r="O46" s="43">
        <v>20200</v>
      </c>
      <c r="P46" s="708" t="s">
        <v>916</v>
      </c>
      <c r="Q46" s="708"/>
      <c r="R46" s="708"/>
      <c r="U46" t="s">
        <v>1385</v>
      </c>
      <c r="V46" s="641"/>
      <c r="W46" s="1001"/>
      <c r="X46" s="1002"/>
      <c r="Y46" s="1003"/>
      <c r="Z46" s="1004"/>
      <c r="AA46" s="1004"/>
      <c r="AB46" s="1004"/>
      <c r="AC46" s="1004"/>
      <c r="AD46" s="1005"/>
      <c r="AE46" s="555"/>
      <c r="AF46" s="555"/>
      <c r="AG46" s="556"/>
    </row>
    <row r="47" spans="1:33" ht="16.8" customHeight="1">
      <c r="A47" s="57" t="s">
        <v>239</v>
      </c>
      <c r="B47" s="650" t="s">
        <v>236</v>
      </c>
      <c r="C47" s="650"/>
      <c r="D47" s="650" t="s">
        <v>49</v>
      </c>
      <c r="E47" s="650"/>
      <c r="F47" s="651" t="s">
        <v>1171</v>
      </c>
      <c r="G47" s="651"/>
      <c r="H47" s="651"/>
      <c r="I47" s="651"/>
      <c r="J47" s="15" t="s">
        <v>1228</v>
      </c>
      <c r="K47" s="506"/>
      <c r="L47" s="97" t="s">
        <v>436</v>
      </c>
      <c r="M47" s="25">
        <v>120</v>
      </c>
      <c r="N47" s="25">
        <v>1</v>
      </c>
      <c r="O47" s="32">
        <v>12120</v>
      </c>
      <c r="P47" s="708" t="s">
        <v>917</v>
      </c>
      <c r="Q47" s="708"/>
      <c r="R47" s="708"/>
      <c r="V47" s="642"/>
      <c r="W47" s="1001"/>
      <c r="X47" s="1002"/>
      <c r="Y47" s="1003"/>
      <c r="Z47" s="1004"/>
      <c r="AA47" s="1004"/>
      <c r="AB47" s="1004"/>
      <c r="AC47" s="1004"/>
      <c r="AD47" s="1005"/>
      <c r="AE47" s="555"/>
      <c r="AF47" s="555"/>
      <c r="AG47" s="556"/>
    </row>
    <row r="48" spans="1:33" ht="16.8" customHeight="1" thickBot="1">
      <c r="A48" s="614" t="s">
        <v>242</v>
      </c>
      <c r="B48" s="661" t="s">
        <v>10</v>
      </c>
      <c r="C48" s="661"/>
      <c r="D48" s="661" t="s">
        <v>11</v>
      </c>
      <c r="E48" s="661"/>
      <c r="F48" s="659" t="s">
        <v>415</v>
      </c>
      <c r="G48" s="659"/>
      <c r="H48" s="659"/>
      <c r="I48" s="659"/>
      <c r="J48" s="625" t="s">
        <v>1301</v>
      </c>
      <c r="K48" s="704" t="s">
        <v>1074</v>
      </c>
      <c r="L48" s="88"/>
      <c r="M48" s="8">
        <v>120</v>
      </c>
      <c r="N48" s="8">
        <v>1</v>
      </c>
      <c r="O48" s="124">
        <v>12120</v>
      </c>
      <c r="P48" s="656" t="s">
        <v>875</v>
      </c>
      <c r="Q48" s="657"/>
      <c r="R48" s="658"/>
      <c r="V48" s="643"/>
      <c r="W48" s="647" t="s">
        <v>1386</v>
      </c>
      <c r="X48" s="617"/>
      <c r="Y48" s="617" t="s">
        <v>1363</v>
      </c>
      <c r="Z48" s="617"/>
      <c r="AA48" s="617"/>
      <c r="AB48" s="617"/>
      <c r="AC48" s="617"/>
      <c r="AD48" s="617"/>
      <c r="AE48" s="557" t="s">
        <v>1364</v>
      </c>
      <c r="AF48" s="557" t="s">
        <v>1365</v>
      </c>
      <c r="AG48" s="558" t="s">
        <v>1366</v>
      </c>
    </row>
    <row r="49" spans="1:18" ht="16.8" customHeight="1">
      <c r="A49" s="616"/>
      <c r="B49" s="700" t="s">
        <v>13</v>
      </c>
      <c r="C49" s="701"/>
      <c r="D49" s="661" t="s">
        <v>11</v>
      </c>
      <c r="E49" s="661"/>
      <c r="F49" s="659" t="s">
        <v>418</v>
      </c>
      <c r="G49" s="659"/>
      <c r="H49" s="659"/>
      <c r="I49" s="659"/>
      <c r="J49" s="627"/>
      <c r="K49" s="705"/>
      <c r="L49" s="88"/>
      <c r="M49" s="8"/>
      <c r="N49" s="8"/>
      <c r="O49" s="124"/>
      <c r="P49" s="634"/>
      <c r="Q49" s="635"/>
      <c r="R49" s="636"/>
    </row>
    <row r="50" spans="1:18" ht="16.8" customHeight="1">
      <c r="A50" s="614" t="s">
        <v>807</v>
      </c>
      <c r="B50" s="661" t="s">
        <v>10</v>
      </c>
      <c r="C50" s="661"/>
      <c r="D50" s="661" t="s">
        <v>43</v>
      </c>
      <c r="E50" s="661"/>
      <c r="F50" s="653" t="s">
        <v>1525</v>
      </c>
      <c r="G50" s="653"/>
      <c r="H50" s="653"/>
      <c r="I50" s="653"/>
      <c r="J50" s="625" t="s">
        <v>1292</v>
      </c>
      <c r="K50" s="1014"/>
      <c r="L50" s="88"/>
      <c r="M50" s="8">
        <v>120</v>
      </c>
      <c r="N50" s="8">
        <v>1</v>
      </c>
      <c r="O50" s="124">
        <v>1220</v>
      </c>
      <c r="P50" s="656" t="s">
        <v>874</v>
      </c>
      <c r="Q50" s="657"/>
      <c r="R50" s="658"/>
    </row>
    <row r="51" spans="1:18" ht="16.8" customHeight="1">
      <c r="A51" s="616"/>
      <c r="B51" s="700" t="s">
        <v>13</v>
      </c>
      <c r="C51" s="701"/>
      <c r="D51" s="661" t="s">
        <v>11</v>
      </c>
      <c r="E51" s="661"/>
      <c r="F51" s="653" t="s">
        <v>414</v>
      </c>
      <c r="G51" s="653"/>
      <c r="H51" s="653"/>
      <c r="I51" s="653"/>
      <c r="J51" s="627"/>
      <c r="K51" s="844"/>
      <c r="L51" s="88"/>
      <c r="M51" s="8"/>
      <c r="N51" s="8"/>
      <c r="O51" s="124"/>
      <c r="P51" s="634"/>
      <c r="Q51" s="635"/>
      <c r="R51" s="636"/>
    </row>
    <row r="52" spans="1:18" ht="16.8" customHeight="1">
      <c r="A52" s="614" t="s">
        <v>808</v>
      </c>
      <c r="B52" s="661" t="s">
        <v>35</v>
      </c>
      <c r="C52" s="661"/>
      <c r="D52" s="661" t="s">
        <v>11</v>
      </c>
      <c r="E52" s="661"/>
      <c r="F52" s="699" t="s">
        <v>1190</v>
      </c>
      <c r="G52" s="699"/>
      <c r="H52" s="699"/>
      <c r="I52" s="699"/>
      <c r="J52" s="685"/>
      <c r="K52" s="702" t="s">
        <v>37</v>
      </c>
      <c r="L52" s="88"/>
      <c r="M52" s="8">
        <v>120</v>
      </c>
      <c r="N52" s="8">
        <v>1</v>
      </c>
      <c r="O52" s="124">
        <v>1200</v>
      </c>
      <c r="P52" s="660" t="s">
        <v>38</v>
      </c>
      <c r="Q52" s="660"/>
      <c r="R52" s="660"/>
    </row>
    <row r="53" spans="1:18" ht="16.8" customHeight="1">
      <c r="A53" s="616"/>
      <c r="B53" s="661" t="s">
        <v>304</v>
      </c>
      <c r="C53" s="661"/>
      <c r="D53" s="661" t="s">
        <v>11</v>
      </c>
      <c r="E53" s="661"/>
      <c r="F53" s="699" t="s">
        <v>1191</v>
      </c>
      <c r="G53" s="699"/>
      <c r="H53" s="699"/>
      <c r="I53" s="699"/>
      <c r="J53" s="686"/>
      <c r="K53" s="691"/>
      <c r="L53" s="88"/>
      <c r="M53" s="8"/>
      <c r="N53" s="8"/>
      <c r="O53" s="124"/>
      <c r="P53" s="660"/>
      <c r="Q53" s="660"/>
      <c r="R53" s="660"/>
    </row>
    <row r="54" spans="1:18" ht="30" customHeight="1">
      <c r="A54" s="59" t="s">
        <v>549</v>
      </c>
      <c r="B54" s="650" t="s">
        <v>164</v>
      </c>
      <c r="C54" s="650"/>
      <c r="D54" s="650" t="s">
        <v>63</v>
      </c>
      <c r="E54" s="650"/>
      <c r="F54" s="651" t="s">
        <v>788</v>
      </c>
      <c r="G54" s="651"/>
      <c r="H54" s="651"/>
      <c r="I54" s="651"/>
      <c r="J54" s="269" t="s">
        <v>1230</v>
      </c>
      <c r="K54" s="509"/>
      <c r="L54" s="93" t="s">
        <v>425</v>
      </c>
      <c r="M54" s="25">
        <v>120</v>
      </c>
      <c r="N54" s="25">
        <v>1</v>
      </c>
      <c r="O54" s="32">
        <v>5120</v>
      </c>
      <c r="P54" s="652" t="s">
        <v>871</v>
      </c>
      <c r="Q54" s="623"/>
      <c r="R54" s="624"/>
    </row>
    <row r="55" spans="1:18" ht="16.8" customHeight="1">
      <c r="A55" s="57" t="s">
        <v>434</v>
      </c>
      <c r="B55" s="696" t="s">
        <v>1114</v>
      </c>
      <c r="C55" s="696"/>
      <c r="D55" s="696" t="s">
        <v>1115</v>
      </c>
      <c r="E55" s="696"/>
      <c r="F55" s="697" t="s">
        <v>1116</v>
      </c>
      <c r="G55" s="697"/>
      <c r="H55" s="697"/>
      <c r="I55" s="697"/>
      <c r="J55" s="67" t="s">
        <v>1293</v>
      </c>
      <c r="K55" s="508"/>
      <c r="L55" s="97" t="s">
        <v>436</v>
      </c>
      <c r="M55" s="25">
        <v>120</v>
      </c>
      <c r="N55" s="25">
        <v>1</v>
      </c>
      <c r="O55" s="52">
        <v>10120</v>
      </c>
      <c r="P55" s="698" t="s">
        <v>438</v>
      </c>
      <c r="Q55" s="698"/>
      <c r="R55" s="698"/>
    </row>
    <row r="56" spans="1:18" ht="30" customHeight="1">
      <c r="A56" s="229" t="s">
        <v>309</v>
      </c>
      <c r="B56" s="650" t="s">
        <v>147</v>
      </c>
      <c r="C56" s="650"/>
      <c r="D56" s="650" t="s">
        <v>49</v>
      </c>
      <c r="E56" s="650"/>
      <c r="F56" s="651" t="s">
        <v>441</v>
      </c>
      <c r="G56" s="651"/>
      <c r="H56" s="651"/>
      <c r="I56" s="651"/>
      <c r="J56" s="296" t="s">
        <v>1294</v>
      </c>
      <c r="K56" s="507" t="s">
        <v>1087</v>
      </c>
      <c r="L56" s="113" t="s">
        <v>425</v>
      </c>
      <c r="M56" s="25">
        <v>120</v>
      </c>
      <c r="N56" s="25">
        <v>1</v>
      </c>
      <c r="O56" s="32">
        <v>4120</v>
      </c>
      <c r="P56" s="660" t="s">
        <v>872</v>
      </c>
      <c r="Q56" s="660"/>
      <c r="R56" s="660"/>
    </row>
    <row r="57" spans="1:18" ht="16.8" customHeight="1">
      <c r="A57" s="614" t="s">
        <v>809</v>
      </c>
      <c r="B57" s="661" t="s">
        <v>199</v>
      </c>
      <c r="C57" s="661"/>
      <c r="D57" s="661" t="s">
        <v>11</v>
      </c>
      <c r="E57" s="661"/>
      <c r="F57" s="659" t="s">
        <v>419</v>
      </c>
      <c r="G57" s="659"/>
      <c r="H57" s="659"/>
      <c r="I57" s="659"/>
      <c r="J57" s="689"/>
      <c r="K57" s="690" t="s">
        <v>420</v>
      </c>
      <c r="L57" s="88"/>
      <c r="M57" s="8">
        <v>120</v>
      </c>
      <c r="N57" s="8">
        <v>1</v>
      </c>
      <c r="O57" s="124">
        <v>2120</v>
      </c>
      <c r="P57" s="660" t="s">
        <v>323</v>
      </c>
      <c r="Q57" s="660"/>
      <c r="R57" s="660"/>
    </row>
    <row r="58" spans="1:18" ht="16.8" customHeight="1">
      <c r="A58" s="616"/>
      <c r="B58" s="661" t="s">
        <v>202</v>
      </c>
      <c r="C58" s="661"/>
      <c r="D58" s="661" t="s">
        <v>11</v>
      </c>
      <c r="E58" s="661"/>
      <c r="F58" s="659" t="s">
        <v>203</v>
      </c>
      <c r="G58" s="659"/>
      <c r="H58" s="659"/>
      <c r="I58" s="659"/>
      <c r="J58" s="686"/>
      <c r="K58" s="691"/>
      <c r="L58" s="88"/>
      <c r="M58" s="8"/>
      <c r="N58" s="8"/>
      <c r="O58" s="124"/>
      <c r="P58" s="660"/>
      <c r="Q58" s="660"/>
      <c r="R58" s="660"/>
    </row>
    <row r="59" spans="1:18" ht="16.8" customHeight="1">
      <c r="A59" s="614" t="s">
        <v>127</v>
      </c>
      <c r="B59" s="661" t="s">
        <v>10</v>
      </c>
      <c r="C59" s="661"/>
      <c r="D59" s="661" t="s">
        <v>43</v>
      </c>
      <c r="E59" s="661"/>
      <c r="F59" s="659" t="s">
        <v>810</v>
      </c>
      <c r="G59" s="659"/>
      <c r="H59" s="659"/>
      <c r="I59" s="659"/>
      <c r="J59" s="685" t="s">
        <v>1228</v>
      </c>
      <c r="K59" s="846"/>
      <c r="L59" s="88"/>
      <c r="M59" s="8">
        <v>120</v>
      </c>
      <c r="N59" s="8">
        <v>1</v>
      </c>
      <c r="O59" s="124">
        <v>500</v>
      </c>
      <c r="P59" s="660" t="s">
        <v>12</v>
      </c>
      <c r="Q59" s="660"/>
      <c r="R59" s="660"/>
    </row>
    <row r="60" spans="1:18" ht="16.8" customHeight="1" thickBot="1">
      <c r="A60" s="684"/>
      <c r="B60" s="693" t="s">
        <v>13</v>
      </c>
      <c r="C60" s="694"/>
      <c r="D60" s="693" t="s">
        <v>14</v>
      </c>
      <c r="E60" s="694"/>
      <c r="F60" s="695" t="s">
        <v>811</v>
      </c>
      <c r="G60" s="695"/>
      <c r="H60" s="695"/>
      <c r="I60" s="695"/>
      <c r="J60" s="686"/>
      <c r="K60" s="1015"/>
      <c r="L60" s="224"/>
      <c r="M60" s="24"/>
      <c r="N60" s="24"/>
      <c r="O60" s="363"/>
      <c r="P60" s="692"/>
      <c r="Q60" s="692"/>
      <c r="R60" s="692"/>
    </row>
    <row r="61" spans="1:18" ht="16.8" customHeight="1" thickTop="1">
      <c r="A61" s="664" t="s">
        <v>380</v>
      </c>
      <c r="B61" s="637" t="s">
        <v>10</v>
      </c>
      <c r="C61" s="637"/>
      <c r="D61" s="638" t="s">
        <v>14</v>
      </c>
      <c r="E61" s="639"/>
      <c r="F61" s="653" t="s">
        <v>445</v>
      </c>
      <c r="G61" s="653"/>
      <c r="H61" s="653"/>
      <c r="I61" s="653"/>
      <c r="J61" s="677" t="s">
        <v>1295</v>
      </c>
      <c r="K61" s="678" t="s">
        <v>986</v>
      </c>
      <c r="L61" s="108"/>
      <c r="M61" s="14">
        <v>120</v>
      </c>
      <c r="N61" s="14">
        <v>1</v>
      </c>
      <c r="O61" s="51">
        <v>2120</v>
      </c>
      <c r="P61" s="631" t="s">
        <v>825</v>
      </c>
      <c r="Q61" s="632"/>
      <c r="R61" s="633"/>
    </row>
    <row r="62" spans="1:18" ht="16.8" customHeight="1">
      <c r="A62" s="664"/>
      <c r="B62" s="637" t="s">
        <v>81</v>
      </c>
      <c r="C62" s="637"/>
      <c r="D62" s="638" t="s">
        <v>14</v>
      </c>
      <c r="E62" s="639"/>
      <c r="F62" s="653" t="s">
        <v>448</v>
      </c>
      <c r="G62" s="653"/>
      <c r="H62" s="653"/>
      <c r="I62" s="653"/>
      <c r="J62" s="626"/>
      <c r="K62" s="845"/>
      <c r="L62" s="108"/>
      <c r="M62" s="8"/>
      <c r="N62" s="8"/>
      <c r="O62" s="51"/>
      <c r="P62" s="631"/>
      <c r="Q62" s="632"/>
      <c r="R62" s="633"/>
    </row>
    <row r="63" spans="1:18" ht="16.8" customHeight="1">
      <c r="A63" s="665"/>
      <c r="B63" s="637" t="s">
        <v>83</v>
      </c>
      <c r="C63" s="637"/>
      <c r="D63" s="638" t="s">
        <v>11</v>
      </c>
      <c r="E63" s="639"/>
      <c r="F63" s="659" t="s">
        <v>1165</v>
      </c>
      <c r="G63" s="659"/>
      <c r="H63" s="659"/>
      <c r="I63" s="659"/>
      <c r="J63" s="627"/>
      <c r="K63" s="1016"/>
      <c r="L63" s="108"/>
      <c r="M63" s="8"/>
      <c r="N63" s="8"/>
      <c r="O63" s="51"/>
      <c r="P63" s="634"/>
      <c r="Q63" s="635"/>
      <c r="R63" s="636"/>
    </row>
    <row r="64" spans="1:18" ht="16.8" customHeight="1">
      <c r="A64" s="59" t="s">
        <v>269</v>
      </c>
      <c r="B64" s="679" t="s">
        <v>868</v>
      </c>
      <c r="C64" s="680"/>
      <c r="D64" s="650" t="s">
        <v>240</v>
      </c>
      <c r="E64" s="650"/>
      <c r="F64" s="681" t="s">
        <v>1192</v>
      </c>
      <c r="G64" s="682"/>
      <c r="H64" s="682"/>
      <c r="I64" s="683"/>
      <c r="J64" s="255" t="s">
        <v>1296</v>
      </c>
      <c r="K64" s="535"/>
      <c r="L64" s="76" t="s">
        <v>425</v>
      </c>
      <c r="M64" s="320">
        <v>120</v>
      </c>
      <c r="N64" s="320">
        <v>1</v>
      </c>
      <c r="O64" s="528">
        <v>8120</v>
      </c>
      <c r="P64" s="674" t="s">
        <v>918</v>
      </c>
      <c r="Q64" s="675"/>
      <c r="R64" s="676"/>
    </row>
    <row r="65" spans="1:18" ht="30" customHeight="1">
      <c r="A65" s="59" t="s">
        <v>156</v>
      </c>
      <c r="B65" s="650" t="s">
        <v>205</v>
      </c>
      <c r="C65" s="650"/>
      <c r="D65" s="618" t="s">
        <v>49</v>
      </c>
      <c r="E65" s="619"/>
      <c r="F65" s="620" t="s">
        <v>1149</v>
      </c>
      <c r="G65" s="621"/>
      <c r="H65" s="621"/>
      <c r="I65" s="622"/>
      <c r="J65" s="304" t="s">
        <v>1297</v>
      </c>
      <c r="K65" s="305" t="s">
        <v>1289</v>
      </c>
      <c r="L65" s="97" t="s">
        <v>425</v>
      </c>
      <c r="M65" s="323">
        <v>120</v>
      </c>
      <c r="N65" s="323">
        <v>1</v>
      </c>
      <c r="O65" s="334">
        <v>13120</v>
      </c>
      <c r="P65" s="652" t="s">
        <v>876</v>
      </c>
      <c r="Q65" s="623"/>
      <c r="R65" s="624"/>
    </row>
    <row r="66" spans="1:18" ht="30" customHeight="1">
      <c r="A66" s="231" t="s">
        <v>70</v>
      </c>
      <c r="B66" s="650" t="s">
        <v>147</v>
      </c>
      <c r="C66" s="650"/>
      <c r="D66" s="650" t="s">
        <v>49</v>
      </c>
      <c r="E66" s="650"/>
      <c r="F66" s="651" t="s">
        <v>441</v>
      </c>
      <c r="G66" s="651"/>
      <c r="H66" s="651"/>
      <c r="I66" s="651"/>
      <c r="J66" s="296" t="s">
        <v>1294</v>
      </c>
      <c r="K66" s="507" t="s">
        <v>1290</v>
      </c>
      <c r="L66" s="97" t="s">
        <v>425</v>
      </c>
      <c r="M66" s="323">
        <v>120</v>
      </c>
      <c r="N66" s="323">
        <v>1</v>
      </c>
      <c r="O66" s="334">
        <v>10120</v>
      </c>
      <c r="P66" s="660" t="s">
        <v>877</v>
      </c>
      <c r="Q66" s="660"/>
      <c r="R66" s="660"/>
    </row>
    <row r="67" spans="1:18" ht="16.8" customHeight="1">
      <c r="A67" s="664" t="s">
        <v>141</v>
      </c>
      <c r="B67" s="637" t="s">
        <v>10</v>
      </c>
      <c r="C67" s="637"/>
      <c r="D67" s="638" t="s">
        <v>43</v>
      </c>
      <c r="E67" s="639"/>
      <c r="F67" s="666" t="s">
        <v>890</v>
      </c>
      <c r="G67" s="667"/>
      <c r="H67" s="667"/>
      <c r="I67" s="667"/>
      <c r="J67" s="668" t="s">
        <v>1299</v>
      </c>
      <c r="K67" s="1017"/>
      <c r="L67" s="108"/>
      <c r="M67" s="324">
        <v>120</v>
      </c>
      <c r="N67" s="324">
        <v>1</v>
      </c>
      <c r="O67" s="529">
        <v>3120</v>
      </c>
      <c r="P67" s="631" t="s">
        <v>910</v>
      </c>
      <c r="Q67" s="632"/>
      <c r="R67" s="633"/>
    </row>
    <row r="68" spans="1:18" ht="16.8" customHeight="1">
      <c r="A68" s="664"/>
      <c r="B68" s="637" t="s">
        <v>81</v>
      </c>
      <c r="C68" s="637"/>
      <c r="D68" s="661" t="s">
        <v>11</v>
      </c>
      <c r="E68" s="661"/>
      <c r="F68" s="662" t="s">
        <v>891</v>
      </c>
      <c r="G68" s="663"/>
      <c r="H68" s="663"/>
      <c r="I68" s="663"/>
      <c r="J68" s="669"/>
      <c r="K68" s="1018"/>
      <c r="L68" s="108"/>
      <c r="M68" s="324"/>
      <c r="N68" s="324"/>
      <c r="O68" s="529"/>
      <c r="P68" s="631"/>
      <c r="Q68" s="632"/>
      <c r="R68" s="633"/>
    </row>
    <row r="69" spans="1:18" ht="16.8" customHeight="1">
      <c r="A69" s="665"/>
      <c r="B69" s="637" t="s">
        <v>83</v>
      </c>
      <c r="C69" s="637"/>
      <c r="D69" s="661" t="s">
        <v>11</v>
      </c>
      <c r="E69" s="661"/>
      <c r="F69" s="659" t="s">
        <v>892</v>
      </c>
      <c r="G69" s="659"/>
      <c r="H69" s="659"/>
      <c r="I69" s="659"/>
      <c r="J69" s="670"/>
      <c r="K69" s="1019"/>
      <c r="L69" s="108"/>
      <c r="M69" s="324"/>
      <c r="N69" s="324"/>
      <c r="O69" s="529"/>
      <c r="P69" s="634"/>
      <c r="Q69" s="635"/>
      <c r="R69" s="636"/>
    </row>
    <row r="70" spans="1:18" ht="16.8" customHeight="1">
      <c r="A70" s="184" t="s">
        <v>352</v>
      </c>
      <c r="B70" s="650" t="s">
        <v>147</v>
      </c>
      <c r="C70" s="650"/>
      <c r="D70" s="650" t="s">
        <v>49</v>
      </c>
      <c r="E70" s="650"/>
      <c r="F70" s="651" t="s">
        <v>966</v>
      </c>
      <c r="G70" s="651"/>
      <c r="H70" s="651"/>
      <c r="I70" s="651"/>
      <c r="J70" s="25" t="s">
        <v>1574</v>
      </c>
      <c r="K70" s="25" t="s">
        <v>1573</v>
      </c>
      <c r="L70" s="97" t="s">
        <v>425</v>
      </c>
      <c r="M70" s="334">
        <v>120</v>
      </c>
      <c r="N70" s="552">
        <v>1</v>
      </c>
      <c r="O70" s="333">
        <v>1320</v>
      </c>
      <c r="P70" s="652" t="s">
        <v>976</v>
      </c>
      <c r="Q70" s="623"/>
      <c r="R70" s="624"/>
    </row>
    <row r="71" spans="1:18" ht="16.8" customHeight="1">
      <c r="A71" s="73" t="s">
        <v>78</v>
      </c>
      <c r="B71" s="650" t="s">
        <v>211</v>
      </c>
      <c r="C71" s="650"/>
      <c r="D71" s="650" t="s">
        <v>72</v>
      </c>
      <c r="E71" s="650"/>
      <c r="F71" s="651" t="s">
        <v>893</v>
      </c>
      <c r="G71" s="651"/>
      <c r="H71" s="651"/>
      <c r="I71" s="651"/>
      <c r="J71" s="25" t="s">
        <v>1298</v>
      </c>
      <c r="K71" s="25"/>
      <c r="L71" s="97" t="s">
        <v>436</v>
      </c>
      <c r="M71" s="323">
        <v>120</v>
      </c>
      <c r="N71" s="323">
        <v>1</v>
      </c>
      <c r="O71" s="334">
        <v>25120</v>
      </c>
      <c r="P71" s="660" t="s">
        <v>1070</v>
      </c>
      <c r="Q71" s="660"/>
      <c r="R71" s="660"/>
    </row>
    <row r="72" spans="1:18" ht="16.8" customHeight="1">
      <c r="A72" s="73" t="s">
        <v>919</v>
      </c>
      <c r="B72" s="650" t="s">
        <v>147</v>
      </c>
      <c r="C72" s="650"/>
      <c r="D72" s="650" t="s">
        <v>49</v>
      </c>
      <c r="E72" s="650"/>
      <c r="F72" s="651" t="s">
        <v>1150</v>
      </c>
      <c r="G72" s="651"/>
      <c r="H72" s="651"/>
      <c r="I72" s="651"/>
      <c r="J72" s="25" t="s">
        <v>1575</v>
      </c>
      <c r="K72" s="25" t="s">
        <v>1573</v>
      </c>
      <c r="L72" s="97" t="s">
        <v>1169</v>
      </c>
      <c r="M72" s="323">
        <v>120</v>
      </c>
      <c r="N72" s="323">
        <v>1</v>
      </c>
      <c r="O72" s="334">
        <v>2620</v>
      </c>
      <c r="P72" s="652" t="s">
        <v>977</v>
      </c>
      <c r="Q72" s="623"/>
      <c r="R72" s="624"/>
    </row>
    <row r="73" spans="1:18" ht="16.8" customHeight="1">
      <c r="A73" s="59" t="s">
        <v>920</v>
      </c>
      <c r="B73" s="618" t="s">
        <v>62</v>
      </c>
      <c r="C73" s="619"/>
      <c r="D73" s="618" t="s">
        <v>63</v>
      </c>
      <c r="E73" s="619"/>
      <c r="F73" s="620" t="s">
        <v>882</v>
      </c>
      <c r="G73" s="621"/>
      <c r="H73" s="621"/>
      <c r="I73" s="622"/>
      <c r="J73" s="25" t="s">
        <v>1298</v>
      </c>
      <c r="K73" s="509"/>
      <c r="L73" s="257" t="s">
        <v>425</v>
      </c>
      <c r="M73" s="328">
        <v>120</v>
      </c>
      <c r="N73" s="25">
        <v>1</v>
      </c>
      <c r="O73" s="32">
        <v>10120</v>
      </c>
      <c r="P73" s="623" t="s">
        <v>883</v>
      </c>
      <c r="Q73" s="623"/>
      <c r="R73" s="624"/>
    </row>
    <row r="74" spans="1:18" ht="30" customHeight="1">
      <c r="A74" s="59" t="s">
        <v>921</v>
      </c>
      <c r="B74" s="618" t="s">
        <v>178</v>
      </c>
      <c r="C74" s="619"/>
      <c r="D74" s="618" t="s">
        <v>72</v>
      </c>
      <c r="E74" s="619"/>
      <c r="F74" s="620" t="s">
        <v>922</v>
      </c>
      <c r="G74" s="621"/>
      <c r="H74" s="621"/>
      <c r="I74" s="622"/>
      <c r="J74" s="532" t="s">
        <v>1353</v>
      </c>
      <c r="K74" s="537" t="s">
        <v>1091</v>
      </c>
      <c r="L74" s="97" t="s">
        <v>436</v>
      </c>
      <c r="M74" s="25">
        <v>120</v>
      </c>
      <c r="N74" s="25">
        <v>1</v>
      </c>
      <c r="O74" s="32">
        <v>5120</v>
      </c>
      <c r="P74" s="660" t="s">
        <v>878</v>
      </c>
      <c r="Q74" s="660"/>
      <c r="R74" s="660"/>
    </row>
    <row r="75" spans="1:18" ht="16.8" customHeight="1">
      <c r="A75" s="530" t="s">
        <v>1068</v>
      </c>
      <c r="B75" s="1009" t="s">
        <v>164</v>
      </c>
      <c r="C75" s="1010"/>
      <c r="D75" s="874" t="s">
        <v>93</v>
      </c>
      <c r="E75" s="875"/>
      <c r="F75" s="1011" t="s">
        <v>1093</v>
      </c>
      <c r="G75" s="1012"/>
      <c r="H75" s="1012"/>
      <c r="I75" s="1013"/>
      <c r="J75" s="534"/>
      <c r="K75" s="534"/>
      <c r="L75" s="93" t="s">
        <v>425</v>
      </c>
      <c r="M75" s="170">
        <v>120</v>
      </c>
      <c r="N75" s="170">
        <v>1</v>
      </c>
      <c r="O75" s="36">
        <v>7120</v>
      </c>
      <c r="P75" s="1006" t="s">
        <v>1069</v>
      </c>
      <c r="Q75" s="1007"/>
      <c r="R75" s="1008"/>
    </row>
    <row r="76" spans="1:18" ht="18" customHeight="1">
      <c r="A76" s="279" t="s">
        <v>1376</v>
      </c>
      <c r="B76" s="531"/>
      <c r="C76" s="531"/>
      <c r="D76" s="531"/>
      <c r="E76" s="531"/>
      <c r="F76" s="531"/>
      <c r="G76" s="531"/>
      <c r="H76" s="531"/>
      <c r="I76" s="531"/>
      <c r="J76" s="531"/>
      <c r="K76" s="531"/>
      <c r="L76" s="531"/>
      <c r="M76" s="531"/>
      <c r="N76" s="531"/>
      <c r="O76" s="531"/>
      <c r="P76" s="531"/>
      <c r="Q76" s="531"/>
      <c r="R76" s="531"/>
    </row>
    <row r="77" spans="1:18" ht="18" customHeight="1"/>
    <row r="78" spans="1:18" ht="18" customHeight="1"/>
    <row r="79" spans="1:18" ht="18" customHeight="1"/>
    <row r="80" spans="1:18" ht="18" customHeight="1"/>
  </sheetData>
  <mergeCells count="295">
    <mergeCell ref="B73:C73"/>
    <mergeCell ref="D73:E73"/>
    <mergeCell ref="F73:I73"/>
    <mergeCell ref="P73:R73"/>
    <mergeCell ref="B74:C74"/>
    <mergeCell ref="D74:E74"/>
    <mergeCell ref="F74:I74"/>
    <mergeCell ref="P74:R74"/>
    <mergeCell ref="B75:C75"/>
    <mergeCell ref="D75:E75"/>
    <mergeCell ref="F75:I75"/>
    <mergeCell ref="P75:R75"/>
    <mergeCell ref="B70:C70"/>
    <mergeCell ref="D70:E70"/>
    <mergeCell ref="F70:I70"/>
    <mergeCell ref="P70:R70"/>
    <mergeCell ref="B71:C71"/>
    <mergeCell ref="D71:E71"/>
    <mergeCell ref="F71:I71"/>
    <mergeCell ref="P71:R71"/>
    <mergeCell ref="B72:C72"/>
    <mergeCell ref="D72:E72"/>
    <mergeCell ref="F72:I72"/>
    <mergeCell ref="P72:R72"/>
    <mergeCell ref="A67:A69"/>
    <mergeCell ref="B67:C67"/>
    <mergeCell ref="D67:E67"/>
    <mergeCell ref="F67:I67"/>
    <mergeCell ref="J67:J69"/>
    <mergeCell ref="K67:K69"/>
    <mergeCell ref="P67:R69"/>
    <mergeCell ref="B68:C68"/>
    <mergeCell ref="D68:E68"/>
    <mergeCell ref="F68:I68"/>
    <mergeCell ref="B69:C69"/>
    <mergeCell ref="D69:E69"/>
    <mergeCell ref="F69:I69"/>
    <mergeCell ref="B64:C64"/>
    <mergeCell ref="D64:E64"/>
    <mergeCell ref="F64:I64"/>
    <mergeCell ref="P64:R64"/>
    <mergeCell ref="B65:C65"/>
    <mergeCell ref="D65:E65"/>
    <mergeCell ref="F65:I65"/>
    <mergeCell ref="P65:R65"/>
    <mergeCell ref="B66:C66"/>
    <mergeCell ref="D66:E66"/>
    <mergeCell ref="F66:I66"/>
    <mergeCell ref="P66:R66"/>
    <mergeCell ref="A61:A63"/>
    <mergeCell ref="B61:C61"/>
    <mergeCell ref="D61:E61"/>
    <mergeCell ref="F61:I61"/>
    <mergeCell ref="J61:J63"/>
    <mergeCell ref="K61:K63"/>
    <mergeCell ref="P61:R63"/>
    <mergeCell ref="B62:C62"/>
    <mergeCell ref="D62:E62"/>
    <mergeCell ref="F62:I62"/>
    <mergeCell ref="B63:C63"/>
    <mergeCell ref="D63:E63"/>
    <mergeCell ref="F63:I63"/>
    <mergeCell ref="A59:A60"/>
    <mergeCell ref="B59:C59"/>
    <mergeCell ref="D59:E59"/>
    <mergeCell ref="F59:I59"/>
    <mergeCell ref="J59:J60"/>
    <mergeCell ref="K59:K60"/>
    <mergeCell ref="P59:R60"/>
    <mergeCell ref="B60:C60"/>
    <mergeCell ref="D60:E60"/>
    <mergeCell ref="F60:I60"/>
    <mergeCell ref="A57:A58"/>
    <mergeCell ref="B57:C57"/>
    <mergeCell ref="D57:E57"/>
    <mergeCell ref="F57:I57"/>
    <mergeCell ref="J57:J58"/>
    <mergeCell ref="K57:K58"/>
    <mergeCell ref="P57:R58"/>
    <mergeCell ref="B58:C58"/>
    <mergeCell ref="D58:E58"/>
    <mergeCell ref="F58:I58"/>
    <mergeCell ref="B54:C54"/>
    <mergeCell ref="D54:E54"/>
    <mergeCell ref="F54:I54"/>
    <mergeCell ref="P54:R54"/>
    <mergeCell ref="B55:C55"/>
    <mergeCell ref="D55:E55"/>
    <mergeCell ref="F55:I55"/>
    <mergeCell ref="P55:R55"/>
    <mergeCell ref="B56:C56"/>
    <mergeCell ref="D56:E56"/>
    <mergeCell ref="F56:I56"/>
    <mergeCell ref="P56:R56"/>
    <mergeCell ref="A52:A53"/>
    <mergeCell ref="B52:C52"/>
    <mergeCell ref="D52:E52"/>
    <mergeCell ref="F52:I52"/>
    <mergeCell ref="J52:J53"/>
    <mergeCell ref="K52:K53"/>
    <mergeCell ref="P52:R53"/>
    <mergeCell ref="B53:C53"/>
    <mergeCell ref="D53:E53"/>
    <mergeCell ref="F53:I53"/>
    <mergeCell ref="A50:A51"/>
    <mergeCell ref="B50:C50"/>
    <mergeCell ref="D50:E50"/>
    <mergeCell ref="F50:I50"/>
    <mergeCell ref="J50:J51"/>
    <mergeCell ref="K50:K51"/>
    <mergeCell ref="P50:R51"/>
    <mergeCell ref="B51:C51"/>
    <mergeCell ref="D51:E51"/>
    <mergeCell ref="F51:I51"/>
    <mergeCell ref="A48:A49"/>
    <mergeCell ref="B48:C48"/>
    <mergeCell ref="D48:E48"/>
    <mergeCell ref="F48:I48"/>
    <mergeCell ref="J48:J49"/>
    <mergeCell ref="K48:K49"/>
    <mergeCell ref="P48:R49"/>
    <mergeCell ref="B49:C49"/>
    <mergeCell ref="D49:E49"/>
    <mergeCell ref="F49:I49"/>
    <mergeCell ref="P44:R45"/>
    <mergeCell ref="B46:C46"/>
    <mergeCell ref="D46:E46"/>
    <mergeCell ref="F46:I46"/>
    <mergeCell ref="P46:R46"/>
    <mergeCell ref="B47:C47"/>
    <mergeCell ref="D47:E47"/>
    <mergeCell ref="F47:I47"/>
    <mergeCell ref="P47:R47"/>
    <mergeCell ref="A44:A45"/>
    <mergeCell ref="B44:C45"/>
    <mergeCell ref="D44:E45"/>
    <mergeCell ref="F44:I45"/>
    <mergeCell ref="J44:J45"/>
    <mergeCell ref="K44:K45"/>
    <mergeCell ref="M44:M45"/>
    <mergeCell ref="N44:N45"/>
    <mergeCell ref="O44:O45"/>
    <mergeCell ref="B34:C34"/>
    <mergeCell ref="D34:E34"/>
    <mergeCell ref="F34:I34"/>
    <mergeCell ref="P34:R34"/>
    <mergeCell ref="B32:C32"/>
    <mergeCell ref="D32:E32"/>
    <mergeCell ref="F32:I32"/>
    <mergeCell ref="P32:R32"/>
    <mergeCell ref="B33:C33"/>
    <mergeCell ref="D33:E33"/>
    <mergeCell ref="F33:I33"/>
    <mergeCell ref="P33:R33"/>
    <mergeCell ref="B31:C31"/>
    <mergeCell ref="D31:E31"/>
    <mergeCell ref="F31:I31"/>
    <mergeCell ref="P31:R31"/>
    <mergeCell ref="P27:R29"/>
    <mergeCell ref="B28:C28"/>
    <mergeCell ref="D28:E28"/>
    <mergeCell ref="F28:I28"/>
    <mergeCell ref="B29:C29"/>
    <mergeCell ref="D29:E29"/>
    <mergeCell ref="F29:I29"/>
    <mergeCell ref="P26:R26"/>
    <mergeCell ref="A27:A29"/>
    <mergeCell ref="B27:C27"/>
    <mergeCell ref="D27:E27"/>
    <mergeCell ref="F27:I27"/>
    <mergeCell ref="J27:J29"/>
    <mergeCell ref="K27:K29"/>
    <mergeCell ref="B30:C30"/>
    <mergeCell ref="D30:E30"/>
    <mergeCell ref="F30:I30"/>
    <mergeCell ref="P30:R30"/>
    <mergeCell ref="A21:A23"/>
    <mergeCell ref="B21:C21"/>
    <mergeCell ref="D21:E21"/>
    <mergeCell ref="F21:I21"/>
    <mergeCell ref="J21:J23"/>
    <mergeCell ref="K21:K23"/>
    <mergeCell ref="B26:C26"/>
    <mergeCell ref="D26:E26"/>
    <mergeCell ref="F26:I26"/>
    <mergeCell ref="P24:R24"/>
    <mergeCell ref="B25:C25"/>
    <mergeCell ref="D25:E25"/>
    <mergeCell ref="F25:I25"/>
    <mergeCell ref="P25:R25"/>
    <mergeCell ref="P21:R23"/>
    <mergeCell ref="B22:C22"/>
    <mergeCell ref="D22:E22"/>
    <mergeCell ref="F22:I22"/>
    <mergeCell ref="B23:C23"/>
    <mergeCell ref="D23:E23"/>
    <mergeCell ref="F23:I23"/>
    <mergeCell ref="B24:C24"/>
    <mergeCell ref="D24:E24"/>
    <mergeCell ref="F24:I24"/>
    <mergeCell ref="P17:R18"/>
    <mergeCell ref="B18:C18"/>
    <mergeCell ref="D18:E18"/>
    <mergeCell ref="F18:I18"/>
    <mergeCell ref="A19:A20"/>
    <mergeCell ref="B19:C19"/>
    <mergeCell ref="D19:E19"/>
    <mergeCell ref="F19:I19"/>
    <mergeCell ref="J19:J20"/>
    <mergeCell ref="K19:K20"/>
    <mergeCell ref="A17:A18"/>
    <mergeCell ref="B17:C17"/>
    <mergeCell ref="D17:E17"/>
    <mergeCell ref="F17:I17"/>
    <mergeCell ref="J17:J18"/>
    <mergeCell ref="K17:K18"/>
    <mergeCell ref="P19:R20"/>
    <mergeCell ref="B20:C20"/>
    <mergeCell ref="D20:E20"/>
    <mergeCell ref="F20:I20"/>
    <mergeCell ref="B15:C15"/>
    <mergeCell ref="D15:E15"/>
    <mergeCell ref="F15:I15"/>
    <mergeCell ref="P15:R15"/>
    <mergeCell ref="B16:C16"/>
    <mergeCell ref="D16:E16"/>
    <mergeCell ref="F16:I16"/>
    <mergeCell ref="P16:R16"/>
    <mergeCell ref="P12:R13"/>
    <mergeCell ref="B13:C13"/>
    <mergeCell ref="D13:E13"/>
    <mergeCell ref="F13:I13"/>
    <mergeCell ref="B14:C14"/>
    <mergeCell ref="D14:E14"/>
    <mergeCell ref="F14:I14"/>
    <mergeCell ref="P14:R14"/>
    <mergeCell ref="P10:R11"/>
    <mergeCell ref="B11:C11"/>
    <mergeCell ref="D11:E11"/>
    <mergeCell ref="F11:I11"/>
    <mergeCell ref="A12:A13"/>
    <mergeCell ref="B12:C12"/>
    <mergeCell ref="D12:E12"/>
    <mergeCell ref="F12:I12"/>
    <mergeCell ref="J12:J13"/>
    <mergeCell ref="K12:K13"/>
    <mergeCell ref="D9:E9"/>
    <mergeCell ref="F9:I9"/>
    <mergeCell ref="A10:A11"/>
    <mergeCell ref="B10:C10"/>
    <mergeCell ref="D10:E10"/>
    <mergeCell ref="F10:I10"/>
    <mergeCell ref="J10:J11"/>
    <mergeCell ref="K10:K11"/>
    <mergeCell ref="A8:A9"/>
    <mergeCell ref="B8:C8"/>
    <mergeCell ref="D8:E8"/>
    <mergeCell ref="F8:I8"/>
    <mergeCell ref="J8:J9"/>
    <mergeCell ref="K8:K9"/>
    <mergeCell ref="P35:R35"/>
    <mergeCell ref="A4:A5"/>
    <mergeCell ref="B4:C5"/>
    <mergeCell ref="D4:E5"/>
    <mergeCell ref="F4:I5"/>
    <mergeCell ref="J4:J5"/>
    <mergeCell ref="K4:K5"/>
    <mergeCell ref="B35:C35"/>
    <mergeCell ref="D35:E35"/>
    <mergeCell ref="F35:I35"/>
    <mergeCell ref="B6:C6"/>
    <mergeCell ref="D6:E6"/>
    <mergeCell ref="F6:I6"/>
    <mergeCell ref="P6:R6"/>
    <mergeCell ref="B7:C7"/>
    <mergeCell ref="D7:E7"/>
    <mergeCell ref="F7:I7"/>
    <mergeCell ref="P7:R7"/>
    <mergeCell ref="M4:M5"/>
    <mergeCell ref="N4:N5"/>
    <mergeCell ref="O4:O5"/>
    <mergeCell ref="P4:R5"/>
    <mergeCell ref="P8:R9"/>
    <mergeCell ref="B9:C9"/>
    <mergeCell ref="V44:V48"/>
    <mergeCell ref="W44:X44"/>
    <mergeCell ref="Y44:AD44"/>
    <mergeCell ref="W45:X45"/>
    <mergeCell ref="Y45:AD45"/>
    <mergeCell ref="W46:X46"/>
    <mergeCell ref="Y46:AD46"/>
    <mergeCell ref="W47:X47"/>
    <mergeCell ref="Y47:AD47"/>
    <mergeCell ref="W48:X48"/>
    <mergeCell ref="Y48:AD48"/>
  </mergeCells>
  <phoneticPr fontId="11"/>
  <printOptions horizontalCentered="1" verticalCentered="1"/>
  <pageMargins left="0.11811023622047245" right="0.11811023622047245" top="0.11811023622047245" bottom="0.11811023622047245" header="0.11811023622047245" footer="0.11811023622047245"/>
  <pageSetup paperSize="9" scale="75" orientation="landscape" r:id="rId1"/>
  <rowBreaks count="1" manualBreakCount="1">
    <brk id="40" max="17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6F35-4A8A-4D97-80D6-EF05754C719E}">
  <sheetPr>
    <tabColor rgb="FF00B050"/>
  </sheetPr>
  <dimension ref="A1:AF91"/>
  <sheetViews>
    <sheetView view="pageBreakPreview" topLeftCell="A19" zoomScale="85" zoomScaleNormal="100" zoomScaleSheetLayoutView="85" workbookViewId="0">
      <selection activeCell="T70" sqref="T70:T71"/>
    </sheetView>
  </sheetViews>
  <sheetFormatPr defaultRowHeight="18"/>
  <cols>
    <col min="1" max="1" width="5.69921875" customWidth="1"/>
    <col min="2" max="3" width="7.59765625" customWidth="1"/>
    <col min="4" max="5" width="5.69921875" customWidth="1"/>
    <col min="6" max="8" width="7.59765625" customWidth="1"/>
    <col min="9" max="9" width="3.8984375" customWidth="1"/>
    <col min="10" max="11" width="30.69921875" customWidth="1"/>
    <col min="12" max="15" width="5.69921875" customWidth="1"/>
    <col min="16" max="18" width="10.69921875" customWidth="1"/>
  </cols>
  <sheetData>
    <row r="1" spans="1:18" ht="18" customHeight="1">
      <c r="A1" s="262" t="s">
        <v>1494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ht="18" customHeight="1">
      <c r="A2" s="267" t="s">
        <v>1189</v>
      </c>
      <c r="B2" s="464"/>
      <c r="C2" s="464"/>
      <c r="D2" s="39"/>
      <c r="E2" s="39"/>
      <c r="F2" s="39"/>
      <c r="G2" s="39"/>
      <c r="H2" s="39"/>
      <c r="I2" s="39"/>
      <c r="J2" s="39"/>
      <c r="K2" s="39"/>
      <c r="L2" s="465"/>
      <c r="M2" s="39"/>
      <c r="N2" s="39"/>
      <c r="O2" s="39"/>
      <c r="P2" s="39"/>
      <c r="Q2" s="39"/>
      <c r="R2" s="39"/>
    </row>
    <row r="3" spans="1:18" ht="15" customHeight="1">
      <c r="A3" s="49" t="s">
        <v>366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 t="s">
        <v>983</v>
      </c>
    </row>
    <row r="4" spans="1:18" ht="15" customHeight="1">
      <c r="A4" s="754" t="s">
        <v>2</v>
      </c>
      <c r="B4" s="756" t="s">
        <v>3</v>
      </c>
      <c r="C4" s="757"/>
      <c r="D4" s="760" t="s">
        <v>4</v>
      </c>
      <c r="E4" s="761"/>
      <c r="F4" s="756" t="s">
        <v>5</v>
      </c>
      <c r="G4" s="764"/>
      <c r="H4" s="764"/>
      <c r="I4" s="757"/>
      <c r="J4" s="713" t="s">
        <v>491</v>
      </c>
      <c r="K4" s="766" t="s">
        <v>7</v>
      </c>
      <c r="L4" s="185" t="s">
        <v>1178</v>
      </c>
      <c r="M4" s="696" t="s">
        <v>1095</v>
      </c>
      <c r="N4" s="805" t="s">
        <v>1096</v>
      </c>
      <c r="O4" s="766" t="s">
        <v>1097</v>
      </c>
      <c r="P4" s="806" t="s">
        <v>8</v>
      </c>
      <c r="Q4" s="807"/>
      <c r="R4" s="808"/>
    </row>
    <row r="5" spans="1:18" ht="15" customHeight="1">
      <c r="A5" s="755"/>
      <c r="B5" s="758"/>
      <c r="C5" s="759"/>
      <c r="D5" s="762"/>
      <c r="E5" s="763"/>
      <c r="F5" s="758"/>
      <c r="G5" s="765"/>
      <c r="H5" s="765"/>
      <c r="I5" s="759"/>
      <c r="J5" s="714"/>
      <c r="K5" s="767"/>
      <c r="L5" s="186" t="s">
        <v>1170</v>
      </c>
      <c r="M5" s="706"/>
      <c r="N5" s="1029"/>
      <c r="O5" s="767"/>
      <c r="P5" s="809"/>
      <c r="Q5" s="810"/>
      <c r="R5" s="811"/>
    </row>
    <row r="6" spans="1:18" ht="16.95" customHeight="1">
      <c r="A6" s="59" t="s">
        <v>233</v>
      </c>
      <c r="B6" s="618" t="s">
        <v>178</v>
      </c>
      <c r="C6" s="619"/>
      <c r="D6" s="618" t="s">
        <v>240</v>
      </c>
      <c r="E6" s="619"/>
      <c r="F6" s="620" t="s">
        <v>1067</v>
      </c>
      <c r="G6" s="621"/>
      <c r="H6" s="621"/>
      <c r="I6" s="622"/>
      <c r="J6" s="23" t="s">
        <v>1291</v>
      </c>
      <c r="K6" s="273" t="s">
        <v>989</v>
      </c>
      <c r="L6" s="93" t="s">
        <v>425</v>
      </c>
      <c r="M6" s="25">
        <v>120</v>
      </c>
      <c r="N6" s="25">
        <v>1</v>
      </c>
      <c r="O6" s="43">
        <v>20120</v>
      </c>
      <c r="P6" s="652" t="s">
        <v>916</v>
      </c>
      <c r="Q6" s="623"/>
      <c r="R6" s="624"/>
    </row>
    <row r="7" spans="1:18" ht="16.95" customHeight="1">
      <c r="A7" s="57" t="s">
        <v>239</v>
      </c>
      <c r="B7" s="618" t="s">
        <v>236</v>
      </c>
      <c r="C7" s="619"/>
      <c r="D7" s="618" t="s">
        <v>49</v>
      </c>
      <c r="E7" s="619"/>
      <c r="F7" s="620" t="s">
        <v>1171</v>
      </c>
      <c r="G7" s="621"/>
      <c r="H7" s="621"/>
      <c r="I7" s="622"/>
      <c r="J7" s="15" t="s">
        <v>1228</v>
      </c>
      <c r="K7" s="15"/>
      <c r="L7" s="97" t="s">
        <v>436</v>
      </c>
      <c r="M7" s="25">
        <v>120</v>
      </c>
      <c r="N7" s="25">
        <v>1</v>
      </c>
      <c r="O7" s="32">
        <v>12120</v>
      </c>
      <c r="P7" s="652" t="s">
        <v>917</v>
      </c>
      <c r="Q7" s="623"/>
      <c r="R7" s="624"/>
    </row>
    <row r="8" spans="1:18" ht="16.95" customHeight="1">
      <c r="A8" s="614" t="s">
        <v>242</v>
      </c>
      <c r="B8" s="700" t="s">
        <v>10</v>
      </c>
      <c r="C8" s="701"/>
      <c r="D8" s="700" t="s">
        <v>11</v>
      </c>
      <c r="E8" s="701"/>
      <c r="F8" s="769" t="s">
        <v>415</v>
      </c>
      <c r="G8" s="770"/>
      <c r="H8" s="770"/>
      <c r="I8" s="771"/>
      <c r="J8" s="625" t="s">
        <v>1301</v>
      </c>
      <c r="K8" s="1027" t="s">
        <v>1074</v>
      </c>
      <c r="L8" s="88"/>
      <c r="M8" s="8">
        <v>120</v>
      </c>
      <c r="N8" s="8">
        <v>1</v>
      </c>
      <c r="O8" s="124">
        <v>12120</v>
      </c>
      <c r="P8" s="656" t="s">
        <v>875</v>
      </c>
      <c r="Q8" s="657"/>
      <c r="R8" s="658"/>
    </row>
    <row r="9" spans="1:18" ht="16.95" customHeight="1">
      <c r="A9" s="616"/>
      <c r="B9" s="700" t="s">
        <v>13</v>
      </c>
      <c r="C9" s="701"/>
      <c r="D9" s="700" t="s">
        <v>11</v>
      </c>
      <c r="E9" s="701"/>
      <c r="F9" s="769" t="s">
        <v>418</v>
      </c>
      <c r="G9" s="770"/>
      <c r="H9" s="770"/>
      <c r="I9" s="771"/>
      <c r="J9" s="627"/>
      <c r="K9" s="1028"/>
      <c r="L9" s="88"/>
      <c r="M9" s="8"/>
      <c r="N9" s="8"/>
      <c r="O9" s="124"/>
      <c r="P9" s="634"/>
      <c r="Q9" s="635"/>
      <c r="R9" s="636"/>
    </row>
    <row r="10" spans="1:18" ht="16.95" customHeight="1">
      <c r="A10" s="614" t="s">
        <v>807</v>
      </c>
      <c r="B10" s="700" t="s">
        <v>10</v>
      </c>
      <c r="C10" s="701"/>
      <c r="D10" s="700" t="s">
        <v>43</v>
      </c>
      <c r="E10" s="701"/>
      <c r="F10" s="769" t="s">
        <v>1525</v>
      </c>
      <c r="G10" s="770"/>
      <c r="H10" s="770"/>
      <c r="I10" s="771"/>
      <c r="J10" s="625" t="s">
        <v>1292</v>
      </c>
      <c r="K10" s="802"/>
      <c r="L10" s="88"/>
      <c r="M10" s="8">
        <v>120</v>
      </c>
      <c r="N10" s="8">
        <v>1</v>
      </c>
      <c r="O10" s="124">
        <v>1120</v>
      </c>
      <c r="P10" s="656" t="s">
        <v>874</v>
      </c>
      <c r="Q10" s="657"/>
      <c r="R10" s="658"/>
    </row>
    <row r="11" spans="1:18" ht="16.95" customHeight="1">
      <c r="A11" s="616"/>
      <c r="B11" s="700" t="s">
        <v>13</v>
      </c>
      <c r="C11" s="701"/>
      <c r="D11" s="700" t="s">
        <v>11</v>
      </c>
      <c r="E11" s="701"/>
      <c r="F11" s="769" t="s">
        <v>414</v>
      </c>
      <c r="G11" s="770"/>
      <c r="H11" s="770"/>
      <c r="I11" s="771"/>
      <c r="J11" s="627"/>
      <c r="K11" s="803"/>
      <c r="L11" s="88"/>
      <c r="M11" s="8"/>
      <c r="N11" s="8"/>
      <c r="O11" s="124"/>
      <c r="P11" s="634"/>
      <c r="Q11" s="635"/>
      <c r="R11" s="636"/>
    </row>
    <row r="12" spans="1:18" ht="16.95" customHeight="1">
      <c r="A12" s="614" t="s">
        <v>808</v>
      </c>
      <c r="B12" s="700" t="s">
        <v>35</v>
      </c>
      <c r="C12" s="701"/>
      <c r="D12" s="661" t="s">
        <v>11</v>
      </c>
      <c r="E12" s="661"/>
      <c r="F12" s="699" t="s">
        <v>1190</v>
      </c>
      <c r="G12" s="699"/>
      <c r="H12" s="699"/>
      <c r="I12" s="699"/>
      <c r="J12" s="685"/>
      <c r="K12" s="702" t="s">
        <v>37</v>
      </c>
      <c r="L12" s="88"/>
      <c r="M12" s="8">
        <v>120</v>
      </c>
      <c r="N12" s="8">
        <v>1</v>
      </c>
      <c r="O12" s="124">
        <v>1200</v>
      </c>
      <c r="P12" s="656" t="s">
        <v>38</v>
      </c>
      <c r="Q12" s="657"/>
      <c r="R12" s="658"/>
    </row>
    <row r="13" spans="1:18" ht="16.95" customHeight="1">
      <c r="A13" s="616"/>
      <c r="B13" s="700" t="s">
        <v>304</v>
      </c>
      <c r="C13" s="701"/>
      <c r="D13" s="661" t="s">
        <v>11</v>
      </c>
      <c r="E13" s="661"/>
      <c r="F13" s="699" t="s">
        <v>1191</v>
      </c>
      <c r="G13" s="699"/>
      <c r="H13" s="699"/>
      <c r="I13" s="699"/>
      <c r="J13" s="686"/>
      <c r="K13" s="691"/>
      <c r="L13" s="88"/>
      <c r="M13" s="8"/>
      <c r="N13" s="8"/>
      <c r="O13" s="124"/>
      <c r="P13" s="634"/>
      <c r="Q13" s="635"/>
      <c r="R13" s="636"/>
    </row>
    <row r="14" spans="1:18" ht="30" customHeight="1">
      <c r="A14" s="59" t="s">
        <v>578</v>
      </c>
      <c r="B14" s="618" t="s">
        <v>164</v>
      </c>
      <c r="C14" s="619"/>
      <c r="D14" s="618" t="s">
        <v>63</v>
      </c>
      <c r="E14" s="619"/>
      <c r="F14" s="620" t="s">
        <v>788</v>
      </c>
      <c r="G14" s="621"/>
      <c r="H14" s="621"/>
      <c r="I14" s="622"/>
      <c r="J14" s="269" t="s">
        <v>1230</v>
      </c>
      <c r="K14" s="25"/>
      <c r="L14" s="93" t="s">
        <v>425</v>
      </c>
      <c r="M14" s="25">
        <v>120</v>
      </c>
      <c r="N14" s="25">
        <v>1</v>
      </c>
      <c r="O14" s="32">
        <v>5120</v>
      </c>
      <c r="P14" s="652" t="s">
        <v>871</v>
      </c>
      <c r="Q14" s="623"/>
      <c r="R14" s="624"/>
    </row>
    <row r="15" spans="1:18" ht="16.95" customHeight="1">
      <c r="A15" s="57" t="s">
        <v>309</v>
      </c>
      <c r="B15" s="618" t="s">
        <v>178</v>
      </c>
      <c r="C15" s="619"/>
      <c r="D15" s="618" t="s">
        <v>1115</v>
      </c>
      <c r="E15" s="619"/>
      <c r="F15" s="620" t="s">
        <v>1116</v>
      </c>
      <c r="G15" s="621"/>
      <c r="H15" s="621"/>
      <c r="I15" s="622"/>
      <c r="J15" s="67" t="s">
        <v>1293</v>
      </c>
      <c r="K15" s="67"/>
      <c r="L15" s="93" t="s">
        <v>425</v>
      </c>
      <c r="M15" s="25">
        <v>120</v>
      </c>
      <c r="N15" s="25">
        <v>1</v>
      </c>
      <c r="O15" s="52">
        <v>10120</v>
      </c>
      <c r="P15" s="652" t="s">
        <v>438</v>
      </c>
      <c r="Q15" s="623"/>
      <c r="R15" s="624"/>
    </row>
    <row r="16" spans="1:18" ht="30" customHeight="1">
      <c r="A16" s="229" t="s">
        <v>870</v>
      </c>
      <c r="B16" s="618" t="s">
        <v>147</v>
      </c>
      <c r="C16" s="619"/>
      <c r="D16" s="618" t="s">
        <v>49</v>
      </c>
      <c r="E16" s="619"/>
      <c r="F16" s="620" t="s">
        <v>441</v>
      </c>
      <c r="G16" s="621"/>
      <c r="H16" s="621"/>
      <c r="I16" s="622"/>
      <c r="J16" s="296" t="s">
        <v>1294</v>
      </c>
      <c r="K16" s="539" t="s">
        <v>1290</v>
      </c>
      <c r="L16" s="113" t="s">
        <v>425</v>
      </c>
      <c r="M16" s="25">
        <v>120</v>
      </c>
      <c r="N16" s="25">
        <v>1</v>
      </c>
      <c r="O16" s="32">
        <v>4120</v>
      </c>
      <c r="P16" s="652" t="s">
        <v>872</v>
      </c>
      <c r="Q16" s="623"/>
      <c r="R16" s="624"/>
    </row>
    <row r="17" spans="1:18" ht="16.95" customHeight="1">
      <c r="A17" s="614" t="s">
        <v>125</v>
      </c>
      <c r="B17" s="700" t="s">
        <v>199</v>
      </c>
      <c r="C17" s="701"/>
      <c r="D17" s="700" t="s">
        <v>11</v>
      </c>
      <c r="E17" s="701"/>
      <c r="F17" s="769" t="s">
        <v>419</v>
      </c>
      <c r="G17" s="770"/>
      <c r="H17" s="770"/>
      <c r="I17" s="771"/>
      <c r="J17" s="685"/>
      <c r="K17" s="702" t="s">
        <v>420</v>
      </c>
      <c r="L17" s="88"/>
      <c r="M17" s="8">
        <v>120</v>
      </c>
      <c r="N17" s="8">
        <v>1</v>
      </c>
      <c r="O17" s="124">
        <v>2120</v>
      </c>
      <c r="P17" s="656" t="s">
        <v>323</v>
      </c>
      <c r="Q17" s="657"/>
      <c r="R17" s="658"/>
    </row>
    <row r="18" spans="1:18" ht="16.95" customHeight="1">
      <c r="A18" s="616"/>
      <c r="B18" s="700" t="s">
        <v>202</v>
      </c>
      <c r="C18" s="701"/>
      <c r="D18" s="700" t="s">
        <v>11</v>
      </c>
      <c r="E18" s="701"/>
      <c r="F18" s="769" t="s">
        <v>1223</v>
      </c>
      <c r="G18" s="770"/>
      <c r="H18" s="770"/>
      <c r="I18" s="771"/>
      <c r="J18" s="686"/>
      <c r="K18" s="691"/>
      <c r="L18" s="88"/>
      <c r="M18" s="8"/>
      <c r="N18" s="8"/>
      <c r="O18" s="124"/>
      <c r="P18" s="634"/>
      <c r="Q18" s="635"/>
      <c r="R18" s="636"/>
    </row>
    <row r="19" spans="1:18" ht="16.95" customHeight="1">
      <c r="A19" s="614" t="s">
        <v>127</v>
      </c>
      <c r="B19" s="700" t="s">
        <v>10</v>
      </c>
      <c r="C19" s="701"/>
      <c r="D19" s="700" t="s">
        <v>43</v>
      </c>
      <c r="E19" s="701"/>
      <c r="F19" s="769" t="s">
        <v>810</v>
      </c>
      <c r="G19" s="770"/>
      <c r="H19" s="770"/>
      <c r="I19" s="771"/>
      <c r="J19" s="685" t="s">
        <v>1228</v>
      </c>
      <c r="K19" s="687"/>
      <c r="L19" s="88"/>
      <c r="M19" s="8">
        <v>120</v>
      </c>
      <c r="N19" s="8">
        <v>1</v>
      </c>
      <c r="O19" s="124">
        <v>500</v>
      </c>
      <c r="P19" s="656" t="s">
        <v>12</v>
      </c>
      <c r="Q19" s="657"/>
      <c r="R19" s="658"/>
    </row>
    <row r="20" spans="1:18" ht="16.95" customHeight="1" thickBot="1">
      <c r="A20" s="684"/>
      <c r="B20" s="693" t="s">
        <v>13</v>
      </c>
      <c r="C20" s="694"/>
      <c r="D20" s="693" t="s">
        <v>14</v>
      </c>
      <c r="E20" s="694"/>
      <c r="F20" s="783" t="s">
        <v>811</v>
      </c>
      <c r="G20" s="784"/>
      <c r="H20" s="784"/>
      <c r="I20" s="785"/>
      <c r="J20" s="1026"/>
      <c r="K20" s="688"/>
      <c r="L20" s="224"/>
      <c r="M20" s="24"/>
      <c r="N20" s="24"/>
      <c r="O20" s="363"/>
      <c r="P20" s="780"/>
      <c r="Q20" s="781"/>
      <c r="R20" s="782"/>
    </row>
    <row r="21" spans="1:18" ht="16.95" customHeight="1" thickTop="1">
      <c r="A21" s="772" t="s">
        <v>380</v>
      </c>
      <c r="B21" s="773" t="s">
        <v>10</v>
      </c>
      <c r="C21" s="774"/>
      <c r="D21" s="773" t="s">
        <v>14</v>
      </c>
      <c r="E21" s="774"/>
      <c r="F21" s="775" t="s">
        <v>445</v>
      </c>
      <c r="G21" s="776"/>
      <c r="H21" s="776"/>
      <c r="I21" s="777"/>
      <c r="J21" s="677" t="s">
        <v>1295</v>
      </c>
      <c r="K21" s="788" t="s">
        <v>986</v>
      </c>
      <c r="L21" s="108"/>
      <c r="M21" s="14">
        <v>120</v>
      </c>
      <c r="N21" s="8">
        <v>1</v>
      </c>
      <c r="O21" s="51">
        <v>2120</v>
      </c>
      <c r="P21" s="732" t="s">
        <v>825</v>
      </c>
      <c r="Q21" s="733"/>
      <c r="R21" s="734"/>
    </row>
    <row r="22" spans="1:18" ht="16.95" customHeight="1">
      <c r="A22" s="664"/>
      <c r="B22" s="700" t="s">
        <v>81</v>
      </c>
      <c r="C22" s="701"/>
      <c r="D22" s="700" t="s">
        <v>14</v>
      </c>
      <c r="E22" s="701"/>
      <c r="F22" s="769" t="s">
        <v>448</v>
      </c>
      <c r="G22" s="770"/>
      <c r="H22" s="770"/>
      <c r="I22" s="771"/>
      <c r="J22" s="626"/>
      <c r="K22" s="822"/>
      <c r="L22" s="108"/>
      <c r="M22" s="8"/>
      <c r="N22" s="8"/>
      <c r="O22" s="51"/>
      <c r="P22" s="631"/>
      <c r="Q22" s="632"/>
      <c r="R22" s="633"/>
    </row>
    <row r="23" spans="1:18" ht="16.95" customHeight="1">
      <c r="A23" s="665"/>
      <c r="B23" s="700" t="s">
        <v>83</v>
      </c>
      <c r="C23" s="701"/>
      <c r="D23" s="700" t="s">
        <v>14</v>
      </c>
      <c r="E23" s="701"/>
      <c r="F23" s="769" t="s">
        <v>812</v>
      </c>
      <c r="G23" s="770"/>
      <c r="H23" s="770"/>
      <c r="I23" s="771"/>
      <c r="J23" s="627"/>
      <c r="K23" s="1021"/>
      <c r="L23" s="108"/>
      <c r="M23" s="8"/>
      <c r="N23" s="8"/>
      <c r="O23" s="51"/>
      <c r="P23" s="634"/>
      <c r="Q23" s="635"/>
      <c r="R23" s="636"/>
    </row>
    <row r="24" spans="1:18" ht="16.95" customHeight="1">
      <c r="A24" s="59" t="s">
        <v>269</v>
      </c>
      <c r="B24" s="679" t="s">
        <v>868</v>
      </c>
      <c r="C24" s="680"/>
      <c r="D24" s="618" t="s">
        <v>72</v>
      </c>
      <c r="E24" s="619"/>
      <c r="F24" s="681" t="s">
        <v>1192</v>
      </c>
      <c r="G24" s="682"/>
      <c r="H24" s="682"/>
      <c r="I24" s="683"/>
      <c r="J24" s="255" t="s">
        <v>1296</v>
      </c>
      <c r="K24" s="96"/>
      <c r="L24" s="76" t="s">
        <v>425</v>
      </c>
      <c r="M24" s="320">
        <v>120</v>
      </c>
      <c r="N24" s="25">
        <v>1</v>
      </c>
      <c r="O24" s="463">
        <v>8120</v>
      </c>
      <c r="P24" s="674" t="s">
        <v>918</v>
      </c>
      <c r="Q24" s="675"/>
      <c r="R24" s="676"/>
    </row>
    <row r="25" spans="1:18" ht="30" customHeight="1">
      <c r="A25" s="59" t="s">
        <v>156</v>
      </c>
      <c r="B25" s="618" t="s">
        <v>485</v>
      </c>
      <c r="C25" s="619"/>
      <c r="D25" s="618" t="s">
        <v>49</v>
      </c>
      <c r="E25" s="619"/>
      <c r="F25" s="620" t="s">
        <v>1149</v>
      </c>
      <c r="G25" s="621"/>
      <c r="H25" s="621"/>
      <c r="I25" s="622"/>
      <c r="J25" s="304" t="s">
        <v>1297</v>
      </c>
      <c r="K25" s="538" t="s">
        <v>1300</v>
      </c>
      <c r="L25" s="97" t="s">
        <v>425</v>
      </c>
      <c r="M25" s="25">
        <v>120</v>
      </c>
      <c r="N25" s="25">
        <v>1</v>
      </c>
      <c r="O25" s="32">
        <v>13120</v>
      </c>
      <c r="P25" s="652" t="s">
        <v>876</v>
      </c>
      <c r="Q25" s="623"/>
      <c r="R25" s="624"/>
    </row>
    <row r="26" spans="1:18" ht="30" customHeight="1">
      <c r="A26" s="231" t="s">
        <v>70</v>
      </c>
      <c r="B26" s="618" t="s">
        <v>147</v>
      </c>
      <c r="C26" s="619"/>
      <c r="D26" s="618" t="s">
        <v>49</v>
      </c>
      <c r="E26" s="619"/>
      <c r="F26" s="620" t="s">
        <v>441</v>
      </c>
      <c r="G26" s="621"/>
      <c r="H26" s="621"/>
      <c r="I26" s="622"/>
      <c r="J26" s="296" t="s">
        <v>1294</v>
      </c>
      <c r="K26" s="507" t="s">
        <v>1290</v>
      </c>
      <c r="L26" s="97" t="s">
        <v>425</v>
      </c>
      <c r="M26" s="25">
        <v>120</v>
      </c>
      <c r="N26" s="25">
        <v>1</v>
      </c>
      <c r="O26" s="32">
        <v>10120</v>
      </c>
      <c r="P26" s="652" t="s">
        <v>877</v>
      </c>
      <c r="Q26" s="623"/>
      <c r="R26" s="624"/>
    </row>
    <row r="27" spans="1:18" ht="16.95" customHeight="1">
      <c r="A27" s="718" t="s">
        <v>141</v>
      </c>
      <c r="B27" s="700" t="s">
        <v>10</v>
      </c>
      <c r="C27" s="701"/>
      <c r="D27" s="700" t="s">
        <v>43</v>
      </c>
      <c r="E27" s="701"/>
      <c r="F27" s="662" t="s">
        <v>890</v>
      </c>
      <c r="G27" s="663"/>
      <c r="H27" s="663"/>
      <c r="I27" s="750"/>
      <c r="J27" s="668" t="s">
        <v>1299</v>
      </c>
      <c r="K27" s="1023"/>
      <c r="L27" s="108"/>
      <c r="M27" s="8">
        <v>120</v>
      </c>
      <c r="N27" s="8">
        <v>1</v>
      </c>
      <c r="O27" s="51">
        <v>3120</v>
      </c>
      <c r="P27" s="656" t="s">
        <v>910</v>
      </c>
      <c r="Q27" s="657"/>
      <c r="R27" s="658"/>
    </row>
    <row r="28" spans="1:18" ht="16.95" customHeight="1">
      <c r="A28" s="664"/>
      <c r="B28" s="700" t="s">
        <v>81</v>
      </c>
      <c r="C28" s="701"/>
      <c r="D28" s="700" t="s">
        <v>11</v>
      </c>
      <c r="E28" s="701"/>
      <c r="F28" s="662" t="s">
        <v>891</v>
      </c>
      <c r="G28" s="663"/>
      <c r="H28" s="663"/>
      <c r="I28" s="750"/>
      <c r="J28" s="669"/>
      <c r="K28" s="1024"/>
      <c r="L28" s="108"/>
      <c r="M28" s="8"/>
      <c r="N28" s="8"/>
      <c r="O28" s="51"/>
      <c r="P28" s="631"/>
      <c r="Q28" s="632"/>
      <c r="R28" s="633"/>
    </row>
    <row r="29" spans="1:18" ht="16.95" customHeight="1">
      <c r="A29" s="665"/>
      <c r="B29" s="700" t="s">
        <v>83</v>
      </c>
      <c r="C29" s="701"/>
      <c r="D29" s="700" t="s">
        <v>11</v>
      </c>
      <c r="E29" s="701"/>
      <c r="F29" s="769" t="s">
        <v>892</v>
      </c>
      <c r="G29" s="770"/>
      <c r="H29" s="770"/>
      <c r="I29" s="771"/>
      <c r="J29" s="670"/>
      <c r="K29" s="1025"/>
      <c r="L29" s="108"/>
      <c r="M29" s="8"/>
      <c r="N29" s="8"/>
      <c r="O29" s="51"/>
      <c r="P29" s="634"/>
      <c r="Q29" s="635"/>
      <c r="R29" s="636"/>
    </row>
    <row r="30" spans="1:18" ht="16.95" customHeight="1">
      <c r="A30" s="184" t="s">
        <v>352</v>
      </c>
      <c r="B30" s="618" t="s">
        <v>147</v>
      </c>
      <c r="C30" s="619"/>
      <c r="D30" s="618" t="s">
        <v>49</v>
      </c>
      <c r="E30" s="619"/>
      <c r="F30" s="620" t="s">
        <v>966</v>
      </c>
      <c r="G30" s="621"/>
      <c r="H30" s="621"/>
      <c r="I30" s="622"/>
      <c r="J30" s="25" t="s">
        <v>1574</v>
      </c>
      <c r="K30" s="25" t="s">
        <v>1573</v>
      </c>
      <c r="L30" s="97" t="s">
        <v>425</v>
      </c>
      <c r="M30" s="32">
        <v>120</v>
      </c>
      <c r="N30" s="25">
        <v>1</v>
      </c>
      <c r="O30" s="316">
        <v>1320</v>
      </c>
      <c r="P30" s="652" t="s">
        <v>976</v>
      </c>
      <c r="Q30" s="623"/>
      <c r="R30" s="624"/>
    </row>
    <row r="31" spans="1:18" ht="16.95" customHeight="1">
      <c r="A31" s="73" t="s">
        <v>78</v>
      </c>
      <c r="B31" s="618" t="s">
        <v>211</v>
      </c>
      <c r="C31" s="619"/>
      <c r="D31" s="618" t="s">
        <v>72</v>
      </c>
      <c r="E31" s="619"/>
      <c r="F31" s="620" t="s">
        <v>893</v>
      </c>
      <c r="G31" s="621"/>
      <c r="H31" s="621"/>
      <c r="I31" s="622"/>
      <c r="J31" s="25" t="s">
        <v>1298</v>
      </c>
      <c r="K31" s="25"/>
      <c r="L31" s="97" t="s">
        <v>436</v>
      </c>
      <c r="M31" s="25">
        <v>120</v>
      </c>
      <c r="N31" s="25">
        <v>1</v>
      </c>
      <c r="O31" s="32">
        <v>25120</v>
      </c>
      <c r="P31" s="652" t="s">
        <v>466</v>
      </c>
      <c r="Q31" s="623"/>
      <c r="R31" s="624"/>
    </row>
    <row r="32" spans="1:18" ht="16.95" customHeight="1">
      <c r="A32" s="73" t="s">
        <v>919</v>
      </c>
      <c r="B32" s="618" t="s">
        <v>147</v>
      </c>
      <c r="C32" s="619"/>
      <c r="D32" s="618" t="s">
        <v>49</v>
      </c>
      <c r="E32" s="619"/>
      <c r="F32" s="620" t="s">
        <v>1150</v>
      </c>
      <c r="G32" s="621"/>
      <c r="H32" s="621"/>
      <c r="I32" s="622"/>
      <c r="J32" s="25" t="s">
        <v>1575</v>
      </c>
      <c r="K32" s="25" t="s">
        <v>1573</v>
      </c>
      <c r="L32" s="97" t="s">
        <v>1158</v>
      </c>
      <c r="M32" s="25">
        <v>120</v>
      </c>
      <c r="N32" s="25">
        <v>1</v>
      </c>
      <c r="O32" s="32">
        <v>2620</v>
      </c>
      <c r="P32" s="652" t="s">
        <v>977</v>
      </c>
      <c r="Q32" s="623"/>
      <c r="R32" s="624"/>
    </row>
    <row r="33" spans="1:18" ht="16.95" customHeight="1">
      <c r="A33" s="59" t="s">
        <v>920</v>
      </c>
      <c r="B33" s="618" t="s">
        <v>62</v>
      </c>
      <c r="C33" s="619"/>
      <c r="D33" s="618" t="s">
        <v>63</v>
      </c>
      <c r="E33" s="619"/>
      <c r="F33" s="620" t="s">
        <v>882</v>
      </c>
      <c r="G33" s="621"/>
      <c r="H33" s="621"/>
      <c r="I33" s="622"/>
      <c r="J33" s="25" t="s">
        <v>1298</v>
      </c>
      <c r="K33" s="25"/>
      <c r="L33" s="257" t="s">
        <v>425</v>
      </c>
      <c r="M33" s="256">
        <v>120</v>
      </c>
      <c r="N33" s="25">
        <v>1</v>
      </c>
      <c r="O33" s="511">
        <v>10120</v>
      </c>
      <c r="P33" s="623" t="s">
        <v>883</v>
      </c>
      <c r="Q33" s="623"/>
      <c r="R33" s="624"/>
    </row>
    <row r="34" spans="1:18" ht="30" customHeight="1">
      <c r="A34" s="59" t="s">
        <v>921</v>
      </c>
      <c r="B34" s="618" t="s">
        <v>178</v>
      </c>
      <c r="C34" s="619"/>
      <c r="D34" s="618" t="s">
        <v>72</v>
      </c>
      <c r="E34" s="619"/>
      <c r="F34" s="620" t="s">
        <v>922</v>
      </c>
      <c r="G34" s="621"/>
      <c r="H34" s="621"/>
      <c r="I34" s="622"/>
      <c r="J34" s="532" t="s">
        <v>1353</v>
      </c>
      <c r="K34" s="421" t="s">
        <v>1091</v>
      </c>
      <c r="L34" s="97" t="s">
        <v>436</v>
      </c>
      <c r="M34" s="25">
        <v>120</v>
      </c>
      <c r="N34" s="25">
        <v>1</v>
      </c>
      <c r="O34" s="32">
        <v>5120</v>
      </c>
      <c r="P34" s="652" t="s">
        <v>878</v>
      </c>
      <c r="Q34" s="623"/>
      <c r="R34" s="624"/>
    </row>
    <row r="35" spans="1:18" ht="16.95" customHeight="1">
      <c r="A35" s="530" t="s">
        <v>1068</v>
      </c>
      <c r="B35" s="1009" t="s">
        <v>164</v>
      </c>
      <c r="C35" s="1010"/>
      <c r="D35" s="874" t="s">
        <v>93</v>
      </c>
      <c r="E35" s="875"/>
      <c r="F35" s="1011" t="s">
        <v>1093</v>
      </c>
      <c r="G35" s="1012"/>
      <c r="H35" s="1012"/>
      <c r="I35" s="1013"/>
      <c r="J35" s="170"/>
      <c r="K35" s="170"/>
      <c r="L35" s="93" t="s">
        <v>425</v>
      </c>
      <c r="M35" s="170">
        <v>120</v>
      </c>
      <c r="N35" s="25">
        <v>1</v>
      </c>
      <c r="O35" s="36">
        <v>7120</v>
      </c>
      <c r="P35" s="1006" t="s">
        <v>1069</v>
      </c>
      <c r="Q35" s="1007"/>
      <c r="R35" s="1008"/>
    </row>
    <row r="36" spans="1:18" ht="18" customHeight="1">
      <c r="A36" s="279" t="s">
        <v>1376</v>
      </c>
      <c r="B36" s="116"/>
      <c r="C36" s="116"/>
      <c r="D36" s="205"/>
      <c r="E36" s="205"/>
      <c r="F36" s="206"/>
      <c r="G36" s="206"/>
      <c r="H36" s="206"/>
      <c r="I36" s="206"/>
      <c r="J36" s="207"/>
      <c r="K36" s="207"/>
      <c r="L36" s="207"/>
      <c r="M36" s="207"/>
      <c r="N36" s="207"/>
      <c r="O36" s="466"/>
      <c r="P36" s="214"/>
      <c r="Q36" s="214"/>
      <c r="R36" s="214"/>
    </row>
    <row r="37" spans="1:18" ht="18" customHeight="1">
      <c r="A37" s="279"/>
      <c r="B37" s="116"/>
      <c r="C37" s="116"/>
      <c r="D37" s="205"/>
      <c r="E37" s="205"/>
      <c r="F37" s="206"/>
      <c r="G37" s="206"/>
      <c r="H37" s="206"/>
      <c r="I37" s="206"/>
      <c r="J37" s="207"/>
      <c r="K37" s="207"/>
      <c r="L37" s="207"/>
      <c r="M37" s="207"/>
      <c r="N37" s="207"/>
      <c r="O37" s="466"/>
      <c r="P37" s="214"/>
      <c r="Q37" s="214"/>
      <c r="R37" s="214"/>
    </row>
    <row r="38" spans="1:18" ht="18" customHeight="1">
      <c r="A38" s="279"/>
      <c r="B38" s="116"/>
      <c r="C38" s="116"/>
      <c r="D38" s="205"/>
      <c r="E38" s="205"/>
      <c r="F38" s="206"/>
      <c r="G38" s="206"/>
      <c r="H38" s="206"/>
      <c r="I38" s="206"/>
      <c r="J38" s="207"/>
      <c r="K38" s="207"/>
      <c r="L38" s="207"/>
      <c r="M38" s="207"/>
      <c r="N38" s="207"/>
      <c r="O38" s="466"/>
      <c r="P38" s="214"/>
      <c r="Q38" s="214"/>
      <c r="R38" s="214"/>
    </row>
    <row r="39" spans="1:18" ht="18" customHeight="1">
      <c r="A39" s="279"/>
      <c r="B39" s="116"/>
      <c r="C39" s="116"/>
      <c r="D39" s="205"/>
      <c r="E39" s="205"/>
      <c r="F39" s="206"/>
      <c r="G39" s="206"/>
      <c r="H39" s="206"/>
      <c r="I39" s="206"/>
      <c r="J39" s="207"/>
      <c r="K39" s="207"/>
      <c r="L39" s="207"/>
      <c r="M39" s="207"/>
      <c r="N39" s="207"/>
      <c r="O39" s="466"/>
      <c r="P39" s="214"/>
      <c r="Q39" s="214"/>
      <c r="R39" s="214"/>
    </row>
    <row r="40" spans="1:18" ht="18" customHeight="1">
      <c r="A40" s="262" t="s">
        <v>1494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</row>
    <row r="41" spans="1:18" ht="18" customHeight="1">
      <c r="A41" s="267" t="s">
        <v>1498</v>
      </c>
      <c r="B41" s="464"/>
      <c r="C41" s="464"/>
      <c r="D41" s="39"/>
      <c r="E41" s="533"/>
      <c r="F41" s="39"/>
      <c r="G41" s="39"/>
      <c r="H41" s="39"/>
      <c r="I41" s="39"/>
      <c r="J41" s="39"/>
      <c r="K41" s="39"/>
      <c r="L41" s="465"/>
      <c r="M41" s="39"/>
      <c r="N41" s="39"/>
      <c r="O41" s="39"/>
      <c r="P41" s="39"/>
      <c r="Q41" s="39"/>
      <c r="R41" s="39"/>
    </row>
    <row r="42" spans="1:18" ht="15" customHeight="1">
      <c r="A42" s="49" t="s">
        <v>366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 t="s">
        <v>983</v>
      </c>
    </row>
    <row r="43" spans="1:18" ht="15" customHeight="1">
      <c r="A43" s="710" t="s">
        <v>2</v>
      </c>
      <c r="B43" s="712" t="s">
        <v>3</v>
      </c>
      <c r="C43" s="712"/>
      <c r="D43" s="650" t="s">
        <v>4</v>
      </c>
      <c r="E43" s="650"/>
      <c r="F43" s="712" t="s">
        <v>5</v>
      </c>
      <c r="G43" s="712"/>
      <c r="H43" s="712"/>
      <c r="I43" s="712"/>
      <c r="J43" s="713" t="s">
        <v>491</v>
      </c>
      <c r="K43" s="715" t="s">
        <v>7</v>
      </c>
      <c r="L43" s="467" t="s">
        <v>1178</v>
      </c>
      <c r="M43" s="696" t="s">
        <v>1095</v>
      </c>
      <c r="N43" s="805" t="s">
        <v>1096</v>
      </c>
      <c r="O43" s="715" t="s">
        <v>1097</v>
      </c>
      <c r="P43" s="674" t="s">
        <v>8</v>
      </c>
      <c r="Q43" s="675"/>
      <c r="R43" s="676"/>
    </row>
    <row r="44" spans="1:18" ht="15" customHeight="1">
      <c r="A44" s="711"/>
      <c r="B44" s="712"/>
      <c r="C44" s="712"/>
      <c r="D44" s="650"/>
      <c r="E44" s="650"/>
      <c r="F44" s="712"/>
      <c r="G44" s="712"/>
      <c r="H44" s="712"/>
      <c r="I44" s="712"/>
      <c r="J44" s="714"/>
      <c r="K44" s="715"/>
      <c r="L44" s="186" t="s">
        <v>1170</v>
      </c>
      <c r="M44" s="706"/>
      <c r="N44" s="706"/>
      <c r="O44" s="715"/>
      <c r="P44" s="674"/>
      <c r="Q44" s="675"/>
      <c r="R44" s="676"/>
    </row>
    <row r="45" spans="1:18" ht="16.95" customHeight="1">
      <c r="A45" s="59" t="s">
        <v>233</v>
      </c>
      <c r="B45" s="706" t="s">
        <v>178</v>
      </c>
      <c r="C45" s="706"/>
      <c r="D45" s="650" t="s">
        <v>240</v>
      </c>
      <c r="E45" s="650"/>
      <c r="F45" s="707" t="s">
        <v>1067</v>
      </c>
      <c r="G45" s="707"/>
      <c r="H45" s="707"/>
      <c r="I45" s="707"/>
      <c r="J45" s="23" t="s">
        <v>1291</v>
      </c>
      <c r="K45" s="273" t="s">
        <v>989</v>
      </c>
      <c r="L45" s="93" t="s">
        <v>425</v>
      </c>
      <c r="M45" s="25">
        <v>120</v>
      </c>
      <c r="N45" s="25">
        <v>1</v>
      </c>
      <c r="O45" s="43">
        <v>20120</v>
      </c>
      <c r="P45" s="708" t="s">
        <v>916</v>
      </c>
      <c r="Q45" s="708"/>
      <c r="R45" s="708"/>
    </row>
    <row r="46" spans="1:18" ht="16.95" customHeight="1">
      <c r="A46" s="57" t="s">
        <v>239</v>
      </c>
      <c r="B46" s="650" t="s">
        <v>236</v>
      </c>
      <c r="C46" s="650"/>
      <c r="D46" s="650" t="s">
        <v>49</v>
      </c>
      <c r="E46" s="650"/>
      <c r="F46" s="651" t="s">
        <v>1171</v>
      </c>
      <c r="G46" s="651"/>
      <c r="H46" s="651"/>
      <c r="I46" s="651"/>
      <c r="J46" s="15" t="s">
        <v>1228</v>
      </c>
      <c r="K46" s="15"/>
      <c r="L46" s="97" t="s">
        <v>436</v>
      </c>
      <c r="M46" s="25">
        <v>120</v>
      </c>
      <c r="N46" s="25">
        <v>1</v>
      </c>
      <c r="O46" s="32">
        <v>12120</v>
      </c>
      <c r="P46" s="708" t="s">
        <v>917</v>
      </c>
      <c r="Q46" s="708"/>
      <c r="R46" s="708"/>
    </row>
    <row r="47" spans="1:18" ht="16.95" customHeight="1">
      <c r="A47" s="614" t="s">
        <v>242</v>
      </c>
      <c r="B47" s="661" t="s">
        <v>10</v>
      </c>
      <c r="C47" s="661"/>
      <c r="D47" s="661" t="s">
        <v>11</v>
      </c>
      <c r="E47" s="661"/>
      <c r="F47" s="659" t="s">
        <v>415</v>
      </c>
      <c r="G47" s="659"/>
      <c r="H47" s="659"/>
      <c r="I47" s="659"/>
      <c r="J47" s="625" t="s">
        <v>1301</v>
      </c>
      <c r="K47" s="704" t="s">
        <v>1074</v>
      </c>
      <c r="L47" s="88"/>
      <c r="M47" s="8">
        <v>120</v>
      </c>
      <c r="N47" s="8">
        <v>1</v>
      </c>
      <c r="O47" s="124">
        <v>12120</v>
      </c>
      <c r="P47" s="656" t="s">
        <v>875</v>
      </c>
      <c r="Q47" s="657"/>
      <c r="R47" s="658"/>
    </row>
    <row r="48" spans="1:18" ht="16.95" customHeight="1">
      <c r="A48" s="616"/>
      <c r="B48" s="700" t="s">
        <v>13</v>
      </c>
      <c r="C48" s="701"/>
      <c r="D48" s="661" t="s">
        <v>11</v>
      </c>
      <c r="E48" s="661"/>
      <c r="F48" s="659" t="s">
        <v>418</v>
      </c>
      <c r="G48" s="659"/>
      <c r="H48" s="659"/>
      <c r="I48" s="659"/>
      <c r="J48" s="627"/>
      <c r="K48" s="705"/>
      <c r="L48" s="88"/>
      <c r="M48" s="8"/>
      <c r="N48" s="8"/>
      <c r="O48" s="124"/>
      <c r="P48" s="634"/>
      <c r="Q48" s="635"/>
      <c r="R48" s="636"/>
    </row>
    <row r="49" spans="1:18" ht="16.95" customHeight="1">
      <c r="A49" s="614" t="s">
        <v>807</v>
      </c>
      <c r="B49" s="661" t="s">
        <v>10</v>
      </c>
      <c r="C49" s="661"/>
      <c r="D49" s="661" t="s">
        <v>43</v>
      </c>
      <c r="E49" s="661"/>
      <c r="F49" s="653" t="s">
        <v>1525</v>
      </c>
      <c r="G49" s="653"/>
      <c r="H49" s="653"/>
      <c r="I49" s="653"/>
      <c r="J49" s="625" t="s">
        <v>1292</v>
      </c>
      <c r="K49" s="703"/>
      <c r="L49" s="88"/>
      <c r="M49" s="8">
        <v>120</v>
      </c>
      <c r="N49" s="8">
        <v>1</v>
      </c>
      <c r="O49" s="124">
        <v>1220</v>
      </c>
      <c r="P49" s="656" t="s">
        <v>874</v>
      </c>
      <c r="Q49" s="657"/>
      <c r="R49" s="658"/>
    </row>
    <row r="50" spans="1:18" ht="16.95" customHeight="1">
      <c r="A50" s="616"/>
      <c r="B50" s="700" t="s">
        <v>13</v>
      </c>
      <c r="C50" s="701"/>
      <c r="D50" s="661" t="s">
        <v>11</v>
      </c>
      <c r="E50" s="661"/>
      <c r="F50" s="653" t="s">
        <v>414</v>
      </c>
      <c r="G50" s="653"/>
      <c r="H50" s="653"/>
      <c r="I50" s="653"/>
      <c r="J50" s="627"/>
      <c r="K50" s="673"/>
      <c r="L50" s="88"/>
      <c r="M50" s="8"/>
      <c r="N50" s="8"/>
      <c r="O50" s="124"/>
      <c r="P50" s="634"/>
      <c r="Q50" s="635"/>
      <c r="R50" s="636"/>
    </row>
    <row r="51" spans="1:18" ht="16.95" customHeight="1">
      <c r="A51" s="614" t="s">
        <v>808</v>
      </c>
      <c r="B51" s="661" t="s">
        <v>35</v>
      </c>
      <c r="C51" s="661"/>
      <c r="D51" s="661" t="s">
        <v>11</v>
      </c>
      <c r="E51" s="661"/>
      <c r="F51" s="699" t="s">
        <v>1190</v>
      </c>
      <c r="G51" s="699"/>
      <c r="H51" s="699"/>
      <c r="I51" s="699"/>
      <c r="J51" s="685"/>
      <c r="K51" s="697" t="s">
        <v>37</v>
      </c>
      <c r="L51" s="88"/>
      <c r="M51" s="8">
        <v>120</v>
      </c>
      <c r="N51" s="8">
        <v>1</v>
      </c>
      <c r="O51" s="124">
        <v>1200</v>
      </c>
      <c r="P51" s="660" t="s">
        <v>38</v>
      </c>
      <c r="Q51" s="660"/>
      <c r="R51" s="660"/>
    </row>
    <row r="52" spans="1:18" ht="16.95" customHeight="1">
      <c r="A52" s="616"/>
      <c r="B52" s="661" t="s">
        <v>304</v>
      </c>
      <c r="C52" s="661"/>
      <c r="D52" s="661" t="s">
        <v>11</v>
      </c>
      <c r="E52" s="661"/>
      <c r="F52" s="699" t="s">
        <v>1191</v>
      </c>
      <c r="G52" s="699"/>
      <c r="H52" s="699"/>
      <c r="I52" s="699"/>
      <c r="J52" s="686"/>
      <c r="K52" s="707"/>
      <c r="L52" s="88"/>
      <c r="M52" s="8"/>
      <c r="N52" s="8"/>
      <c r="O52" s="124"/>
      <c r="P52" s="660"/>
      <c r="Q52" s="660"/>
      <c r="R52" s="660"/>
    </row>
    <row r="53" spans="1:18" ht="30" customHeight="1">
      <c r="A53" s="59" t="s">
        <v>578</v>
      </c>
      <c r="B53" s="650" t="s">
        <v>164</v>
      </c>
      <c r="C53" s="650"/>
      <c r="D53" s="650" t="s">
        <v>63</v>
      </c>
      <c r="E53" s="650"/>
      <c r="F53" s="651" t="s">
        <v>788</v>
      </c>
      <c r="G53" s="651"/>
      <c r="H53" s="651"/>
      <c r="I53" s="651"/>
      <c r="J53" s="269" t="s">
        <v>1230</v>
      </c>
      <c r="K53" s="25"/>
      <c r="L53" s="93" t="s">
        <v>425</v>
      </c>
      <c r="M53" s="25">
        <v>120</v>
      </c>
      <c r="N53" s="25">
        <v>1</v>
      </c>
      <c r="O53" s="32">
        <v>5120</v>
      </c>
      <c r="P53" s="652" t="s">
        <v>871</v>
      </c>
      <c r="Q53" s="623"/>
      <c r="R53" s="624"/>
    </row>
    <row r="54" spans="1:18" ht="16.95" customHeight="1">
      <c r="A54" s="57" t="s">
        <v>309</v>
      </c>
      <c r="B54" s="696" t="s">
        <v>178</v>
      </c>
      <c r="C54" s="696"/>
      <c r="D54" s="696" t="s">
        <v>1115</v>
      </c>
      <c r="E54" s="696"/>
      <c r="F54" s="697" t="s">
        <v>1116</v>
      </c>
      <c r="G54" s="697"/>
      <c r="H54" s="697"/>
      <c r="I54" s="697"/>
      <c r="J54" s="67" t="s">
        <v>1293</v>
      </c>
      <c r="K54" s="67"/>
      <c r="L54" s="93" t="s">
        <v>425</v>
      </c>
      <c r="M54" s="25">
        <v>120</v>
      </c>
      <c r="N54" s="25">
        <v>1</v>
      </c>
      <c r="O54" s="52">
        <v>10120</v>
      </c>
      <c r="P54" s="698" t="s">
        <v>438</v>
      </c>
      <c r="Q54" s="698"/>
      <c r="R54" s="698"/>
    </row>
    <row r="55" spans="1:18" ht="30" customHeight="1">
      <c r="A55" s="229" t="s">
        <v>870</v>
      </c>
      <c r="B55" s="650" t="s">
        <v>147</v>
      </c>
      <c r="C55" s="650"/>
      <c r="D55" s="650" t="s">
        <v>49</v>
      </c>
      <c r="E55" s="650"/>
      <c r="F55" s="651" t="s">
        <v>441</v>
      </c>
      <c r="G55" s="651"/>
      <c r="H55" s="651"/>
      <c r="I55" s="651"/>
      <c r="J55" s="296" t="s">
        <v>1294</v>
      </c>
      <c r="K55" s="507" t="s">
        <v>1290</v>
      </c>
      <c r="L55" s="113" t="s">
        <v>425</v>
      </c>
      <c r="M55" s="25">
        <v>120</v>
      </c>
      <c r="N55" s="25">
        <v>1</v>
      </c>
      <c r="O55" s="32">
        <v>4120</v>
      </c>
      <c r="P55" s="660" t="s">
        <v>872</v>
      </c>
      <c r="Q55" s="660"/>
      <c r="R55" s="660"/>
    </row>
    <row r="56" spans="1:18" ht="16.95" customHeight="1">
      <c r="A56" s="614" t="s">
        <v>125</v>
      </c>
      <c r="B56" s="661" t="s">
        <v>199</v>
      </c>
      <c r="C56" s="661"/>
      <c r="D56" s="661" t="s">
        <v>11</v>
      </c>
      <c r="E56" s="661"/>
      <c r="F56" s="659" t="s">
        <v>419</v>
      </c>
      <c r="G56" s="659"/>
      <c r="H56" s="659"/>
      <c r="I56" s="659"/>
      <c r="J56" s="689"/>
      <c r="K56" s="1022" t="s">
        <v>420</v>
      </c>
      <c r="L56" s="88"/>
      <c r="M56" s="8">
        <v>120</v>
      </c>
      <c r="N56" s="8">
        <v>1</v>
      </c>
      <c r="O56" s="124">
        <v>2120</v>
      </c>
      <c r="P56" s="660" t="s">
        <v>323</v>
      </c>
      <c r="Q56" s="660"/>
      <c r="R56" s="660"/>
    </row>
    <row r="57" spans="1:18" ht="16.95" customHeight="1">
      <c r="A57" s="616"/>
      <c r="B57" s="661" t="s">
        <v>202</v>
      </c>
      <c r="C57" s="661"/>
      <c r="D57" s="661" t="s">
        <v>11</v>
      </c>
      <c r="E57" s="661"/>
      <c r="F57" s="659" t="s">
        <v>1223</v>
      </c>
      <c r="G57" s="659"/>
      <c r="H57" s="659"/>
      <c r="I57" s="659"/>
      <c r="J57" s="686"/>
      <c r="K57" s="707"/>
      <c r="L57" s="88"/>
      <c r="M57" s="8"/>
      <c r="N57" s="8"/>
      <c r="O57" s="124"/>
      <c r="P57" s="660"/>
      <c r="Q57" s="660"/>
      <c r="R57" s="660"/>
    </row>
    <row r="58" spans="1:18" ht="16.95" customHeight="1">
      <c r="A58" s="614" t="s">
        <v>127</v>
      </c>
      <c r="B58" s="661" t="s">
        <v>10</v>
      </c>
      <c r="C58" s="661"/>
      <c r="D58" s="661" t="s">
        <v>43</v>
      </c>
      <c r="E58" s="661"/>
      <c r="F58" s="659" t="s">
        <v>810</v>
      </c>
      <c r="G58" s="659"/>
      <c r="H58" s="659"/>
      <c r="I58" s="659"/>
      <c r="J58" s="685" t="s">
        <v>1228</v>
      </c>
      <c r="K58" s="687"/>
      <c r="L58" s="88"/>
      <c r="M58" s="8">
        <v>120</v>
      </c>
      <c r="N58" s="8">
        <v>1</v>
      </c>
      <c r="O58" s="124">
        <v>500</v>
      </c>
      <c r="P58" s="660" t="s">
        <v>12</v>
      </c>
      <c r="Q58" s="660"/>
      <c r="R58" s="660"/>
    </row>
    <row r="59" spans="1:18" ht="16.95" customHeight="1" thickBot="1">
      <c r="A59" s="684"/>
      <c r="B59" s="693" t="s">
        <v>13</v>
      </c>
      <c r="C59" s="694"/>
      <c r="D59" s="693" t="s">
        <v>14</v>
      </c>
      <c r="E59" s="694"/>
      <c r="F59" s="695" t="s">
        <v>811</v>
      </c>
      <c r="G59" s="695"/>
      <c r="H59" s="695"/>
      <c r="I59" s="695"/>
      <c r="J59" s="686"/>
      <c r="K59" s="688"/>
      <c r="L59" s="224"/>
      <c r="M59" s="24"/>
      <c r="N59" s="24"/>
      <c r="O59" s="363"/>
      <c r="P59" s="692"/>
      <c r="Q59" s="692"/>
      <c r="R59" s="692"/>
    </row>
    <row r="60" spans="1:18" ht="16.95" customHeight="1" thickTop="1">
      <c r="A60" s="664" t="s">
        <v>380</v>
      </c>
      <c r="B60" s="637" t="s">
        <v>10</v>
      </c>
      <c r="C60" s="637"/>
      <c r="D60" s="638" t="s">
        <v>14</v>
      </c>
      <c r="E60" s="639"/>
      <c r="F60" s="653" t="s">
        <v>1495</v>
      </c>
      <c r="G60" s="653"/>
      <c r="H60" s="653"/>
      <c r="I60" s="653"/>
      <c r="J60" s="677" t="s">
        <v>1295</v>
      </c>
      <c r="K60" s="788" t="s">
        <v>986</v>
      </c>
      <c r="L60" s="108"/>
      <c r="M60" s="14">
        <v>120</v>
      </c>
      <c r="N60" s="8">
        <v>1</v>
      </c>
      <c r="O60" s="51">
        <v>2120</v>
      </c>
      <c r="P60" s="631" t="s">
        <v>825</v>
      </c>
      <c r="Q60" s="632"/>
      <c r="R60" s="633"/>
    </row>
    <row r="61" spans="1:18" ht="16.95" customHeight="1">
      <c r="A61" s="664"/>
      <c r="B61" s="637" t="s">
        <v>81</v>
      </c>
      <c r="C61" s="637"/>
      <c r="D61" s="638" t="s">
        <v>14</v>
      </c>
      <c r="E61" s="639"/>
      <c r="F61" s="653" t="s">
        <v>448</v>
      </c>
      <c r="G61" s="653"/>
      <c r="H61" s="653"/>
      <c r="I61" s="653"/>
      <c r="J61" s="626"/>
      <c r="K61" s="822"/>
      <c r="L61" s="108"/>
      <c r="M61" s="8"/>
      <c r="N61" s="8"/>
      <c r="O61" s="51"/>
      <c r="P61" s="631"/>
      <c r="Q61" s="632"/>
      <c r="R61" s="633"/>
    </row>
    <row r="62" spans="1:18" ht="16.95" customHeight="1">
      <c r="A62" s="665"/>
      <c r="B62" s="637" t="s">
        <v>83</v>
      </c>
      <c r="C62" s="637"/>
      <c r="D62" s="638" t="s">
        <v>11</v>
      </c>
      <c r="E62" s="639"/>
      <c r="F62" s="659" t="s">
        <v>1165</v>
      </c>
      <c r="G62" s="659"/>
      <c r="H62" s="659"/>
      <c r="I62" s="659"/>
      <c r="J62" s="627"/>
      <c r="K62" s="1021"/>
      <c r="L62" s="108"/>
      <c r="M62" s="8"/>
      <c r="N62" s="8"/>
      <c r="O62" s="51"/>
      <c r="P62" s="634"/>
      <c r="Q62" s="635"/>
      <c r="R62" s="636"/>
    </row>
    <row r="63" spans="1:18" ht="16.95" customHeight="1">
      <c r="A63" s="59" t="s">
        <v>269</v>
      </c>
      <c r="B63" s="679" t="s">
        <v>868</v>
      </c>
      <c r="C63" s="680"/>
      <c r="D63" s="650" t="s">
        <v>240</v>
      </c>
      <c r="E63" s="650"/>
      <c r="F63" s="681" t="s">
        <v>1192</v>
      </c>
      <c r="G63" s="682"/>
      <c r="H63" s="682"/>
      <c r="I63" s="683"/>
      <c r="J63" s="255" t="s">
        <v>1296</v>
      </c>
      <c r="K63" s="96"/>
      <c r="L63" s="76" t="s">
        <v>425</v>
      </c>
      <c r="M63" s="320">
        <v>120</v>
      </c>
      <c r="N63" s="25">
        <v>1</v>
      </c>
      <c r="O63" s="463">
        <v>8120</v>
      </c>
      <c r="P63" s="674" t="s">
        <v>918</v>
      </c>
      <c r="Q63" s="675"/>
      <c r="R63" s="676"/>
    </row>
    <row r="64" spans="1:18" ht="30" customHeight="1">
      <c r="A64" s="59" t="s">
        <v>156</v>
      </c>
      <c r="B64" s="618" t="s">
        <v>485</v>
      </c>
      <c r="C64" s="619"/>
      <c r="D64" s="618" t="s">
        <v>49</v>
      </c>
      <c r="E64" s="619"/>
      <c r="F64" s="620" t="s">
        <v>1149</v>
      </c>
      <c r="G64" s="621"/>
      <c r="H64" s="621"/>
      <c r="I64" s="622"/>
      <c r="J64" s="304" t="s">
        <v>1297</v>
      </c>
      <c r="K64" s="538" t="s">
        <v>1300</v>
      </c>
      <c r="L64" s="97" t="s">
        <v>425</v>
      </c>
      <c r="M64" s="25">
        <v>120</v>
      </c>
      <c r="N64" s="25">
        <v>1</v>
      </c>
      <c r="O64" s="32">
        <v>13120</v>
      </c>
      <c r="P64" s="652" t="s">
        <v>876</v>
      </c>
      <c r="Q64" s="623"/>
      <c r="R64" s="624"/>
    </row>
    <row r="65" spans="1:18" ht="30" customHeight="1">
      <c r="A65" s="231" t="s">
        <v>70</v>
      </c>
      <c r="B65" s="650" t="s">
        <v>147</v>
      </c>
      <c r="C65" s="650"/>
      <c r="D65" s="650" t="s">
        <v>49</v>
      </c>
      <c r="E65" s="650"/>
      <c r="F65" s="651" t="s">
        <v>441</v>
      </c>
      <c r="G65" s="651"/>
      <c r="H65" s="651"/>
      <c r="I65" s="651"/>
      <c r="J65" s="296" t="s">
        <v>1294</v>
      </c>
      <c r="K65" s="507" t="s">
        <v>1290</v>
      </c>
      <c r="L65" s="97" t="s">
        <v>425</v>
      </c>
      <c r="M65" s="25">
        <v>120</v>
      </c>
      <c r="N65" s="25">
        <v>1</v>
      </c>
      <c r="O65" s="32">
        <v>10120</v>
      </c>
      <c r="P65" s="660" t="s">
        <v>877</v>
      </c>
      <c r="Q65" s="660"/>
      <c r="R65" s="660"/>
    </row>
    <row r="66" spans="1:18" ht="16.95" customHeight="1">
      <c r="A66" s="664" t="s">
        <v>141</v>
      </c>
      <c r="B66" s="637" t="s">
        <v>10</v>
      </c>
      <c r="C66" s="637"/>
      <c r="D66" s="638" t="s">
        <v>43</v>
      </c>
      <c r="E66" s="639"/>
      <c r="F66" s="666" t="s">
        <v>890</v>
      </c>
      <c r="G66" s="667"/>
      <c r="H66" s="667"/>
      <c r="I66" s="667"/>
      <c r="J66" s="668" t="s">
        <v>1299</v>
      </c>
      <c r="K66" s="1020"/>
      <c r="L66" s="108"/>
      <c r="M66" s="8">
        <v>120</v>
      </c>
      <c r="N66" s="8">
        <v>1</v>
      </c>
      <c r="O66" s="51">
        <v>3120</v>
      </c>
      <c r="P66" s="631" t="s">
        <v>910</v>
      </c>
      <c r="Q66" s="632"/>
      <c r="R66" s="633"/>
    </row>
    <row r="67" spans="1:18" ht="16.95" customHeight="1">
      <c r="A67" s="664"/>
      <c r="B67" s="637" t="s">
        <v>81</v>
      </c>
      <c r="C67" s="637"/>
      <c r="D67" s="661" t="s">
        <v>11</v>
      </c>
      <c r="E67" s="661"/>
      <c r="F67" s="662" t="s">
        <v>891</v>
      </c>
      <c r="G67" s="663"/>
      <c r="H67" s="663"/>
      <c r="I67" s="663"/>
      <c r="J67" s="669"/>
      <c r="K67" s="672"/>
      <c r="L67" s="108"/>
      <c r="M67" s="8"/>
      <c r="N67" s="8"/>
      <c r="O67" s="51"/>
      <c r="P67" s="631"/>
      <c r="Q67" s="632"/>
      <c r="R67" s="633"/>
    </row>
    <row r="68" spans="1:18" ht="16.95" customHeight="1">
      <c r="A68" s="665"/>
      <c r="B68" s="637" t="s">
        <v>83</v>
      </c>
      <c r="C68" s="637"/>
      <c r="D68" s="661" t="s">
        <v>11</v>
      </c>
      <c r="E68" s="661"/>
      <c r="F68" s="659" t="s">
        <v>892</v>
      </c>
      <c r="G68" s="659"/>
      <c r="H68" s="659"/>
      <c r="I68" s="659"/>
      <c r="J68" s="670"/>
      <c r="K68" s="673"/>
      <c r="L68" s="108"/>
      <c r="M68" s="8"/>
      <c r="N68" s="8"/>
      <c r="O68" s="51"/>
      <c r="P68" s="634"/>
      <c r="Q68" s="635"/>
      <c r="R68" s="636"/>
    </row>
    <row r="69" spans="1:18" ht="16.95" customHeight="1">
      <c r="A69" s="184" t="s">
        <v>352</v>
      </c>
      <c r="B69" s="650" t="s">
        <v>147</v>
      </c>
      <c r="C69" s="650"/>
      <c r="D69" s="650" t="s">
        <v>49</v>
      </c>
      <c r="E69" s="650"/>
      <c r="F69" s="651" t="s">
        <v>966</v>
      </c>
      <c r="G69" s="651"/>
      <c r="H69" s="651"/>
      <c r="I69" s="651"/>
      <c r="J69" s="25" t="s">
        <v>1574</v>
      </c>
      <c r="K69" s="25" t="s">
        <v>1573</v>
      </c>
      <c r="L69" s="97" t="s">
        <v>425</v>
      </c>
      <c r="M69" s="32">
        <v>120</v>
      </c>
      <c r="N69" s="25">
        <v>1</v>
      </c>
      <c r="O69" s="316">
        <v>1320</v>
      </c>
      <c r="P69" s="652" t="s">
        <v>976</v>
      </c>
      <c r="Q69" s="623"/>
      <c r="R69" s="624"/>
    </row>
    <row r="70" spans="1:18" ht="16.95" customHeight="1">
      <c r="A70" s="73" t="s">
        <v>78</v>
      </c>
      <c r="B70" s="650" t="s">
        <v>211</v>
      </c>
      <c r="C70" s="650"/>
      <c r="D70" s="650" t="s">
        <v>72</v>
      </c>
      <c r="E70" s="650"/>
      <c r="F70" s="651" t="s">
        <v>893</v>
      </c>
      <c r="G70" s="651"/>
      <c r="H70" s="651"/>
      <c r="I70" s="651"/>
      <c r="J70" s="25" t="s">
        <v>1298</v>
      </c>
      <c r="K70" s="25"/>
      <c r="L70" s="97" t="s">
        <v>436</v>
      </c>
      <c r="M70" s="25">
        <v>120</v>
      </c>
      <c r="N70" s="25">
        <v>1</v>
      </c>
      <c r="O70" s="32">
        <v>25120</v>
      </c>
      <c r="P70" s="660" t="s">
        <v>466</v>
      </c>
      <c r="Q70" s="660"/>
      <c r="R70" s="660"/>
    </row>
    <row r="71" spans="1:18" ht="16.95" customHeight="1">
      <c r="A71" s="73" t="s">
        <v>919</v>
      </c>
      <c r="B71" s="650" t="s">
        <v>147</v>
      </c>
      <c r="C71" s="650"/>
      <c r="D71" s="650" t="s">
        <v>49</v>
      </c>
      <c r="E71" s="650"/>
      <c r="F71" s="651" t="s">
        <v>1150</v>
      </c>
      <c r="G71" s="651"/>
      <c r="H71" s="651"/>
      <c r="I71" s="651"/>
      <c r="J71" s="25" t="s">
        <v>1575</v>
      </c>
      <c r="K71" s="25" t="s">
        <v>1573</v>
      </c>
      <c r="L71" s="97" t="s">
        <v>1158</v>
      </c>
      <c r="M71" s="25">
        <v>120</v>
      </c>
      <c r="N71" s="25">
        <v>1</v>
      </c>
      <c r="O71" s="32">
        <v>2620</v>
      </c>
      <c r="P71" s="652" t="s">
        <v>977</v>
      </c>
      <c r="Q71" s="623"/>
      <c r="R71" s="624"/>
    </row>
    <row r="72" spans="1:18" ht="16.95" customHeight="1">
      <c r="A72" s="59" t="s">
        <v>920</v>
      </c>
      <c r="B72" s="618" t="s">
        <v>62</v>
      </c>
      <c r="C72" s="619"/>
      <c r="D72" s="618" t="s">
        <v>63</v>
      </c>
      <c r="E72" s="619"/>
      <c r="F72" s="620" t="s">
        <v>882</v>
      </c>
      <c r="G72" s="621"/>
      <c r="H72" s="621"/>
      <c r="I72" s="622"/>
      <c r="J72" s="25" t="s">
        <v>1298</v>
      </c>
      <c r="K72" s="25"/>
      <c r="L72" s="257" t="s">
        <v>425</v>
      </c>
      <c r="M72" s="256">
        <v>120</v>
      </c>
      <c r="N72" s="25">
        <v>1</v>
      </c>
      <c r="O72" s="32">
        <v>10120</v>
      </c>
      <c r="P72" s="623" t="s">
        <v>883</v>
      </c>
      <c r="Q72" s="623"/>
      <c r="R72" s="624"/>
    </row>
    <row r="73" spans="1:18" ht="30" customHeight="1">
      <c r="A73" s="59" t="s">
        <v>921</v>
      </c>
      <c r="B73" s="618" t="s">
        <v>178</v>
      </c>
      <c r="C73" s="619"/>
      <c r="D73" s="618" t="s">
        <v>72</v>
      </c>
      <c r="E73" s="619"/>
      <c r="F73" s="620" t="s">
        <v>922</v>
      </c>
      <c r="G73" s="621"/>
      <c r="H73" s="621"/>
      <c r="I73" s="622"/>
      <c r="J73" s="532" t="s">
        <v>1353</v>
      </c>
      <c r="K73" s="421" t="s">
        <v>1091</v>
      </c>
      <c r="L73" s="97" t="s">
        <v>436</v>
      </c>
      <c r="M73" s="25">
        <v>120</v>
      </c>
      <c r="N73" s="25">
        <v>1</v>
      </c>
      <c r="O73" s="32">
        <v>5120</v>
      </c>
      <c r="P73" s="660" t="s">
        <v>878</v>
      </c>
      <c r="Q73" s="660"/>
      <c r="R73" s="660"/>
    </row>
    <row r="74" spans="1:18" ht="16.95" customHeight="1">
      <c r="A74" s="468" t="s">
        <v>1068</v>
      </c>
      <c r="B74" s="1009" t="s">
        <v>164</v>
      </c>
      <c r="C74" s="1010"/>
      <c r="D74" s="874" t="s">
        <v>93</v>
      </c>
      <c r="E74" s="875"/>
      <c r="F74" s="1011" t="s">
        <v>1093</v>
      </c>
      <c r="G74" s="1012"/>
      <c r="H74" s="1012"/>
      <c r="I74" s="1013"/>
      <c r="J74" s="170"/>
      <c r="K74" s="170"/>
      <c r="L74" s="93" t="s">
        <v>425</v>
      </c>
      <c r="M74" s="170">
        <v>120</v>
      </c>
      <c r="N74" s="25">
        <v>1</v>
      </c>
      <c r="O74" s="36">
        <v>7120</v>
      </c>
      <c r="P74" s="1006" t="s">
        <v>1069</v>
      </c>
      <c r="Q74" s="1007"/>
      <c r="R74" s="1008"/>
    </row>
    <row r="75" spans="1:18" ht="18" customHeight="1">
      <c r="A75" s="279" t="s">
        <v>1376</v>
      </c>
      <c r="B75" s="116"/>
      <c r="C75" s="116"/>
      <c r="D75" s="205"/>
      <c r="E75" s="205"/>
      <c r="F75" s="206"/>
      <c r="G75" s="206"/>
      <c r="H75" s="206"/>
      <c r="I75" s="206"/>
      <c r="J75" s="207"/>
      <c r="K75" s="207"/>
      <c r="L75" s="207"/>
      <c r="M75" s="207"/>
      <c r="N75" s="207"/>
      <c r="O75" s="466"/>
      <c r="P75" s="214"/>
      <c r="Q75" s="214"/>
      <c r="R75" s="214"/>
    </row>
    <row r="80" spans="1:18" ht="18.600000000000001" thickBot="1"/>
    <row r="81" spans="20:32">
      <c r="U81" s="832" t="s">
        <v>1356</v>
      </c>
      <c r="V81" s="644" t="s">
        <v>1357</v>
      </c>
      <c r="W81" s="644"/>
      <c r="X81" s="644" t="s">
        <v>1358</v>
      </c>
      <c r="Y81" s="644"/>
      <c r="Z81" s="644"/>
      <c r="AA81" s="644"/>
      <c r="AB81" s="644"/>
      <c r="AC81" s="644"/>
      <c r="AD81" s="553" t="s">
        <v>1359</v>
      </c>
      <c r="AE81" s="553" t="s">
        <v>1360</v>
      </c>
      <c r="AF81" s="554" t="s">
        <v>1361</v>
      </c>
    </row>
    <row r="82" spans="20:32" ht="18" customHeight="1">
      <c r="T82" t="s">
        <v>1387</v>
      </c>
      <c r="U82" s="833"/>
      <c r="V82" s="645"/>
      <c r="W82" s="646"/>
      <c r="X82" s="646"/>
      <c r="Y82" s="646"/>
      <c r="Z82" s="646"/>
      <c r="AA82" s="646"/>
      <c r="AB82" s="646"/>
      <c r="AC82" s="646"/>
      <c r="AD82" s="555"/>
      <c r="AE82" s="555"/>
      <c r="AF82" s="556"/>
    </row>
    <row r="83" spans="20:32">
      <c r="U83" s="833"/>
      <c r="V83" s="645"/>
      <c r="W83" s="646"/>
      <c r="X83" s="646"/>
      <c r="Y83" s="646"/>
      <c r="Z83" s="646"/>
      <c r="AA83" s="646"/>
      <c r="AB83" s="646"/>
      <c r="AC83" s="646"/>
      <c r="AD83" s="555"/>
      <c r="AE83" s="555"/>
      <c r="AF83" s="556"/>
    </row>
    <row r="84" spans="20:32" ht="18.600000000000001" thickBot="1">
      <c r="U84" s="834"/>
      <c r="V84" s="647" t="s">
        <v>1388</v>
      </c>
      <c r="W84" s="617"/>
      <c r="X84" s="617" t="s">
        <v>1363</v>
      </c>
      <c r="Y84" s="617"/>
      <c r="Z84" s="617"/>
      <c r="AA84" s="617"/>
      <c r="AB84" s="617"/>
      <c r="AC84" s="617"/>
      <c r="AD84" s="557" t="s">
        <v>1364</v>
      </c>
      <c r="AE84" s="557" t="s">
        <v>1365</v>
      </c>
      <c r="AF84" s="558" t="s">
        <v>1366</v>
      </c>
    </row>
    <row r="87" spans="20:32" ht="18.600000000000001" thickBot="1"/>
    <row r="88" spans="20:32" ht="18" customHeight="1">
      <c r="U88" s="832" t="s">
        <v>1356</v>
      </c>
      <c r="V88" s="644" t="s">
        <v>1357</v>
      </c>
      <c r="W88" s="644"/>
      <c r="X88" s="644" t="s">
        <v>1358</v>
      </c>
      <c r="Y88" s="644"/>
      <c r="Z88" s="644"/>
      <c r="AA88" s="644"/>
      <c r="AB88" s="644"/>
      <c r="AC88" s="644"/>
      <c r="AD88" s="553" t="s">
        <v>1359</v>
      </c>
      <c r="AE88" s="553" t="s">
        <v>1360</v>
      </c>
      <c r="AF88" s="554" t="s">
        <v>1361</v>
      </c>
    </row>
    <row r="89" spans="20:32">
      <c r="T89" t="s">
        <v>1389</v>
      </c>
      <c r="U89" s="833"/>
      <c r="V89" s="645"/>
      <c r="W89" s="646"/>
      <c r="X89" s="646"/>
      <c r="Y89" s="646"/>
      <c r="Z89" s="646"/>
      <c r="AA89" s="646"/>
      <c r="AB89" s="646"/>
      <c r="AC89" s="646"/>
      <c r="AD89" s="555"/>
      <c r="AE89" s="555"/>
      <c r="AF89" s="556"/>
    </row>
    <row r="90" spans="20:32">
      <c r="U90" s="833"/>
      <c r="V90" s="645"/>
      <c r="W90" s="646"/>
      <c r="X90" s="646"/>
      <c r="Y90" s="646"/>
      <c r="Z90" s="646"/>
      <c r="AA90" s="646"/>
      <c r="AB90" s="646"/>
      <c r="AC90" s="646"/>
      <c r="AD90" s="555"/>
      <c r="AE90" s="555"/>
      <c r="AF90" s="556"/>
    </row>
    <row r="91" spans="20:32" ht="18.600000000000001" thickBot="1">
      <c r="U91" s="834"/>
      <c r="V91" s="647" t="s">
        <v>1388</v>
      </c>
      <c r="W91" s="617"/>
      <c r="X91" s="617" t="s">
        <v>1363</v>
      </c>
      <c r="Y91" s="617"/>
      <c r="Z91" s="617"/>
      <c r="AA91" s="617"/>
      <c r="AB91" s="617"/>
      <c r="AC91" s="617"/>
      <c r="AD91" s="557" t="s">
        <v>1364</v>
      </c>
      <c r="AE91" s="557" t="s">
        <v>1365</v>
      </c>
      <c r="AF91" s="558" t="s">
        <v>1366</v>
      </c>
    </row>
  </sheetData>
  <mergeCells count="302">
    <mergeCell ref="A4:A5"/>
    <mergeCell ref="B4:C5"/>
    <mergeCell ref="D4:E5"/>
    <mergeCell ref="F4:I5"/>
    <mergeCell ref="J4:J5"/>
    <mergeCell ref="K4:K5"/>
    <mergeCell ref="B6:C6"/>
    <mergeCell ref="D6:E6"/>
    <mergeCell ref="F6:I6"/>
    <mergeCell ref="P6:R6"/>
    <mergeCell ref="M4:M5"/>
    <mergeCell ref="N4:N5"/>
    <mergeCell ref="O4:O5"/>
    <mergeCell ref="P4:R5"/>
    <mergeCell ref="B7:C7"/>
    <mergeCell ref="D7:E7"/>
    <mergeCell ref="F7:I7"/>
    <mergeCell ref="P7:R7"/>
    <mergeCell ref="A8:A9"/>
    <mergeCell ref="B8:C8"/>
    <mergeCell ref="D8:E8"/>
    <mergeCell ref="F8:I8"/>
    <mergeCell ref="J8:J9"/>
    <mergeCell ref="K8:K9"/>
    <mergeCell ref="P8:R9"/>
    <mergeCell ref="B9:C9"/>
    <mergeCell ref="D9:E9"/>
    <mergeCell ref="F9:I9"/>
    <mergeCell ref="A10:A11"/>
    <mergeCell ref="B10:C10"/>
    <mergeCell ref="D10:E10"/>
    <mergeCell ref="F10:I10"/>
    <mergeCell ref="J10:J11"/>
    <mergeCell ref="K10:K11"/>
    <mergeCell ref="P10:R11"/>
    <mergeCell ref="B11:C11"/>
    <mergeCell ref="D11:E11"/>
    <mergeCell ref="F11:I11"/>
    <mergeCell ref="A12:A13"/>
    <mergeCell ref="B12:C12"/>
    <mergeCell ref="D12:E12"/>
    <mergeCell ref="F12:I12"/>
    <mergeCell ref="J12:J13"/>
    <mergeCell ref="K12:K13"/>
    <mergeCell ref="B15:C15"/>
    <mergeCell ref="D15:E15"/>
    <mergeCell ref="F15:I15"/>
    <mergeCell ref="P15:R15"/>
    <mergeCell ref="B16:C16"/>
    <mergeCell ref="D16:E16"/>
    <mergeCell ref="F16:I16"/>
    <mergeCell ref="P16:R16"/>
    <mergeCell ref="P12:R13"/>
    <mergeCell ref="B13:C13"/>
    <mergeCell ref="D13:E13"/>
    <mergeCell ref="F13:I13"/>
    <mergeCell ref="B14:C14"/>
    <mergeCell ref="D14:E14"/>
    <mergeCell ref="F14:I14"/>
    <mergeCell ref="P14:R14"/>
    <mergeCell ref="P17:R18"/>
    <mergeCell ref="B18:C18"/>
    <mergeCell ref="D18:E18"/>
    <mergeCell ref="F18:I18"/>
    <mergeCell ref="A19:A20"/>
    <mergeCell ref="B19:C19"/>
    <mergeCell ref="D19:E19"/>
    <mergeCell ref="F19:I19"/>
    <mergeCell ref="J19:J20"/>
    <mergeCell ref="K19:K20"/>
    <mergeCell ref="A17:A18"/>
    <mergeCell ref="B17:C17"/>
    <mergeCell ref="D17:E17"/>
    <mergeCell ref="F17:I17"/>
    <mergeCell ref="J17:J18"/>
    <mergeCell ref="K17:K18"/>
    <mergeCell ref="A21:A23"/>
    <mergeCell ref="B21:C21"/>
    <mergeCell ref="D21:E21"/>
    <mergeCell ref="F21:I21"/>
    <mergeCell ref="J21:J23"/>
    <mergeCell ref="K21:K23"/>
    <mergeCell ref="P19:R20"/>
    <mergeCell ref="B20:C20"/>
    <mergeCell ref="D20:E20"/>
    <mergeCell ref="F20:I20"/>
    <mergeCell ref="P21:R23"/>
    <mergeCell ref="B22:C22"/>
    <mergeCell ref="D22:E22"/>
    <mergeCell ref="F22:I22"/>
    <mergeCell ref="B23:C23"/>
    <mergeCell ref="D23:E23"/>
    <mergeCell ref="F23:I23"/>
    <mergeCell ref="B24:C24"/>
    <mergeCell ref="D24:E24"/>
    <mergeCell ref="F24:I24"/>
    <mergeCell ref="P24:R24"/>
    <mergeCell ref="B25:C25"/>
    <mergeCell ref="D25:E25"/>
    <mergeCell ref="F25:I25"/>
    <mergeCell ref="P25:R25"/>
    <mergeCell ref="B26:C26"/>
    <mergeCell ref="D26:E26"/>
    <mergeCell ref="F26:I26"/>
    <mergeCell ref="P26:R26"/>
    <mergeCell ref="B35:C35"/>
    <mergeCell ref="D35:E35"/>
    <mergeCell ref="F35:I35"/>
    <mergeCell ref="P35:R35"/>
    <mergeCell ref="P34:R34"/>
    <mergeCell ref="B34:C34"/>
    <mergeCell ref="D34:E34"/>
    <mergeCell ref="F34:I34"/>
    <mergeCell ref="B32:C32"/>
    <mergeCell ref="D32:E32"/>
    <mergeCell ref="F32:I32"/>
    <mergeCell ref="B33:C33"/>
    <mergeCell ref="D33:E33"/>
    <mergeCell ref="F33:I33"/>
    <mergeCell ref="P33:R33"/>
    <mergeCell ref="P32:R32"/>
    <mergeCell ref="B31:C31"/>
    <mergeCell ref="D31:E31"/>
    <mergeCell ref="F31:I31"/>
    <mergeCell ref="A27:A29"/>
    <mergeCell ref="J27:J29"/>
    <mergeCell ref="K27:K29"/>
    <mergeCell ref="P27:R29"/>
    <mergeCell ref="B29:C29"/>
    <mergeCell ref="D29:E29"/>
    <mergeCell ref="F29:I29"/>
    <mergeCell ref="P31:R31"/>
    <mergeCell ref="B28:C28"/>
    <mergeCell ref="D28:E28"/>
    <mergeCell ref="F28:I28"/>
    <mergeCell ref="B30:C30"/>
    <mergeCell ref="D30:E30"/>
    <mergeCell ref="B27:C27"/>
    <mergeCell ref="D27:E27"/>
    <mergeCell ref="F27:I27"/>
    <mergeCell ref="F30:I30"/>
    <mergeCell ref="P30:R30"/>
    <mergeCell ref="A43:A44"/>
    <mergeCell ref="B43:C44"/>
    <mergeCell ref="D43:E44"/>
    <mergeCell ref="F43:I44"/>
    <mergeCell ref="J43:J44"/>
    <mergeCell ref="K43:K44"/>
    <mergeCell ref="M43:M44"/>
    <mergeCell ref="N43:N44"/>
    <mergeCell ref="O43:O44"/>
    <mergeCell ref="P43:R44"/>
    <mergeCell ref="B45:C45"/>
    <mergeCell ref="D45:E45"/>
    <mergeCell ref="F45:I45"/>
    <mergeCell ref="P45:R45"/>
    <mergeCell ref="B46:C46"/>
    <mergeCell ref="D46:E46"/>
    <mergeCell ref="F46:I46"/>
    <mergeCell ref="P46:R46"/>
    <mergeCell ref="A47:A48"/>
    <mergeCell ref="B47:C47"/>
    <mergeCell ref="D47:E47"/>
    <mergeCell ref="F47:I47"/>
    <mergeCell ref="J47:J48"/>
    <mergeCell ref="K47:K48"/>
    <mergeCell ref="P47:R48"/>
    <mergeCell ref="B48:C48"/>
    <mergeCell ref="D48:E48"/>
    <mergeCell ref="F48:I48"/>
    <mergeCell ref="A49:A50"/>
    <mergeCell ref="B49:C49"/>
    <mergeCell ref="D49:E49"/>
    <mergeCell ref="F49:I49"/>
    <mergeCell ref="J49:J50"/>
    <mergeCell ref="K49:K50"/>
    <mergeCell ref="P49:R50"/>
    <mergeCell ref="B50:C50"/>
    <mergeCell ref="D50:E50"/>
    <mergeCell ref="F50:I50"/>
    <mergeCell ref="A51:A52"/>
    <mergeCell ref="B51:C51"/>
    <mergeCell ref="D51:E51"/>
    <mergeCell ref="F51:I51"/>
    <mergeCell ref="J51:J52"/>
    <mergeCell ref="K51:K52"/>
    <mergeCell ref="P51:R52"/>
    <mergeCell ref="B52:C52"/>
    <mergeCell ref="D52:E52"/>
    <mergeCell ref="F52:I52"/>
    <mergeCell ref="B53:C53"/>
    <mergeCell ref="D53:E53"/>
    <mergeCell ref="F53:I53"/>
    <mergeCell ref="P53:R53"/>
    <mergeCell ref="B54:C54"/>
    <mergeCell ref="D54:E54"/>
    <mergeCell ref="F54:I54"/>
    <mergeCell ref="P54:R54"/>
    <mergeCell ref="B55:C55"/>
    <mergeCell ref="D55:E55"/>
    <mergeCell ref="F55:I55"/>
    <mergeCell ref="P55:R55"/>
    <mergeCell ref="A56:A57"/>
    <mergeCell ref="B56:C56"/>
    <mergeCell ref="D56:E56"/>
    <mergeCell ref="F56:I56"/>
    <mergeCell ref="J56:J57"/>
    <mergeCell ref="K56:K57"/>
    <mergeCell ref="P56:R57"/>
    <mergeCell ref="B57:C57"/>
    <mergeCell ref="D57:E57"/>
    <mergeCell ref="F57:I57"/>
    <mergeCell ref="A58:A59"/>
    <mergeCell ref="B58:C58"/>
    <mergeCell ref="D58:E58"/>
    <mergeCell ref="F58:I58"/>
    <mergeCell ref="J58:J59"/>
    <mergeCell ref="K58:K59"/>
    <mergeCell ref="P58:R59"/>
    <mergeCell ref="B59:C59"/>
    <mergeCell ref="D59:E59"/>
    <mergeCell ref="F59:I59"/>
    <mergeCell ref="A60:A62"/>
    <mergeCell ref="B60:C60"/>
    <mergeCell ref="D60:E60"/>
    <mergeCell ref="F60:I60"/>
    <mergeCell ref="J60:J62"/>
    <mergeCell ref="K60:K62"/>
    <mergeCell ref="P60:R62"/>
    <mergeCell ref="B61:C61"/>
    <mergeCell ref="D61:E61"/>
    <mergeCell ref="F61:I61"/>
    <mergeCell ref="B62:C62"/>
    <mergeCell ref="D62:E62"/>
    <mergeCell ref="F62:I62"/>
    <mergeCell ref="B63:C63"/>
    <mergeCell ref="D63:E63"/>
    <mergeCell ref="F63:I63"/>
    <mergeCell ref="P63:R63"/>
    <mergeCell ref="B64:C64"/>
    <mergeCell ref="D64:E64"/>
    <mergeCell ref="F64:I64"/>
    <mergeCell ref="P64:R64"/>
    <mergeCell ref="B65:C65"/>
    <mergeCell ref="D65:E65"/>
    <mergeCell ref="F65:I65"/>
    <mergeCell ref="P65:R65"/>
    <mergeCell ref="A66:A68"/>
    <mergeCell ref="B66:C66"/>
    <mergeCell ref="D66:E66"/>
    <mergeCell ref="F66:I66"/>
    <mergeCell ref="J66:J68"/>
    <mergeCell ref="K66:K68"/>
    <mergeCell ref="P66:R68"/>
    <mergeCell ref="B67:C67"/>
    <mergeCell ref="D67:E67"/>
    <mergeCell ref="F67:I67"/>
    <mergeCell ref="B68:C68"/>
    <mergeCell ref="D68:E68"/>
    <mergeCell ref="F68:I68"/>
    <mergeCell ref="B69:C69"/>
    <mergeCell ref="D69:E69"/>
    <mergeCell ref="F69:I69"/>
    <mergeCell ref="P69:R69"/>
    <mergeCell ref="B70:C70"/>
    <mergeCell ref="D70:E70"/>
    <mergeCell ref="F70:I70"/>
    <mergeCell ref="P70:R70"/>
    <mergeCell ref="B71:C71"/>
    <mergeCell ref="D71:E71"/>
    <mergeCell ref="F71:I71"/>
    <mergeCell ref="P71:R71"/>
    <mergeCell ref="B72:C72"/>
    <mergeCell ref="D72:E72"/>
    <mergeCell ref="F72:I72"/>
    <mergeCell ref="P72:R72"/>
    <mergeCell ref="B73:C73"/>
    <mergeCell ref="D73:E73"/>
    <mergeCell ref="F73:I73"/>
    <mergeCell ref="P73:R73"/>
    <mergeCell ref="B74:C74"/>
    <mergeCell ref="D74:E74"/>
    <mergeCell ref="F74:I74"/>
    <mergeCell ref="P74:R74"/>
    <mergeCell ref="U81:U84"/>
    <mergeCell ref="V81:W81"/>
    <mergeCell ref="X81:AC81"/>
    <mergeCell ref="V82:W82"/>
    <mergeCell ref="X82:AC82"/>
    <mergeCell ref="V83:W83"/>
    <mergeCell ref="X83:AC83"/>
    <mergeCell ref="V84:W84"/>
    <mergeCell ref="X84:AC84"/>
    <mergeCell ref="U88:U91"/>
    <mergeCell ref="V88:W88"/>
    <mergeCell ref="X88:AC88"/>
    <mergeCell ref="V89:W89"/>
    <mergeCell ref="X89:AC89"/>
    <mergeCell ref="V90:W90"/>
    <mergeCell ref="X90:AC90"/>
    <mergeCell ref="V91:W91"/>
    <mergeCell ref="X91:AC91"/>
  </mergeCells>
  <phoneticPr fontId="11"/>
  <printOptions horizontalCentered="1" verticalCentered="1"/>
  <pageMargins left="0.11811023622047245" right="0.19685039370078741" top="0.11811023622047245" bottom="0.11811023622047245" header="0.11811023622047245" footer="0.11811023622047245"/>
  <pageSetup paperSize="9" scale="75" orientation="landscape" horizontalDpi="300" verticalDpi="300" r:id="rId1"/>
  <rowBreaks count="1" manualBreakCount="1">
    <brk id="39" max="17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9A89A-1026-43FF-B146-3D6E947DBEA7}">
  <sheetPr>
    <tabColor rgb="FF00B050"/>
  </sheetPr>
  <dimension ref="A1:AF43"/>
  <sheetViews>
    <sheetView view="pageBreakPreview" topLeftCell="A7" zoomScale="85" zoomScaleNormal="100" zoomScaleSheetLayoutView="85" workbookViewId="0">
      <selection activeCell="K32" sqref="K32"/>
    </sheetView>
  </sheetViews>
  <sheetFormatPr defaultRowHeight="18"/>
  <cols>
    <col min="1" max="1" width="5.69921875" customWidth="1"/>
    <col min="2" max="2" width="7.59765625" customWidth="1"/>
    <col min="3" max="3" width="9.19921875" customWidth="1"/>
    <col min="4" max="5" width="5.69921875" customWidth="1"/>
    <col min="6" max="8" width="7.59765625" customWidth="1"/>
    <col min="9" max="9" width="5.59765625" customWidth="1"/>
    <col min="10" max="11" width="30.69921875" customWidth="1"/>
    <col min="12" max="12" width="7.59765625" customWidth="1"/>
    <col min="13" max="15" width="5.69921875" customWidth="1"/>
    <col min="16" max="18" width="7.59765625" customWidth="1"/>
    <col min="19" max="20" width="8.69921875" customWidth="1"/>
  </cols>
  <sheetData>
    <row r="1" spans="1:18" ht="18.75" customHeight="1">
      <c r="A1" s="262" t="s">
        <v>1410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47"/>
      <c r="P1" s="39"/>
      <c r="Q1" s="39"/>
      <c r="R1" s="39"/>
    </row>
    <row r="2" spans="1:18" ht="18.75" customHeight="1">
      <c r="A2" s="267" t="s">
        <v>1141</v>
      </c>
      <c r="B2" s="464"/>
      <c r="C2" s="464"/>
      <c r="D2" s="39"/>
      <c r="E2" s="39"/>
      <c r="F2" s="39"/>
      <c r="G2" s="39"/>
      <c r="H2" s="39"/>
      <c r="I2" s="39"/>
      <c r="J2" s="39"/>
      <c r="K2" s="39"/>
      <c r="L2" s="465"/>
      <c r="M2" s="39"/>
      <c r="N2" s="39"/>
      <c r="O2" s="47"/>
      <c r="P2" s="39"/>
      <c r="Q2" s="39"/>
      <c r="R2" s="39"/>
    </row>
    <row r="3" spans="1:18" ht="15.9" customHeight="1">
      <c r="A3" s="49" t="s">
        <v>366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7"/>
      <c r="P3" s="39"/>
      <c r="Q3" s="39" t="s">
        <v>983</v>
      </c>
      <c r="R3" s="39"/>
    </row>
    <row r="4" spans="1:18" ht="15.9" customHeight="1">
      <c r="A4" s="710" t="s">
        <v>2</v>
      </c>
      <c r="B4" s="712" t="s">
        <v>3</v>
      </c>
      <c r="C4" s="712"/>
      <c r="D4" s="650" t="s">
        <v>4</v>
      </c>
      <c r="E4" s="650"/>
      <c r="F4" s="712" t="s">
        <v>5</v>
      </c>
      <c r="G4" s="712"/>
      <c r="H4" s="712"/>
      <c r="I4" s="712"/>
      <c r="J4" s="713" t="s">
        <v>491</v>
      </c>
      <c r="K4" s="715" t="s">
        <v>7</v>
      </c>
      <c r="L4" s="467" t="s">
        <v>1178</v>
      </c>
      <c r="M4" s="696" t="s">
        <v>1095</v>
      </c>
      <c r="N4" s="716" t="s">
        <v>1096</v>
      </c>
      <c r="O4" s="715" t="s">
        <v>1097</v>
      </c>
      <c r="P4" s="674" t="s">
        <v>8</v>
      </c>
      <c r="Q4" s="675"/>
      <c r="R4" s="676"/>
    </row>
    <row r="5" spans="1:18" ht="15.9" customHeight="1">
      <c r="A5" s="711"/>
      <c r="B5" s="712"/>
      <c r="C5" s="712"/>
      <c r="D5" s="650"/>
      <c r="E5" s="650"/>
      <c r="F5" s="712"/>
      <c r="G5" s="712"/>
      <c r="H5" s="712"/>
      <c r="I5" s="712"/>
      <c r="J5" s="714"/>
      <c r="K5" s="715"/>
      <c r="L5" s="186" t="s">
        <v>1170</v>
      </c>
      <c r="M5" s="706"/>
      <c r="N5" s="717"/>
      <c r="O5" s="715"/>
      <c r="P5" s="674"/>
      <c r="Q5" s="675"/>
      <c r="R5" s="676"/>
    </row>
    <row r="6" spans="1:18" ht="18" customHeight="1">
      <c r="A6" s="614" t="s">
        <v>106</v>
      </c>
      <c r="B6" s="661" t="s">
        <v>10</v>
      </c>
      <c r="C6" s="661"/>
      <c r="D6" s="661" t="s">
        <v>43</v>
      </c>
      <c r="E6" s="661"/>
      <c r="F6" s="659" t="s">
        <v>810</v>
      </c>
      <c r="G6" s="659"/>
      <c r="H6" s="659"/>
      <c r="I6" s="659"/>
      <c r="J6" s="685" t="s">
        <v>1228</v>
      </c>
      <c r="K6" s="687"/>
      <c r="L6" s="88"/>
      <c r="M6" s="8">
        <v>130</v>
      </c>
      <c r="N6" s="8">
        <v>1</v>
      </c>
      <c r="O6" s="124">
        <v>500</v>
      </c>
      <c r="P6" s="660" t="s">
        <v>12</v>
      </c>
      <c r="Q6" s="660"/>
      <c r="R6" s="660"/>
    </row>
    <row r="7" spans="1:18" ht="18" customHeight="1">
      <c r="A7" s="616"/>
      <c r="B7" s="700" t="s">
        <v>13</v>
      </c>
      <c r="C7" s="701"/>
      <c r="D7" s="700" t="s">
        <v>14</v>
      </c>
      <c r="E7" s="701"/>
      <c r="F7" s="659" t="s">
        <v>811</v>
      </c>
      <c r="G7" s="659"/>
      <c r="H7" s="659"/>
      <c r="I7" s="659"/>
      <c r="J7" s="686"/>
      <c r="K7" s="726"/>
      <c r="L7" s="88"/>
      <c r="M7" s="8"/>
      <c r="N7" s="8"/>
      <c r="O7" s="124"/>
      <c r="P7" s="660"/>
      <c r="Q7" s="660"/>
      <c r="R7" s="660"/>
    </row>
    <row r="8" spans="1:18" ht="18" customHeight="1">
      <c r="A8" s="614" t="s">
        <v>233</v>
      </c>
      <c r="B8" s="661" t="s">
        <v>10</v>
      </c>
      <c r="C8" s="661"/>
      <c r="D8" s="700" t="s">
        <v>43</v>
      </c>
      <c r="E8" s="701"/>
      <c r="F8" s="653" t="s">
        <v>1525</v>
      </c>
      <c r="G8" s="653"/>
      <c r="H8" s="653"/>
      <c r="I8" s="653"/>
      <c r="J8" s="625" t="s">
        <v>1292</v>
      </c>
      <c r="K8" s="703"/>
      <c r="L8" s="88"/>
      <c r="M8" s="8">
        <v>260</v>
      </c>
      <c r="N8" s="8">
        <v>2</v>
      </c>
      <c r="O8" s="124">
        <v>2660</v>
      </c>
      <c r="P8" s="660" t="s">
        <v>68</v>
      </c>
      <c r="Q8" s="660"/>
      <c r="R8" s="660"/>
    </row>
    <row r="9" spans="1:18" ht="18" customHeight="1">
      <c r="A9" s="616"/>
      <c r="B9" s="700" t="s">
        <v>13</v>
      </c>
      <c r="C9" s="701"/>
      <c r="D9" s="700" t="s">
        <v>11</v>
      </c>
      <c r="E9" s="701"/>
      <c r="F9" s="653" t="s">
        <v>414</v>
      </c>
      <c r="G9" s="653"/>
      <c r="H9" s="653"/>
      <c r="I9" s="653"/>
      <c r="J9" s="627"/>
      <c r="K9" s="673"/>
      <c r="L9" s="88"/>
      <c r="M9" s="8"/>
      <c r="N9" s="8"/>
      <c r="O9" s="124"/>
      <c r="P9" s="660"/>
      <c r="Q9" s="660"/>
      <c r="R9" s="660"/>
    </row>
    <row r="10" spans="1:18" ht="18" customHeight="1">
      <c r="A10" s="614" t="s">
        <v>27</v>
      </c>
      <c r="B10" s="661" t="s">
        <v>10</v>
      </c>
      <c r="C10" s="661"/>
      <c r="D10" s="700" t="s">
        <v>11</v>
      </c>
      <c r="E10" s="701"/>
      <c r="F10" s="659" t="s">
        <v>415</v>
      </c>
      <c r="G10" s="659"/>
      <c r="H10" s="659"/>
      <c r="I10" s="659"/>
      <c r="J10" s="625" t="s">
        <v>1301</v>
      </c>
      <c r="K10" s="704" t="s">
        <v>1074</v>
      </c>
      <c r="L10" s="88"/>
      <c r="M10" s="8">
        <v>130</v>
      </c>
      <c r="N10" s="8">
        <v>1</v>
      </c>
      <c r="O10" s="124">
        <v>10130</v>
      </c>
      <c r="P10" s="660" t="s">
        <v>417</v>
      </c>
      <c r="Q10" s="660"/>
      <c r="R10" s="660"/>
    </row>
    <row r="11" spans="1:18" ht="18" customHeight="1">
      <c r="A11" s="616"/>
      <c r="B11" s="700" t="s">
        <v>13</v>
      </c>
      <c r="C11" s="701"/>
      <c r="D11" s="700" t="s">
        <v>11</v>
      </c>
      <c r="E11" s="701"/>
      <c r="F11" s="659" t="s">
        <v>418</v>
      </c>
      <c r="G11" s="659"/>
      <c r="H11" s="659"/>
      <c r="I11" s="659"/>
      <c r="J11" s="627"/>
      <c r="K11" s="705"/>
      <c r="L11" s="88"/>
      <c r="M11" s="8"/>
      <c r="N11" s="8"/>
      <c r="O11" s="124"/>
      <c r="P11" s="660"/>
      <c r="Q11" s="660"/>
      <c r="R11" s="660"/>
    </row>
    <row r="12" spans="1:18" ht="18" customHeight="1">
      <c r="A12" s="614" t="s">
        <v>384</v>
      </c>
      <c r="B12" s="661" t="s">
        <v>199</v>
      </c>
      <c r="C12" s="661"/>
      <c r="D12" s="661" t="s">
        <v>11</v>
      </c>
      <c r="E12" s="661"/>
      <c r="F12" s="659" t="s">
        <v>419</v>
      </c>
      <c r="G12" s="659"/>
      <c r="H12" s="659"/>
      <c r="I12" s="659"/>
      <c r="J12" s="685"/>
      <c r="K12" s="702" t="s">
        <v>420</v>
      </c>
      <c r="L12" s="88"/>
      <c r="M12" s="8">
        <v>130</v>
      </c>
      <c r="N12" s="8">
        <v>1</v>
      </c>
      <c r="O12" s="124">
        <v>4130</v>
      </c>
      <c r="P12" s="660" t="s">
        <v>323</v>
      </c>
      <c r="Q12" s="660"/>
      <c r="R12" s="660"/>
    </row>
    <row r="13" spans="1:18" ht="18" customHeight="1">
      <c r="A13" s="616"/>
      <c r="B13" s="661" t="s">
        <v>202</v>
      </c>
      <c r="C13" s="661"/>
      <c r="D13" s="661" t="s">
        <v>11</v>
      </c>
      <c r="E13" s="661"/>
      <c r="F13" s="659" t="s">
        <v>203</v>
      </c>
      <c r="G13" s="659"/>
      <c r="H13" s="659"/>
      <c r="I13" s="659"/>
      <c r="J13" s="686"/>
      <c r="K13" s="691"/>
      <c r="L13" s="88"/>
      <c r="M13" s="8"/>
      <c r="N13" s="8"/>
      <c r="O13" s="124"/>
      <c r="P13" s="660"/>
      <c r="Q13" s="660"/>
      <c r="R13" s="660"/>
    </row>
    <row r="14" spans="1:18" ht="18" customHeight="1">
      <c r="A14" s="614" t="s">
        <v>421</v>
      </c>
      <c r="B14" s="661" t="s">
        <v>35</v>
      </c>
      <c r="C14" s="661"/>
      <c r="D14" s="661" t="s">
        <v>11</v>
      </c>
      <c r="E14" s="661"/>
      <c r="F14" s="699" t="s">
        <v>1190</v>
      </c>
      <c r="G14" s="699"/>
      <c r="H14" s="699"/>
      <c r="I14" s="699"/>
      <c r="J14" s="685"/>
      <c r="K14" s="702" t="s">
        <v>37</v>
      </c>
      <c r="L14" s="88"/>
      <c r="M14" s="8">
        <v>130</v>
      </c>
      <c r="N14" s="8">
        <v>1</v>
      </c>
      <c r="O14" s="124">
        <v>1200</v>
      </c>
      <c r="P14" s="660" t="s">
        <v>38</v>
      </c>
      <c r="Q14" s="660"/>
      <c r="R14" s="660"/>
    </row>
    <row r="15" spans="1:18" ht="18" customHeight="1">
      <c r="A15" s="616"/>
      <c r="B15" s="661" t="s">
        <v>304</v>
      </c>
      <c r="C15" s="661"/>
      <c r="D15" s="661" t="s">
        <v>11</v>
      </c>
      <c r="E15" s="661"/>
      <c r="F15" s="699" t="s">
        <v>1416</v>
      </c>
      <c r="G15" s="699"/>
      <c r="H15" s="699"/>
      <c r="I15" s="699"/>
      <c r="J15" s="686"/>
      <c r="K15" s="691"/>
      <c r="L15" s="88"/>
      <c r="M15" s="8"/>
      <c r="N15" s="8"/>
      <c r="O15" s="124"/>
      <c r="P15" s="660"/>
      <c r="Q15" s="660"/>
      <c r="R15" s="660"/>
    </row>
    <row r="16" spans="1:18" ht="18" customHeight="1">
      <c r="A16" s="59" t="s">
        <v>423</v>
      </c>
      <c r="B16" s="650" t="s">
        <v>236</v>
      </c>
      <c r="C16" s="650"/>
      <c r="D16" s="650" t="s">
        <v>49</v>
      </c>
      <c r="E16" s="650"/>
      <c r="F16" s="651" t="s">
        <v>1171</v>
      </c>
      <c r="G16" s="651"/>
      <c r="H16" s="651"/>
      <c r="I16" s="651"/>
      <c r="J16" s="15" t="s">
        <v>1228</v>
      </c>
      <c r="K16" s="15"/>
      <c r="L16" s="97" t="s">
        <v>436</v>
      </c>
      <c r="M16" s="25">
        <v>130</v>
      </c>
      <c r="N16" s="25">
        <v>1</v>
      </c>
      <c r="O16" s="32">
        <v>12130</v>
      </c>
      <c r="P16" s="708" t="s">
        <v>917</v>
      </c>
      <c r="Q16" s="708"/>
      <c r="R16" s="708"/>
    </row>
    <row r="17" spans="1:18" ht="18" customHeight="1">
      <c r="A17" s="59" t="s">
        <v>427</v>
      </c>
      <c r="B17" s="706" t="s">
        <v>178</v>
      </c>
      <c r="C17" s="706"/>
      <c r="D17" s="650" t="s">
        <v>240</v>
      </c>
      <c r="E17" s="650"/>
      <c r="F17" s="707" t="s">
        <v>1067</v>
      </c>
      <c r="G17" s="707"/>
      <c r="H17" s="707"/>
      <c r="I17" s="707"/>
      <c r="J17" s="23" t="s">
        <v>1291</v>
      </c>
      <c r="K17" s="536" t="s">
        <v>986</v>
      </c>
      <c r="L17" s="93" t="s">
        <v>425</v>
      </c>
      <c r="M17" s="25">
        <v>260</v>
      </c>
      <c r="N17" s="25">
        <v>2</v>
      </c>
      <c r="O17" s="43">
        <v>40260</v>
      </c>
      <c r="P17" s="708" t="s">
        <v>1415</v>
      </c>
      <c r="Q17" s="708"/>
      <c r="R17" s="708"/>
    </row>
    <row r="18" spans="1:18" ht="30" customHeight="1">
      <c r="A18" s="59" t="s">
        <v>47</v>
      </c>
      <c r="B18" s="650" t="s">
        <v>211</v>
      </c>
      <c r="C18" s="650"/>
      <c r="D18" s="650" t="s">
        <v>63</v>
      </c>
      <c r="E18" s="650"/>
      <c r="F18" s="651" t="s">
        <v>788</v>
      </c>
      <c r="G18" s="651"/>
      <c r="H18" s="651"/>
      <c r="I18" s="651"/>
      <c r="J18" s="269" t="s">
        <v>1230</v>
      </c>
      <c r="K18" s="25"/>
      <c r="L18" s="93" t="s">
        <v>425</v>
      </c>
      <c r="M18" s="25">
        <v>260</v>
      </c>
      <c r="N18" s="25">
        <v>2</v>
      </c>
      <c r="O18" s="32">
        <v>10260</v>
      </c>
      <c r="P18" s="652" t="s">
        <v>871</v>
      </c>
      <c r="Q18" s="623"/>
      <c r="R18" s="624"/>
    </row>
    <row r="19" spans="1:18" ht="18" customHeight="1">
      <c r="A19" s="73" t="s">
        <v>434</v>
      </c>
      <c r="B19" s="696" t="s">
        <v>1114</v>
      </c>
      <c r="C19" s="696"/>
      <c r="D19" s="696" t="s">
        <v>1115</v>
      </c>
      <c r="E19" s="696"/>
      <c r="F19" s="697" t="s">
        <v>1116</v>
      </c>
      <c r="G19" s="697"/>
      <c r="H19" s="697"/>
      <c r="I19" s="697"/>
      <c r="J19" s="67" t="s">
        <v>1293</v>
      </c>
      <c r="K19" s="67"/>
      <c r="L19" s="97" t="s">
        <v>425</v>
      </c>
      <c r="M19" s="25">
        <v>130</v>
      </c>
      <c r="N19" s="25">
        <v>1</v>
      </c>
      <c r="O19" s="52">
        <v>10130</v>
      </c>
      <c r="P19" s="698" t="s">
        <v>438</v>
      </c>
      <c r="Q19" s="698"/>
      <c r="R19" s="698"/>
    </row>
    <row r="20" spans="1:18" ht="30" customHeight="1" thickBot="1">
      <c r="A20" s="98" t="s">
        <v>439</v>
      </c>
      <c r="B20" s="650" t="s">
        <v>147</v>
      </c>
      <c r="C20" s="650"/>
      <c r="D20" s="727" t="s">
        <v>49</v>
      </c>
      <c r="E20" s="727"/>
      <c r="F20" s="728" t="s">
        <v>441</v>
      </c>
      <c r="G20" s="728"/>
      <c r="H20" s="728"/>
      <c r="I20" s="728"/>
      <c r="J20" s="296" t="s">
        <v>1294</v>
      </c>
      <c r="K20" s="269" t="s">
        <v>1290</v>
      </c>
      <c r="L20" s="100" t="s">
        <v>425</v>
      </c>
      <c r="M20" s="99">
        <v>130</v>
      </c>
      <c r="N20" s="99">
        <v>1</v>
      </c>
      <c r="O20" s="48">
        <v>4130</v>
      </c>
      <c r="P20" s="660" t="s">
        <v>872</v>
      </c>
      <c r="Q20" s="660"/>
      <c r="R20" s="660"/>
    </row>
    <row r="21" spans="1:18" ht="18" customHeight="1" thickTop="1">
      <c r="A21" s="729" t="s">
        <v>443</v>
      </c>
      <c r="B21" s="730" t="s">
        <v>10</v>
      </c>
      <c r="C21" s="730"/>
      <c r="D21" s="730" t="s">
        <v>14</v>
      </c>
      <c r="E21" s="730"/>
      <c r="F21" s="731" t="s">
        <v>1495</v>
      </c>
      <c r="G21" s="731"/>
      <c r="H21" s="731"/>
      <c r="I21" s="731"/>
      <c r="J21" s="677" t="s">
        <v>1295</v>
      </c>
      <c r="K21" s="678" t="s">
        <v>986</v>
      </c>
      <c r="L21" s="105"/>
      <c r="M21" s="14">
        <v>130</v>
      </c>
      <c r="N21" s="14">
        <v>1</v>
      </c>
      <c r="O21" s="542">
        <v>2130</v>
      </c>
      <c r="P21" s="732" t="s">
        <v>792</v>
      </c>
      <c r="Q21" s="733"/>
      <c r="R21" s="734"/>
    </row>
    <row r="22" spans="1:18" ht="18" customHeight="1">
      <c r="A22" s="615"/>
      <c r="B22" s="637" t="s">
        <v>227</v>
      </c>
      <c r="C22" s="637"/>
      <c r="D22" s="637" t="s">
        <v>14</v>
      </c>
      <c r="E22" s="637"/>
      <c r="F22" s="653" t="s">
        <v>448</v>
      </c>
      <c r="G22" s="653"/>
      <c r="H22" s="653"/>
      <c r="I22" s="653"/>
      <c r="J22" s="626"/>
      <c r="K22" s="629"/>
      <c r="L22" s="108"/>
      <c r="M22" s="8"/>
      <c r="N22" s="8"/>
      <c r="O22" s="51"/>
      <c r="P22" s="631"/>
      <c r="Q22" s="632"/>
      <c r="R22" s="633"/>
    </row>
    <row r="23" spans="1:18" ht="18" customHeight="1">
      <c r="A23" s="616"/>
      <c r="B23" s="637" t="s">
        <v>83</v>
      </c>
      <c r="C23" s="637"/>
      <c r="D23" s="638" t="s">
        <v>14</v>
      </c>
      <c r="E23" s="639"/>
      <c r="F23" s="659" t="s">
        <v>449</v>
      </c>
      <c r="G23" s="659"/>
      <c r="H23" s="659"/>
      <c r="I23" s="659"/>
      <c r="J23" s="627"/>
      <c r="K23" s="630"/>
      <c r="L23" s="108"/>
      <c r="M23" s="8"/>
      <c r="N23" s="8"/>
      <c r="O23" s="51"/>
      <c r="P23" s="634"/>
      <c r="Q23" s="635"/>
      <c r="R23" s="636"/>
    </row>
    <row r="24" spans="1:18" ht="18" customHeight="1">
      <c r="A24" s="664" t="s">
        <v>450</v>
      </c>
      <c r="B24" s="637" t="s">
        <v>10</v>
      </c>
      <c r="C24" s="637"/>
      <c r="D24" s="638" t="s">
        <v>43</v>
      </c>
      <c r="E24" s="639"/>
      <c r="F24" s="666" t="s">
        <v>890</v>
      </c>
      <c r="G24" s="667"/>
      <c r="H24" s="667"/>
      <c r="I24" s="667"/>
      <c r="J24" s="735" t="s">
        <v>1314</v>
      </c>
      <c r="K24" s="738"/>
      <c r="L24" s="108"/>
      <c r="M24" s="8">
        <v>130</v>
      </c>
      <c r="N24" s="8">
        <v>1</v>
      </c>
      <c r="O24" s="51">
        <v>3130</v>
      </c>
      <c r="P24" s="631" t="s">
        <v>910</v>
      </c>
      <c r="Q24" s="632"/>
      <c r="R24" s="633"/>
    </row>
    <row r="25" spans="1:18" ht="18" customHeight="1">
      <c r="A25" s="664"/>
      <c r="B25" s="637" t="s">
        <v>81</v>
      </c>
      <c r="C25" s="637"/>
      <c r="D25" s="661" t="s">
        <v>11</v>
      </c>
      <c r="E25" s="661"/>
      <c r="F25" s="662" t="s">
        <v>891</v>
      </c>
      <c r="G25" s="663"/>
      <c r="H25" s="663"/>
      <c r="I25" s="663"/>
      <c r="J25" s="736"/>
      <c r="K25" s="672"/>
      <c r="L25" s="108"/>
      <c r="M25" s="8"/>
      <c r="N25" s="8"/>
      <c r="O25" s="51"/>
      <c r="P25" s="631"/>
      <c r="Q25" s="632"/>
      <c r="R25" s="633"/>
    </row>
    <row r="26" spans="1:18" ht="18" customHeight="1">
      <c r="A26" s="665"/>
      <c r="B26" s="637" t="s">
        <v>83</v>
      </c>
      <c r="C26" s="637"/>
      <c r="D26" s="661" t="s">
        <v>11</v>
      </c>
      <c r="E26" s="661"/>
      <c r="F26" s="659" t="s">
        <v>968</v>
      </c>
      <c r="G26" s="659"/>
      <c r="H26" s="659"/>
      <c r="I26" s="659"/>
      <c r="J26" s="737"/>
      <c r="K26" s="673"/>
      <c r="L26" s="108"/>
      <c r="M26" s="8"/>
      <c r="N26" s="8"/>
      <c r="O26" s="51"/>
      <c r="P26" s="634"/>
      <c r="Q26" s="635"/>
      <c r="R26" s="636"/>
    </row>
    <row r="27" spans="1:18" ht="30" customHeight="1">
      <c r="A27" s="59" t="s">
        <v>455</v>
      </c>
      <c r="B27" s="650" t="s">
        <v>178</v>
      </c>
      <c r="C27" s="650"/>
      <c r="D27" s="650" t="s">
        <v>72</v>
      </c>
      <c r="E27" s="650"/>
      <c r="F27" s="620" t="s">
        <v>922</v>
      </c>
      <c r="G27" s="621"/>
      <c r="H27" s="621"/>
      <c r="I27" s="622"/>
      <c r="J27" s="532" t="s">
        <v>1411</v>
      </c>
      <c r="K27" s="537" t="s">
        <v>1091</v>
      </c>
      <c r="L27" s="97" t="s">
        <v>436</v>
      </c>
      <c r="M27" s="25">
        <v>130</v>
      </c>
      <c r="N27" s="25">
        <v>1</v>
      </c>
      <c r="O27" s="32">
        <v>5130</v>
      </c>
      <c r="P27" s="660" t="s">
        <v>458</v>
      </c>
      <c r="Q27" s="660"/>
      <c r="R27" s="660"/>
    </row>
    <row r="28" spans="1:18" ht="18" customHeight="1">
      <c r="A28" s="73" t="s">
        <v>794</v>
      </c>
      <c r="B28" s="650" t="s">
        <v>211</v>
      </c>
      <c r="C28" s="650"/>
      <c r="D28" s="650" t="s">
        <v>72</v>
      </c>
      <c r="E28" s="650"/>
      <c r="F28" s="651" t="s">
        <v>465</v>
      </c>
      <c r="G28" s="651"/>
      <c r="H28" s="651"/>
      <c r="I28" s="651"/>
      <c r="J28" s="25" t="s">
        <v>1298</v>
      </c>
      <c r="K28" s="25"/>
      <c r="L28" s="97" t="s">
        <v>436</v>
      </c>
      <c r="M28" s="25">
        <v>260</v>
      </c>
      <c r="N28" s="25">
        <v>2</v>
      </c>
      <c r="O28" s="32">
        <v>20260</v>
      </c>
      <c r="P28" s="660" t="s">
        <v>909</v>
      </c>
      <c r="Q28" s="660"/>
      <c r="R28" s="660"/>
    </row>
    <row r="29" spans="1:18" ht="18" customHeight="1">
      <c r="A29" s="184" t="s">
        <v>464</v>
      </c>
      <c r="B29" s="650" t="s">
        <v>147</v>
      </c>
      <c r="C29" s="650"/>
      <c r="D29" s="650" t="s">
        <v>49</v>
      </c>
      <c r="E29" s="650"/>
      <c r="F29" s="651" t="s">
        <v>966</v>
      </c>
      <c r="G29" s="651"/>
      <c r="H29" s="651"/>
      <c r="I29" s="651"/>
      <c r="J29" s="25" t="s">
        <v>1574</v>
      </c>
      <c r="K29" s="25" t="s">
        <v>1573</v>
      </c>
      <c r="L29" s="97" t="s">
        <v>425</v>
      </c>
      <c r="M29" s="25">
        <v>390</v>
      </c>
      <c r="N29" s="25">
        <v>3</v>
      </c>
      <c r="O29" s="32">
        <v>3990</v>
      </c>
      <c r="P29" s="660" t="s">
        <v>976</v>
      </c>
      <c r="Q29" s="660"/>
      <c r="R29" s="660"/>
    </row>
    <row r="30" spans="1:18" ht="18" customHeight="1">
      <c r="A30" s="73" t="s">
        <v>467</v>
      </c>
      <c r="B30" s="650" t="s">
        <v>147</v>
      </c>
      <c r="C30" s="650"/>
      <c r="D30" s="650" t="s">
        <v>49</v>
      </c>
      <c r="E30" s="650"/>
      <c r="F30" s="651" t="s">
        <v>1150</v>
      </c>
      <c r="G30" s="651"/>
      <c r="H30" s="651"/>
      <c r="I30" s="651"/>
      <c r="J30" s="25" t="s">
        <v>1575</v>
      </c>
      <c r="K30" s="25" t="s">
        <v>1573</v>
      </c>
      <c r="L30" s="97" t="s">
        <v>1169</v>
      </c>
      <c r="M30" s="422">
        <v>130</v>
      </c>
      <c r="N30" s="323">
        <v>1</v>
      </c>
      <c r="O30" s="32">
        <v>2630</v>
      </c>
      <c r="P30" s="652" t="s">
        <v>977</v>
      </c>
      <c r="Q30" s="623"/>
      <c r="R30" s="624"/>
    </row>
    <row r="31" spans="1:18" ht="30" customHeight="1">
      <c r="A31" s="229" t="s">
        <v>908</v>
      </c>
      <c r="B31" s="650" t="s">
        <v>147</v>
      </c>
      <c r="C31" s="650"/>
      <c r="D31" s="650" t="s">
        <v>49</v>
      </c>
      <c r="E31" s="650"/>
      <c r="F31" s="651" t="s">
        <v>441</v>
      </c>
      <c r="G31" s="651"/>
      <c r="H31" s="651"/>
      <c r="I31" s="651"/>
      <c r="J31" s="296" t="s">
        <v>1294</v>
      </c>
      <c r="K31" s="269" t="s">
        <v>1290</v>
      </c>
      <c r="L31" s="97" t="s">
        <v>425</v>
      </c>
      <c r="M31" s="25">
        <v>130</v>
      </c>
      <c r="N31" s="25">
        <v>1</v>
      </c>
      <c r="O31" s="32">
        <v>10130</v>
      </c>
      <c r="P31" s="660" t="s">
        <v>877</v>
      </c>
      <c r="Q31" s="660"/>
      <c r="R31" s="660"/>
    </row>
    <row r="32" spans="1:18" ht="30" customHeight="1">
      <c r="A32" s="73" t="s">
        <v>473</v>
      </c>
      <c r="B32" s="618" t="s">
        <v>485</v>
      </c>
      <c r="C32" s="619"/>
      <c r="D32" s="618" t="s">
        <v>49</v>
      </c>
      <c r="E32" s="619"/>
      <c r="F32" s="620" t="s">
        <v>1149</v>
      </c>
      <c r="G32" s="621"/>
      <c r="H32" s="621"/>
      <c r="I32" s="622"/>
      <c r="J32" s="304" t="s">
        <v>1297</v>
      </c>
      <c r="K32" s="538" t="s">
        <v>1412</v>
      </c>
      <c r="L32" s="97" t="s">
        <v>425</v>
      </c>
      <c r="M32" s="25">
        <v>130</v>
      </c>
      <c r="N32" s="25">
        <v>1</v>
      </c>
      <c r="O32" s="32">
        <v>13130</v>
      </c>
      <c r="P32" s="652" t="s">
        <v>876</v>
      </c>
      <c r="Q32" s="623"/>
      <c r="R32" s="624"/>
    </row>
    <row r="33" spans="1:32" ht="18" customHeight="1">
      <c r="A33" s="59" t="s">
        <v>476</v>
      </c>
      <c r="B33" s="679" t="s">
        <v>868</v>
      </c>
      <c r="C33" s="680"/>
      <c r="D33" s="650" t="s">
        <v>240</v>
      </c>
      <c r="E33" s="650"/>
      <c r="F33" s="681" t="s">
        <v>1188</v>
      </c>
      <c r="G33" s="682"/>
      <c r="H33" s="682"/>
      <c r="I33" s="683"/>
      <c r="J33" s="255" t="s">
        <v>1296</v>
      </c>
      <c r="K33" s="96"/>
      <c r="L33" s="76" t="s">
        <v>425</v>
      </c>
      <c r="M33" s="320">
        <v>130</v>
      </c>
      <c r="N33" s="320">
        <v>1</v>
      </c>
      <c r="O33" s="463">
        <v>8130</v>
      </c>
      <c r="P33" s="674" t="s">
        <v>901</v>
      </c>
      <c r="Q33" s="675"/>
      <c r="R33" s="676"/>
    </row>
    <row r="34" spans="1:32" ht="18" customHeight="1">
      <c r="A34" s="739" t="s">
        <v>480</v>
      </c>
      <c r="B34" s="661" t="s">
        <v>10</v>
      </c>
      <c r="C34" s="661"/>
      <c r="D34" s="661" t="s">
        <v>43</v>
      </c>
      <c r="E34" s="661"/>
      <c r="F34" s="659" t="s">
        <v>185</v>
      </c>
      <c r="G34" s="659"/>
      <c r="H34" s="659"/>
      <c r="I34" s="659"/>
      <c r="J34" s="685" t="s">
        <v>1413</v>
      </c>
      <c r="K34" s="738" t="s">
        <v>982</v>
      </c>
      <c r="L34" s="88"/>
      <c r="M34" s="8">
        <v>130</v>
      </c>
      <c r="N34" s="8">
        <v>1</v>
      </c>
      <c r="O34" s="124">
        <v>10130</v>
      </c>
      <c r="P34" s="660" t="s">
        <v>1414</v>
      </c>
      <c r="Q34" s="660"/>
      <c r="R34" s="660"/>
    </row>
    <row r="35" spans="1:32" ht="18" customHeight="1">
      <c r="A35" s="739"/>
      <c r="B35" s="661" t="s">
        <v>13</v>
      </c>
      <c r="C35" s="661"/>
      <c r="D35" s="661" t="s">
        <v>49</v>
      </c>
      <c r="E35" s="661"/>
      <c r="F35" s="659" t="s">
        <v>69</v>
      </c>
      <c r="G35" s="659"/>
      <c r="H35" s="659"/>
      <c r="I35" s="659"/>
      <c r="J35" s="686"/>
      <c r="K35" s="705"/>
      <c r="L35" s="88"/>
      <c r="M35" s="8"/>
      <c r="N35" s="8"/>
      <c r="O35" s="124"/>
      <c r="P35" s="660"/>
      <c r="Q35" s="660"/>
      <c r="R35" s="660"/>
    </row>
    <row r="36" spans="1:32" ht="19.2" customHeight="1">
      <c r="A36" s="278" t="s">
        <v>1367</v>
      </c>
      <c r="B36" s="272"/>
      <c r="C36" s="270"/>
      <c r="D36" s="271"/>
      <c r="E36" s="205"/>
      <c r="F36" s="206"/>
      <c r="G36" s="206"/>
      <c r="H36" s="206"/>
      <c r="I36" s="206"/>
      <c r="J36" s="207"/>
      <c r="K36" s="207"/>
      <c r="L36" s="207"/>
      <c r="M36" s="207"/>
      <c r="N36" s="207"/>
      <c r="O36" s="466"/>
      <c r="P36" s="214"/>
      <c r="Q36" s="214"/>
      <c r="R36" s="214"/>
    </row>
    <row r="39" spans="1:32" ht="18.600000000000001" thickBot="1"/>
    <row r="40" spans="1:32" ht="18" customHeight="1">
      <c r="U40" s="832" t="s">
        <v>1356</v>
      </c>
      <c r="V40" s="644" t="s">
        <v>1357</v>
      </c>
      <c r="W40" s="644"/>
      <c r="X40" s="644" t="s">
        <v>1358</v>
      </c>
      <c r="Y40" s="644"/>
      <c r="Z40" s="644"/>
      <c r="AA40" s="644"/>
      <c r="AB40" s="644"/>
      <c r="AC40" s="644"/>
      <c r="AD40" s="553" t="s">
        <v>1359</v>
      </c>
      <c r="AE40" s="553" t="s">
        <v>1360</v>
      </c>
      <c r="AF40" s="554" t="s">
        <v>1361</v>
      </c>
    </row>
    <row r="41" spans="1:32">
      <c r="U41" s="833"/>
      <c r="V41" s="645"/>
      <c r="W41" s="646"/>
      <c r="X41" s="646"/>
      <c r="Y41" s="646"/>
      <c r="Z41" s="646"/>
      <c r="AA41" s="646"/>
      <c r="AB41" s="646"/>
      <c r="AC41" s="646"/>
      <c r="AD41" s="555"/>
      <c r="AE41" s="555"/>
      <c r="AF41" s="556"/>
    </row>
    <row r="42" spans="1:32">
      <c r="U42" s="833"/>
      <c r="V42" s="645"/>
      <c r="W42" s="646"/>
      <c r="X42" s="646"/>
      <c r="Y42" s="646"/>
      <c r="Z42" s="646"/>
      <c r="AA42" s="646"/>
      <c r="AB42" s="646"/>
      <c r="AC42" s="646"/>
      <c r="AD42" s="555"/>
      <c r="AE42" s="555"/>
      <c r="AF42" s="556"/>
    </row>
    <row r="43" spans="1:32" ht="18.600000000000001" thickBot="1">
      <c r="U43" s="834"/>
      <c r="V43" s="647" t="s">
        <v>1362</v>
      </c>
      <c r="W43" s="617"/>
      <c r="X43" s="617" t="s">
        <v>1363</v>
      </c>
      <c r="Y43" s="617"/>
      <c r="Z43" s="617"/>
      <c r="AA43" s="617"/>
      <c r="AB43" s="617"/>
      <c r="AC43" s="617"/>
      <c r="AD43" s="557" t="s">
        <v>1364</v>
      </c>
      <c r="AE43" s="557" t="s">
        <v>1365</v>
      </c>
      <c r="AF43" s="558" t="s">
        <v>1366</v>
      </c>
    </row>
  </sheetData>
  <mergeCells count="153">
    <mergeCell ref="P8:R9"/>
    <mergeCell ref="B9:C9"/>
    <mergeCell ref="D9:E9"/>
    <mergeCell ref="F9:I9"/>
    <mergeCell ref="M4:M5"/>
    <mergeCell ref="N4:N5"/>
    <mergeCell ref="O4:O5"/>
    <mergeCell ref="P4:R5"/>
    <mergeCell ref="A6:A7"/>
    <mergeCell ref="B6:C6"/>
    <mergeCell ref="D6:E6"/>
    <mergeCell ref="F6:I6"/>
    <mergeCell ref="J6:J7"/>
    <mergeCell ref="K6:K7"/>
    <mergeCell ref="A4:A5"/>
    <mergeCell ref="B4:C5"/>
    <mergeCell ref="D4:E5"/>
    <mergeCell ref="F4:I5"/>
    <mergeCell ref="J4:J5"/>
    <mergeCell ref="K4:K5"/>
    <mergeCell ref="P6:R7"/>
    <mergeCell ref="B7:C7"/>
    <mergeCell ref="D7:E7"/>
    <mergeCell ref="F7:I7"/>
    <mergeCell ref="A14:A15"/>
    <mergeCell ref="B14:C14"/>
    <mergeCell ref="D14:E14"/>
    <mergeCell ref="F14:I14"/>
    <mergeCell ref="J14:J15"/>
    <mergeCell ref="K14:K15"/>
    <mergeCell ref="A8:A9"/>
    <mergeCell ref="B8:C8"/>
    <mergeCell ref="D8:E8"/>
    <mergeCell ref="F8:I8"/>
    <mergeCell ref="J8:J9"/>
    <mergeCell ref="K8:K9"/>
    <mergeCell ref="P10:R11"/>
    <mergeCell ref="B11:C11"/>
    <mergeCell ref="D11:E11"/>
    <mergeCell ref="F11:I11"/>
    <mergeCell ref="A12:A13"/>
    <mergeCell ref="B12:C12"/>
    <mergeCell ref="D12:E12"/>
    <mergeCell ref="F12:I12"/>
    <mergeCell ref="J12:J13"/>
    <mergeCell ref="K12:K13"/>
    <mergeCell ref="A10:A11"/>
    <mergeCell ref="B10:C10"/>
    <mergeCell ref="D10:E10"/>
    <mergeCell ref="F10:I10"/>
    <mergeCell ref="J10:J11"/>
    <mergeCell ref="K10:K11"/>
    <mergeCell ref="P14:R15"/>
    <mergeCell ref="B15:C15"/>
    <mergeCell ref="D15:E15"/>
    <mergeCell ref="F15:I15"/>
    <mergeCell ref="B16:C16"/>
    <mergeCell ref="D16:E16"/>
    <mergeCell ref="F16:I16"/>
    <mergeCell ref="P16:R16"/>
    <mergeCell ref="P12:R13"/>
    <mergeCell ref="B13:C13"/>
    <mergeCell ref="D13:E13"/>
    <mergeCell ref="F13:I13"/>
    <mergeCell ref="B19:C19"/>
    <mergeCell ref="D19:E19"/>
    <mergeCell ref="F19:I19"/>
    <mergeCell ref="P19:R19"/>
    <mergeCell ref="B20:C20"/>
    <mergeCell ref="D20:E20"/>
    <mergeCell ref="F20:I20"/>
    <mergeCell ref="P20:R20"/>
    <mergeCell ref="B17:C17"/>
    <mergeCell ref="D17:E17"/>
    <mergeCell ref="F17:I17"/>
    <mergeCell ref="P17:R17"/>
    <mergeCell ref="B18:C18"/>
    <mergeCell ref="D18:E18"/>
    <mergeCell ref="F18:I18"/>
    <mergeCell ref="P18:R18"/>
    <mergeCell ref="A24:A26"/>
    <mergeCell ref="B24:C24"/>
    <mergeCell ref="D24:E24"/>
    <mergeCell ref="F24:I24"/>
    <mergeCell ref="J24:J26"/>
    <mergeCell ref="K24:K26"/>
    <mergeCell ref="P21:R23"/>
    <mergeCell ref="B22:C22"/>
    <mergeCell ref="D22:E22"/>
    <mergeCell ref="F22:I22"/>
    <mergeCell ref="B23:C23"/>
    <mergeCell ref="D23:E23"/>
    <mergeCell ref="F23:I23"/>
    <mergeCell ref="A21:A23"/>
    <mergeCell ref="B21:C21"/>
    <mergeCell ref="D21:E21"/>
    <mergeCell ref="F21:I21"/>
    <mergeCell ref="J21:J23"/>
    <mergeCell ref="K21:K23"/>
    <mergeCell ref="B27:C27"/>
    <mergeCell ref="D27:E27"/>
    <mergeCell ref="F27:I27"/>
    <mergeCell ref="P27:R27"/>
    <mergeCell ref="B28:C28"/>
    <mergeCell ref="D28:E28"/>
    <mergeCell ref="F28:I28"/>
    <mergeCell ref="P28:R28"/>
    <mergeCell ref="P24:R26"/>
    <mergeCell ref="B25:C25"/>
    <mergeCell ref="D25:E25"/>
    <mergeCell ref="F25:I25"/>
    <mergeCell ref="B26:C26"/>
    <mergeCell ref="D26:E26"/>
    <mergeCell ref="F26:I26"/>
    <mergeCell ref="B31:C31"/>
    <mergeCell ref="D31:E31"/>
    <mergeCell ref="F31:I31"/>
    <mergeCell ref="P31:R31"/>
    <mergeCell ref="B32:C32"/>
    <mergeCell ref="D32:E32"/>
    <mergeCell ref="F32:I32"/>
    <mergeCell ref="P32:R32"/>
    <mergeCell ref="B29:C29"/>
    <mergeCell ref="D29:E29"/>
    <mergeCell ref="F29:I29"/>
    <mergeCell ref="P29:R29"/>
    <mergeCell ref="B30:C30"/>
    <mergeCell ref="D30:E30"/>
    <mergeCell ref="F30:I30"/>
    <mergeCell ref="P30:R30"/>
    <mergeCell ref="B33:C33"/>
    <mergeCell ref="D33:E33"/>
    <mergeCell ref="F33:I33"/>
    <mergeCell ref="P33:R33"/>
    <mergeCell ref="A34:A35"/>
    <mergeCell ref="B34:C34"/>
    <mergeCell ref="D34:E34"/>
    <mergeCell ref="F34:I34"/>
    <mergeCell ref="J34:J35"/>
    <mergeCell ref="K34:K35"/>
    <mergeCell ref="X40:AC40"/>
    <mergeCell ref="V41:W41"/>
    <mergeCell ref="X41:AC41"/>
    <mergeCell ref="V42:W42"/>
    <mergeCell ref="X42:AC42"/>
    <mergeCell ref="V43:W43"/>
    <mergeCell ref="X43:AC43"/>
    <mergeCell ref="P34:R35"/>
    <mergeCell ref="B35:C35"/>
    <mergeCell ref="D35:E35"/>
    <mergeCell ref="F35:I35"/>
    <mergeCell ref="U40:U43"/>
    <mergeCell ref="V40:W40"/>
  </mergeCells>
  <phoneticPr fontId="11"/>
  <printOptions horizontalCentered="1"/>
  <pageMargins left="0.11811023622047245" right="0.11811023622047245" top="0.11811023622047245" bottom="0.11811023622047245" header="0.11811023622047245" footer="0.11811023622047245"/>
  <pageSetup paperSize="9" scale="76" fitToWidth="0" fitToHeight="0" orientation="landscape" horizontalDpi="300" verticalDpi="3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CF84A-E8AE-495A-91A5-854064716979}">
  <sheetPr>
    <tabColor rgb="FF00B050"/>
  </sheetPr>
  <dimension ref="A1:AF47"/>
  <sheetViews>
    <sheetView view="pageBreakPreview" zoomScaleNormal="100" zoomScaleSheetLayoutView="100" workbookViewId="0">
      <selection activeCell="K2" sqref="K2"/>
    </sheetView>
  </sheetViews>
  <sheetFormatPr defaultRowHeight="18"/>
  <cols>
    <col min="1" max="1" width="5.69921875" customWidth="1"/>
    <col min="2" max="3" width="7.59765625" customWidth="1"/>
    <col min="4" max="5" width="5.69921875" customWidth="1"/>
    <col min="6" max="8" width="7.59765625" customWidth="1"/>
    <col min="9" max="9" width="3.8984375" customWidth="1"/>
    <col min="10" max="11" width="30.69921875" customWidth="1"/>
    <col min="12" max="15" width="5.69921875" customWidth="1"/>
    <col min="16" max="18" width="10.69921875" customWidth="1"/>
  </cols>
  <sheetData>
    <row r="1" spans="1:18" ht="18" customHeight="1">
      <c r="A1" s="262" t="s">
        <v>1499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ht="18" customHeight="1">
      <c r="A2" s="267" t="s">
        <v>1500</v>
      </c>
      <c r="B2" s="464"/>
      <c r="C2" s="464"/>
      <c r="D2" s="39"/>
      <c r="E2" s="39"/>
      <c r="F2" s="39"/>
      <c r="G2" s="39"/>
      <c r="H2" s="39"/>
      <c r="I2" s="39"/>
      <c r="J2" s="39"/>
      <c r="K2" s="39"/>
      <c r="L2" s="465"/>
      <c r="M2" s="39"/>
      <c r="N2" s="39"/>
      <c r="O2" s="39"/>
      <c r="P2" s="39"/>
      <c r="Q2" s="39"/>
      <c r="R2" s="39"/>
    </row>
    <row r="3" spans="1:18" ht="15" customHeight="1">
      <c r="A3" s="49" t="s">
        <v>366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 t="s">
        <v>983</v>
      </c>
    </row>
    <row r="4" spans="1:18" ht="15" customHeight="1">
      <c r="A4" s="1078" t="s">
        <v>2</v>
      </c>
      <c r="B4" s="1080" t="s">
        <v>3</v>
      </c>
      <c r="C4" s="1080"/>
      <c r="D4" s="1047" t="s">
        <v>4</v>
      </c>
      <c r="E4" s="1047"/>
      <c r="F4" s="1080" t="s">
        <v>5</v>
      </c>
      <c r="G4" s="1080"/>
      <c r="H4" s="1080"/>
      <c r="I4" s="1080"/>
      <c r="J4" s="713" t="s">
        <v>491</v>
      </c>
      <c r="K4" s="766" t="s">
        <v>7</v>
      </c>
      <c r="L4" s="598" t="s">
        <v>407</v>
      </c>
      <c r="M4" s="696" t="s">
        <v>1095</v>
      </c>
      <c r="N4" s="805" t="s">
        <v>1096</v>
      </c>
      <c r="O4" s="766" t="s">
        <v>1097</v>
      </c>
      <c r="P4" s="806" t="s">
        <v>8</v>
      </c>
      <c r="Q4" s="807"/>
      <c r="R4" s="808"/>
    </row>
    <row r="5" spans="1:18" ht="15" customHeight="1">
      <c r="A5" s="1079"/>
      <c r="B5" s="1080"/>
      <c r="C5" s="1080"/>
      <c r="D5" s="1047"/>
      <c r="E5" s="1047"/>
      <c r="F5" s="1080"/>
      <c r="G5" s="1080"/>
      <c r="H5" s="1080"/>
      <c r="I5" s="1080"/>
      <c r="J5" s="714"/>
      <c r="K5" s="767"/>
      <c r="L5" s="599" t="s">
        <v>410</v>
      </c>
      <c r="M5" s="706"/>
      <c r="N5" s="1029"/>
      <c r="O5" s="767"/>
      <c r="P5" s="809"/>
      <c r="Q5" s="810"/>
      <c r="R5" s="811"/>
    </row>
    <row r="6" spans="1:18" ht="15" customHeight="1">
      <c r="A6" s="600" t="s">
        <v>9</v>
      </c>
      <c r="B6" s="1047" t="s">
        <v>147</v>
      </c>
      <c r="C6" s="1047"/>
      <c r="D6" s="1047" t="s">
        <v>240</v>
      </c>
      <c r="E6" s="1047"/>
      <c r="F6" s="1046" t="s">
        <v>1501</v>
      </c>
      <c r="G6" s="1046"/>
      <c r="H6" s="1046"/>
      <c r="I6" s="1046"/>
      <c r="J6" s="23"/>
      <c r="K6" s="273"/>
      <c r="L6" s="93" t="s">
        <v>425</v>
      </c>
      <c r="M6" s="25">
        <v>120</v>
      </c>
      <c r="N6" s="25">
        <v>1</v>
      </c>
      <c r="O6" s="25">
        <v>4000</v>
      </c>
      <c r="P6" s="1045" t="s">
        <v>1514</v>
      </c>
      <c r="Q6" s="1045"/>
      <c r="R6" s="1045"/>
    </row>
    <row r="7" spans="1:18" ht="16.95" customHeight="1">
      <c r="A7" s="600" t="s">
        <v>233</v>
      </c>
      <c r="B7" s="1047" t="s">
        <v>164</v>
      </c>
      <c r="C7" s="1047"/>
      <c r="D7" s="1047" t="s">
        <v>63</v>
      </c>
      <c r="E7" s="1047"/>
      <c r="F7" s="1046" t="s">
        <v>788</v>
      </c>
      <c r="G7" s="1046"/>
      <c r="H7" s="1046"/>
      <c r="I7" s="1046"/>
      <c r="J7" s="23"/>
      <c r="K7" s="273"/>
      <c r="L7" s="93" t="s">
        <v>425</v>
      </c>
      <c r="M7" s="25">
        <v>120</v>
      </c>
      <c r="N7" s="25">
        <v>1</v>
      </c>
      <c r="O7" s="25">
        <v>5000</v>
      </c>
      <c r="P7" s="1045" t="s">
        <v>1061</v>
      </c>
      <c r="Q7" s="1045"/>
      <c r="R7" s="1045"/>
    </row>
    <row r="8" spans="1:18" ht="16.95" customHeight="1">
      <c r="A8" s="600" t="s">
        <v>22</v>
      </c>
      <c r="B8" s="1047" t="s">
        <v>49</v>
      </c>
      <c r="C8" s="1047"/>
      <c r="D8" s="1047" t="s">
        <v>485</v>
      </c>
      <c r="E8" s="1047"/>
      <c r="F8" s="1046" t="s">
        <v>1502</v>
      </c>
      <c r="G8" s="1046"/>
      <c r="H8" s="1046"/>
      <c r="I8" s="1046"/>
      <c r="J8" s="23"/>
      <c r="K8" s="273"/>
      <c r="L8" s="93" t="s">
        <v>425</v>
      </c>
      <c r="M8" s="25">
        <v>120</v>
      </c>
      <c r="N8" s="25">
        <v>1</v>
      </c>
      <c r="O8" s="25">
        <v>5000</v>
      </c>
      <c r="P8" s="1045" t="s">
        <v>1515</v>
      </c>
      <c r="Q8" s="1045"/>
      <c r="R8" s="1045"/>
    </row>
    <row r="9" spans="1:18" ht="16.95" customHeight="1">
      <c r="A9" s="601" t="s">
        <v>239</v>
      </c>
      <c r="B9" s="1047" t="s">
        <v>178</v>
      </c>
      <c r="C9" s="1047"/>
      <c r="D9" s="1047" t="s">
        <v>179</v>
      </c>
      <c r="E9" s="1047"/>
      <c r="F9" s="1046" t="s">
        <v>1503</v>
      </c>
      <c r="G9" s="1046"/>
      <c r="H9" s="1046"/>
      <c r="I9" s="1046"/>
      <c r="J9" s="15"/>
      <c r="K9" s="15"/>
      <c r="L9" s="93" t="s">
        <v>425</v>
      </c>
      <c r="M9" s="25">
        <v>120</v>
      </c>
      <c r="N9" s="25">
        <v>1</v>
      </c>
      <c r="O9" s="23">
        <v>4000</v>
      </c>
      <c r="P9" s="1045" t="s">
        <v>1516</v>
      </c>
      <c r="Q9" s="1045"/>
      <c r="R9" s="1045"/>
    </row>
    <row r="10" spans="1:18" ht="16.95" customHeight="1">
      <c r="A10" s="1075" t="s">
        <v>110</v>
      </c>
      <c r="B10" s="648" t="s">
        <v>10</v>
      </c>
      <c r="C10" s="648"/>
      <c r="D10" s="648" t="s">
        <v>1504</v>
      </c>
      <c r="E10" s="648"/>
      <c r="F10" s="649" t="s">
        <v>1505</v>
      </c>
      <c r="G10" s="649"/>
      <c r="H10" s="649"/>
      <c r="I10" s="649"/>
      <c r="J10" s="625"/>
      <c r="K10" s="1076"/>
      <c r="L10" s="88"/>
      <c r="M10" s="8">
        <v>120</v>
      </c>
      <c r="N10" s="8">
        <v>1</v>
      </c>
      <c r="O10" s="8">
        <v>1500</v>
      </c>
      <c r="P10" s="1045" t="s">
        <v>187</v>
      </c>
      <c r="Q10" s="1045"/>
      <c r="R10" s="1045"/>
    </row>
    <row r="11" spans="1:18" ht="16.95" customHeight="1">
      <c r="A11" s="1031"/>
      <c r="B11" s="648" t="s">
        <v>13</v>
      </c>
      <c r="C11" s="648"/>
      <c r="D11" s="648" t="s">
        <v>11</v>
      </c>
      <c r="E11" s="648"/>
      <c r="F11" s="649" t="s">
        <v>21</v>
      </c>
      <c r="G11" s="649"/>
      <c r="H11" s="649"/>
      <c r="I11" s="649"/>
      <c r="J11" s="627"/>
      <c r="K11" s="1077"/>
      <c r="L11" s="88"/>
      <c r="M11" s="8"/>
      <c r="N11" s="8"/>
      <c r="O11" s="8"/>
      <c r="P11" s="1045"/>
      <c r="Q11" s="1045"/>
      <c r="R11" s="1045"/>
    </row>
    <row r="12" spans="1:18" ht="16.95" customHeight="1">
      <c r="A12" s="1068" t="s">
        <v>808</v>
      </c>
      <c r="B12" s="648" t="s">
        <v>35</v>
      </c>
      <c r="C12" s="648"/>
      <c r="D12" s="648" t="s">
        <v>11</v>
      </c>
      <c r="E12" s="648"/>
      <c r="F12" s="1069" t="s">
        <v>118</v>
      </c>
      <c r="G12" s="1069"/>
      <c r="H12" s="1069"/>
      <c r="I12" s="1069"/>
      <c r="J12" s="685"/>
      <c r="K12" s="702"/>
      <c r="L12" s="88"/>
      <c r="M12" s="8">
        <v>120</v>
      </c>
      <c r="N12" s="8">
        <v>1</v>
      </c>
      <c r="O12" s="8">
        <v>1000</v>
      </c>
      <c r="P12" s="1045" t="s">
        <v>38</v>
      </c>
      <c r="Q12" s="1045"/>
      <c r="R12" s="1045"/>
    </row>
    <row r="13" spans="1:18" ht="16.95" customHeight="1">
      <c r="A13" s="1067"/>
      <c r="B13" s="648" t="s">
        <v>119</v>
      </c>
      <c r="C13" s="648"/>
      <c r="D13" s="648" t="s">
        <v>11</v>
      </c>
      <c r="E13" s="648"/>
      <c r="F13" s="1069" t="s">
        <v>120</v>
      </c>
      <c r="G13" s="1069"/>
      <c r="H13" s="1069"/>
      <c r="I13" s="1069"/>
      <c r="J13" s="686"/>
      <c r="K13" s="691"/>
      <c r="L13" s="88"/>
      <c r="M13" s="8"/>
      <c r="N13" s="8"/>
      <c r="O13" s="8"/>
      <c r="P13" s="1045"/>
      <c r="Q13" s="1045"/>
      <c r="R13" s="1045"/>
    </row>
    <row r="14" spans="1:18" ht="30" customHeight="1">
      <c r="A14" s="600" t="s">
        <v>57</v>
      </c>
      <c r="B14" s="1070" t="s">
        <v>164</v>
      </c>
      <c r="C14" s="1071"/>
      <c r="D14" s="1070" t="s">
        <v>468</v>
      </c>
      <c r="E14" s="1071"/>
      <c r="F14" s="1046" t="s">
        <v>1117</v>
      </c>
      <c r="G14" s="1046"/>
      <c r="H14" s="1046"/>
      <c r="I14" s="1046"/>
      <c r="J14" s="269"/>
      <c r="K14" s="25"/>
      <c r="L14" s="97" t="s">
        <v>425</v>
      </c>
      <c r="M14" s="25">
        <v>120</v>
      </c>
      <c r="N14" s="25">
        <v>1</v>
      </c>
      <c r="O14" s="25">
        <v>5000</v>
      </c>
      <c r="P14" s="1072" t="s">
        <v>258</v>
      </c>
      <c r="Q14" s="1073"/>
      <c r="R14" s="1074"/>
    </row>
    <row r="15" spans="1:18" ht="16.95" customHeight="1">
      <c r="A15" s="1066" t="s">
        <v>155</v>
      </c>
      <c r="B15" s="648" t="s">
        <v>1506</v>
      </c>
      <c r="C15" s="648"/>
      <c r="D15" s="648" t="s">
        <v>11</v>
      </c>
      <c r="E15" s="648"/>
      <c r="F15" s="649" t="s">
        <v>1507</v>
      </c>
      <c r="G15" s="649"/>
      <c r="H15" s="649"/>
      <c r="I15" s="649"/>
      <c r="J15" s="26"/>
      <c r="K15" s="67"/>
      <c r="L15" s="88"/>
      <c r="M15" s="8">
        <v>120</v>
      </c>
      <c r="N15" s="8">
        <v>1</v>
      </c>
      <c r="O15" s="8">
        <v>1000</v>
      </c>
      <c r="P15" s="1033" t="s">
        <v>1517</v>
      </c>
      <c r="Q15" s="1034"/>
      <c r="R15" s="1035"/>
    </row>
    <row r="16" spans="1:18" ht="30" customHeight="1">
      <c r="A16" s="1066"/>
      <c r="B16" s="1052" t="s">
        <v>860</v>
      </c>
      <c r="C16" s="1053"/>
      <c r="D16" s="648" t="s">
        <v>11</v>
      </c>
      <c r="E16" s="648"/>
      <c r="F16" s="1049" t="s">
        <v>1508</v>
      </c>
      <c r="G16" s="1050"/>
      <c r="H16" s="1050"/>
      <c r="I16" s="1051"/>
      <c r="J16" s="589"/>
      <c r="K16" s="539"/>
      <c r="L16" s="88"/>
      <c r="M16" s="8">
        <v>120</v>
      </c>
      <c r="N16" s="8">
        <v>1</v>
      </c>
      <c r="O16" s="14"/>
      <c r="P16" s="1036"/>
      <c r="Q16" s="1037"/>
      <c r="R16" s="1038"/>
    </row>
    <row r="17" spans="1:18" ht="16.95" customHeight="1">
      <c r="A17" s="1067"/>
      <c r="B17" s="1052" t="s">
        <v>131</v>
      </c>
      <c r="C17" s="1053"/>
      <c r="D17" s="648" t="s">
        <v>11</v>
      </c>
      <c r="E17" s="648"/>
      <c r="F17" s="1049" t="s">
        <v>892</v>
      </c>
      <c r="G17" s="1050"/>
      <c r="H17" s="1050"/>
      <c r="I17" s="1051"/>
      <c r="J17" s="685"/>
      <c r="K17" s="702"/>
      <c r="L17" s="88"/>
      <c r="M17" s="8">
        <v>120</v>
      </c>
      <c r="N17" s="8">
        <v>1</v>
      </c>
      <c r="O17" s="14"/>
      <c r="P17" s="1039"/>
      <c r="Q17" s="1040"/>
      <c r="R17" s="1041"/>
    </row>
    <row r="18" spans="1:18" ht="16.95" customHeight="1">
      <c r="A18" s="1068" t="s">
        <v>259</v>
      </c>
      <c r="B18" s="648" t="s">
        <v>1506</v>
      </c>
      <c r="C18" s="648"/>
      <c r="D18" s="648" t="s">
        <v>11</v>
      </c>
      <c r="E18" s="648"/>
      <c r="F18" s="649" t="s">
        <v>1509</v>
      </c>
      <c r="G18" s="649"/>
      <c r="H18" s="649"/>
      <c r="I18" s="649"/>
      <c r="J18" s="686"/>
      <c r="K18" s="691"/>
      <c r="L18" s="88"/>
      <c r="M18" s="8"/>
      <c r="N18" s="8"/>
      <c r="O18" s="8">
        <v>1000</v>
      </c>
      <c r="P18" s="1033" t="s">
        <v>1518</v>
      </c>
      <c r="Q18" s="1034"/>
      <c r="R18" s="1035"/>
    </row>
    <row r="19" spans="1:18" ht="16.95" customHeight="1">
      <c r="A19" s="1066"/>
      <c r="B19" s="1052" t="s">
        <v>860</v>
      </c>
      <c r="C19" s="1053"/>
      <c r="D19" s="648" t="s">
        <v>11</v>
      </c>
      <c r="E19" s="648"/>
      <c r="F19" s="1049" t="s">
        <v>1508</v>
      </c>
      <c r="G19" s="1050"/>
      <c r="H19" s="1050"/>
      <c r="I19" s="1051"/>
      <c r="J19" s="685"/>
      <c r="K19" s="1064"/>
      <c r="L19" s="88"/>
      <c r="M19" s="8">
        <v>120</v>
      </c>
      <c r="N19" s="8">
        <v>1</v>
      </c>
      <c r="O19" s="14"/>
      <c r="P19" s="1036"/>
      <c r="Q19" s="1037"/>
      <c r="R19" s="1038"/>
    </row>
    <row r="20" spans="1:18" ht="16.95" customHeight="1">
      <c r="A20" s="1067"/>
      <c r="B20" s="1052" t="s">
        <v>131</v>
      </c>
      <c r="C20" s="1053"/>
      <c r="D20" s="648" t="s">
        <v>11</v>
      </c>
      <c r="E20" s="648"/>
      <c r="F20" s="1049" t="s">
        <v>892</v>
      </c>
      <c r="G20" s="1050"/>
      <c r="H20" s="1050"/>
      <c r="I20" s="1051"/>
      <c r="J20" s="689"/>
      <c r="K20" s="1065"/>
      <c r="L20" s="88"/>
      <c r="M20" s="26"/>
      <c r="N20" s="26"/>
      <c r="O20" s="14"/>
      <c r="P20" s="1039"/>
      <c r="Q20" s="1040"/>
      <c r="R20" s="1041"/>
    </row>
    <row r="21" spans="1:18" ht="16.95" customHeight="1" thickBot="1">
      <c r="A21" s="602" t="s">
        <v>809</v>
      </c>
      <c r="B21" s="1059" t="s">
        <v>147</v>
      </c>
      <c r="C21" s="1060"/>
      <c r="D21" s="1059" t="s">
        <v>49</v>
      </c>
      <c r="E21" s="1060"/>
      <c r="F21" s="1061" t="s">
        <v>257</v>
      </c>
      <c r="G21" s="1062"/>
      <c r="H21" s="1062"/>
      <c r="I21" s="1063"/>
      <c r="J21" s="587"/>
      <c r="K21" s="593"/>
      <c r="L21" s="223" t="s">
        <v>1522</v>
      </c>
      <c r="M21" s="588"/>
      <c r="N21" s="588"/>
      <c r="O21" s="99">
        <v>1500</v>
      </c>
      <c r="P21" s="1042" t="s">
        <v>1521</v>
      </c>
      <c r="Q21" s="1043"/>
      <c r="R21" s="1044"/>
    </row>
    <row r="22" spans="1:18" ht="16.95" customHeight="1" thickTop="1">
      <c r="A22" s="1030" t="s">
        <v>380</v>
      </c>
      <c r="B22" s="1048" t="s">
        <v>10</v>
      </c>
      <c r="C22" s="1048"/>
      <c r="D22" s="648" t="s">
        <v>1504</v>
      </c>
      <c r="E22" s="648"/>
      <c r="F22" s="649" t="s">
        <v>1510</v>
      </c>
      <c r="G22" s="649"/>
      <c r="H22" s="649"/>
      <c r="I22" s="649"/>
      <c r="J22" s="582"/>
      <c r="K22" s="594"/>
      <c r="L22" s="108"/>
      <c r="M22" s="14"/>
      <c r="N22" s="14"/>
      <c r="O22" s="14">
        <v>1500</v>
      </c>
      <c r="P22" s="1036" t="s">
        <v>1519</v>
      </c>
      <c r="Q22" s="1037"/>
      <c r="R22" s="1038"/>
    </row>
    <row r="23" spans="1:18" ht="16.95" customHeight="1">
      <c r="A23" s="1030"/>
      <c r="B23" s="1048" t="s">
        <v>81</v>
      </c>
      <c r="C23" s="1048"/>
      <c r="D23" s="648" t="s">
        <v>11</v>
      </c>
      <c r="E23" s="648"/>
      <c r="F23" s="1049" t="s">
        <v>891</v>
      </c>
      <c r="G23" s="1050"/>
      <c r="H23" s="1050"/>
      <c r="I23" s="1051"/>
      <c r="J23" s="583"/>
      <c r="K23" s="595"/>
      <c r="L23" s="108"/>
      <c r="M23" s="8"/>
      <c r="N23" s="8"/>
      <c r="O23" s="14"/>
      <c r="P23" s="1036"/>
      <c r="Q23" s="1037"/>
      <c r="R23" s="1038"/>
    </row>
    <row r="24" spans="1:18" ht="16.95" customHeight="1">
      <c r="A24" s="1031"/>
      <c r="B24" s="1052" t="s">
        <v>131</v>
      </c>
      <c r="C24" s="1053"/>
      <c r="D24" s="648" t="s">
        <v>11</v>
      </c>
      <c r="E24" s="648"/>
      <c r="F24" s="1049" t="s">
        <v>892</v>
      </c>
      <c r="G24" s="1050"/>
      <c r="H24" s="1050"/>
      <c r="I24" s="1051"/>
      <c r="J24" s="590"/>
      <c r="K24" s="596"/>
      <c r="L24" s="108"/>
      <c r="M24" s="591">
        <v>120</v>
      </c>
      <c r="N24" s="8">
        <v>1</v>
      </c>
      <c r="O24" s="14"/>
      <c r="P24" s="1039"/>
      <c r="Q24" s="1040"/>
      <c r="R24" s="1041"/>
    </row>
    <row r="25" spans="1:18" ht="30" customHeight="1">
      <c r="A25" s="1032" t="s">
        <v>156</v>
      </c>
      <c r="B25" s="648" t="s">
        <v>10</v>
      </c>
      <c r="C25" s="648"/>
      <c r="D25" s="648" t="s">
        <v>1504</v>
      </c>
      <c r="E25" s="648"/>
      <c r="F25" s="649" t="s">
        <v>1505</v>
      </c>
      <c r="G25" s="649"/>
      <c r="H25" s="649"/>
      <c r="I25" s="649"/>
      <c r="J25" s="592"/>
      <c r="K25" s="538"/>
      <c r="L25" s="88"/>
      <c r="M25" s="8">
        <v>120</v>
      </c>
      <c r="N25" s="8">
        <v>1</v>
      </c>
      <c r="O25" s="8">
        <v>1000</v>
      </c>
      <c r="P25" s="1045" t="s">
        <v>1520</v>
      </c>
      <c r="Q25" s="1045"/>
      <c r="R25" s="1045"/>
    </row>
    <row r="26" spans="1:18" ht="30" customHeight="1">
      <c r="A26" s="1032"/>
      <c r="B26" s="648" t="s">
        <v>145</v>
      </c>
      <c r="C26" s="648"/>
      <c r="D26" s="648" t="s">
        <v>43</v>
      </c>
      <c r="E26" s="648"/>
      <c r="F26" s="649" t="s">
        <v>146</v>
      </c>
      <c r="G26" s="649"/>
      <c r="H26" s="649"/>
      <c r="I26" s="649"/>
      <c r="J26" s="589"/>
      <c r="K26" s="507"/>
      <c r="L26" s="88"/>
      <c r="M26" s="8">
        <v>120</v>
      </c>
      <c r="N26" s="8">
        <v>1</v>
      </c>
      <c r="O26" s="8"/>
      <c r="P26" s="1045"/>
      <c r="Q26" s="1045"/>
      <c r="R26" s="1045"/>
    </row>
    <row r="27" spans="1:18" ht="16.95" customHeight="1">
      <c r="A27" s="16"/>
      <c r="B27" s="1057"/>
      <c r="C27" s="1057"/>
      <c r="D27" s="1057"/>
      <c r="E27" s="1057"/>
      <c r="F27" s="1058"/>
      <c r="G27" s="1058"/>
      <c r="H27" s="1058"/>
      <c r="I27" s="1058"/>
      <c r="J27" s="584"/>
      <c r="K27" s="585"/>
      <c r="L27" s="118"/>
      <c r="M27" s="118"/>
      <c r="N27" s="118"/>
      <c r="O27" s="45"/>
      <c r="P27" s="586"/>
      <c r="Q27" s="586"/>
      <c r="R27" s="586"/>
    </row>
    <row r="28" spans="1:18" ht="16.95" customHeight="1">
      <c r="A28" s="279" t="s">
        <v>1523</v>
      </c>
      <c r="B28" s="16"/>
      <c r="C28" s="16"/>
      <c r="D28" s="16"/>
      <c r="E28" s="16"/>
      <c r="F28" s="399"/>
      <c r="G28" s="399"/>
      <c r="H28" s="399"/>
      <c r="I28" s="399"/>
      <c r="J28" s="584"/>
      <c r="K28" s="585"/>
      <c r="L28" s="118"/>
      <c r="M28" s="118"/>
      <c r="N28" s="118"/>
      <c r="O28" s="45"/>
      <c r="P28" s="586"/>
      <c r="Q28" s="586"/>
      <c r="R28" s="586"/>
    </row>
    <row r="29" spans="1:18" ht="16.95" customHeight="1">
      <c r="A29" s="16"/>
      <c r="B29" s="16"/>
      <c r="C29" s="16"/>
      <c r="D29" s="16"/>
      <c r="E29" s="16"/>
      <c r="F29" s="399"/>
      <c r="G29" s="399"/>
      <c r="H29" s="399"/>
      <c r="I29" s="399"/>
      <c r="J29" s="584"/>
      <c r="K29" s="585"/>
      <c r="L29" s="118"/>
      <c r="M29" s="118"/>
      <c r="N29" s="118"/>
      <c r="O29" s="45"/>
      <c r="P29" s="586"/>
      <c r="Q29" s="586"/>
      <c r="R29" s="586"/>
    </row>
    <row r="30" spans="1:18" ht="16.95" customHeight="1">
      <c r="A30" s="16"/>
      <c r="B30" s="16"/>
      <c r="C30" s="16"/>
      <c r="D30" s="16"/>
      <c r="E30" s="16"/>
      <c r="F30" s="399"/>
      <c r="G30" s="399"/>
      <c r="H30" s="399"/>
      <c r="I30" s="399"/>
      <c r="J30" s="584"/>
      <c r="K30" s="585"/>
      <c r="L30" s="118"/>
      <c r="M30" s="118"/>
      <c r="N30" s="118"/>
      <c r="O30" s="45"/>
      <c r="P30" s="586"/>
      <c r="Q30" s="586"/>
      <c r="R30" s="586"/>
    </row>
    <row r="31" spans="1:18" ht="16.95" customHeight="1">
      <c r="A31" s="16"/>
      <c r="B31" s="16"/>
      <c r="C31" s="16"/>
      <c r="D31" s="16"/>
      <c r="E31" s="16"/>
      <c r="F31" s="399"/>
      <c r="G31" s="399"/>
      <c r="H31" s="399"/>
      <c r="I31" s="399"/>
      <c r="J31" s="584"/>
      <c r="K31" s="585"/>
      <c r="L31" s="118"/>
      <c r="M31" s="118"/>
      <c r="N31" s="118"/>
      <c r="O31" s="45"/>
      <c r="P31" s="586"/>
      <c r="Q31" s="586"/>
      <c r="R31" s="586"/>
    </row>
    <row r="32" spans="1:18" ht="16.95" customHeight="1">
      <c r="A32" s="16"/>
      <c r="B32" s="16"/>
      <c r="C32" s="16"/>
      <c r="D32" s="16"/>
      <c r="E32" s="16"/>
      <c r="F32" s="399"/>
      <c r="G32" s="399"/>
      <c r="H32" s="399"/>
      <c r="I32" s="399"/>
      <c r="J32" s="584"/>
      <c r="K32" s="585"/>
      <c r="L32" s="118"/>
      <c r="M32" s="118"/>
      <c r="N32" s="118"/>
      <c r="O32" s="45"/>
      <c r="P32" s="586"/>
      <c r="Q32" s="586"/>
      <c r="R32" s="586"/>
    </row>
    <row r="33" spans="1:32" ht="18" customHeight="1">
      <c r="A33" s="279"/>
      <c r="B33" s="116"/>
      <c r="C33" s="116"/>
      <c r="D33" s="205"/>
      <c r="E33" s="205"/>
      <c r="F33" s="206"/>
      <c r="G33" s="206"/>
      <c r="H33" s="206"/>
      <c r="I33" s="206"/>
      <c r="J33" s="207"/>
      <c r="K33" s="207"/>
      <c r="L33" s="207"/>
      <c r="M33" s="207"/>
      <c r="N33" s="207"/>
      <c r="O33" s="466"/>
      <c r="P33" s="214"/>
      <c r="Q33" s="214"/>
      <c r="R33" s="214"/>
    </row>
    <row r="34" spans="1:32" ht="18" customHeight="1">
      <c r="A34" s="279"/>
      <c r="B34" s="116"/>
      <c r="C34" s="116"/>
      <c r="D34" s="205"/>
      <c r="E34" s="205"/>
      <c r="F34" s="206"/>
      <c r="G34" s="206"/>
      <c r="H34" s="206"/>
      <c r="I34" s="206"/>
      <c r="J34" s="207"/>
      <c r="K34" s="207"/>
      <c r="L34" s="207"/>
      <c r="M34" s="207"/>
      <c r="N34" s="207"/>
      <c r="O34" s="466"/>
      <c r="P34" s="214"/>
      <c r="Q34" s="214"/>
      <c r="R34" s="214"/>
    </row>
    <row r="35" spans="1:32" ht="18" customHeight="1">
      <c r="A35" s="279"/>
      <c r="B35" s="116"/>
      <c r="C35" s="116"/>
      <c r="D35" s="205"/>
      <c r="E35" s="205"/>
      <c r="F35" s="206"/>
      <c r="G35" s="206"/>
      <c r="H35" s="206"/>
      <c r="I35" s="206"/>
      <c r="J35" s="207"/>
      <c r="K35" s="207"/>
      <c r="L35" s="207"/>
      <c r="M35" s="207"/>
      <c r="N35" s="207"/>
      <c r="O35" s="466"/>
      <c r="P35" s="214"/>
      <c r="Q35" s="214"/>
      <c r="R35" s="214"/>
    </row>
    <row r="36" spans="1:32" ht="18" customHeight="1" thickBot="1">
      <c r="A36" s="279"/>
      <c r="B36" s="116"/>
      <c r="C36" s="116"/>
      <c r="D36" s="205"/>
      <c r="E36" s="205"/>
      <c r="F36" s="206"/>
      <c r="G36" s="206"/>
      <c r="H36" s="206"/>
      <c r="I36" s="206"/>
      <c r="J36" s="207"/>
      <c r="K36" s="207"/>
      <c r="L36" s="207"/>
      <c r="M36" s="207"/>
      <c r="N36" s="207"/>
      <c r="O36" s="466"/>
      <c r="P36" s="214"/>
      <c r="Q36" s="214"/>
      <c r="R36" s="214"/>
    </row>
    <row r="37" spans="1:32">
      <c r="U37" s="832" t="s">
        <v>1356</v>
      </c>
      <c r="V37" s="644" t="s">
        <v>1357</v>
      </c>
      <c r="W37" s="644"/>
      <c r="X37" s="644" t="s">
        <v>1358</v>
      </c>
      <c r="Y37" s="644"/>
      <c r="Z37" s="644"/>
      <c r="AA37" s="644"/>
      <c r="AB37" s="644"/>
      <c r="AC37" s="644"/>
      <c r="AD37" s="553" t="s">
        <v>1359</v>
      </c>
      <c r="AE37" s="553" t="s">
        <v>1360</v>
      </c>
      <c r="AF37" s="554" t="s">
        <v>1361</v>
      </c>
    </row>
    <row r="38" spans="1:32" ht="18" customHeight="1">
      <c r="U38" s="833"/>
      <c r="V38" s="645"/>
      <c r="W38" s="646"/>
      <c r="X38" s="646"/>
      <c r="Y38" s="646"/>
      <c r="Z38" s="646"/>
      <c r="AA38" s="646"/>
      <c r="AB38" s="646"/>
      <c r="AC38" s="646"/>
      <c r="AD38" s="555"/>
      <c r="AE38" s="555"/>
      <c r="AF38" s="556"/>
    </row>
    <row r="39" spans="1:32">
      <c r="U39" s="833"/>
      <c r="V39" s="645"/>
      <c r="W39" s="646"/>
      <c r="X39" s="646"/>
      <c r="Y39" s="646"/>
      <c r="Z39" s="646"/>
      <c r="AA39" s="646"/>
      <c r="AB39" s="646"/>
      <c r="AC39" s="646"/>
      <c r="AD39" s="555"/>
      <c r="AE39" s="555"/>
      <c r="AF39" s="556"/>
    </row>
    <row r="40" spans="1:32" ht="18.600000000000001" thickBot="1">
      <c r="U40" s="834"/>
      <c r="V40" s="647" t="s">
        <v>1511</v>
      </c>
      <c r="W40" s="617"/>
      <c r="X40" s="617" t="s">
        <v>1363</v>
      </c>
      <c r="Y40" s="617"/>
      <c r="Z40" s="617"/>
      <c r="AA40" s="617"/>
      <c r="AB40" s="617"/>
      <c r="AC40" s="617"/>
      <c r="AD40" s="557" t="s">
        <v>1364</v>
      </c>
      <c r="AE40" s="557" t="s">
        <v>1513</v>
      </c>
      <c r="AF40" s="558" t="s">
        <v>1512</v>
      </c>
    </row>
    <row r="44" spans="1:32" ht="18" customHeight="1">
      <c r="U44" s="1054"/>
      <c r="V44" s="1055"/>
      <c r="W44" s="1055"/>
      <c r="X44" s="1055"/>
      <c r="Y44" s="1055"/>
      <c r="Z44" s="1055"/>
      <c r="AA44" s="1055"/>
      <c r="AB44" s="1055"/>
      <c r="AC44" s="1055"/>
      <c r="AD44" s="597"/>
      <c r="AE44" s="597"/>
      <c r="AF44" s="597"/>
    </row>
    <row r="45" spans="1:32">
      <c r="U45" s="1054"/>
      <c r="V45" s="1056"/>
      <c r="W45" s="1055"/>
      <c r="X45" s="1055"/>
      <c r="Y45" s="1055"/>
      <c r="Z45" s="1055"/>
      <c r="AA45" s="1055"/>
      <c r="AB45" s="1055"/>
      <c r="AC45" s="1055"/>
      <c r="AD45" s="597"/>
      <c r="AE45" s="597"/>
      <c r="AF45" s="597"/>
    </row>
    <row r="46" spans="1:32">
      <c r="U46" s="1054"/>
      <c r="V46" s="1056"/>
      <c r="W46" s="1055"/>
      <c r="X46" s="1055"/>
      <c r="Y46" s="1055"/>
      <c r="Z46" s="1055"/>
      <c r="AA46" s="1055"/>
      <c r="AB46" s="1055"/>
      <c r="AC46" s="1055"/>
      <c r="AD46" s="597"/>
      <c r="AE46" s="597"/>
      <c r="AF46" s="597"/>
    </row>
    <row r="47" spans="1:32">
      <c r="U47" s="1054"/>
      <c r="V47" s="1056"/>
      <c r="W47" s="1055"/>
      <c r="X47" s="1055"/>
      <c r="Y47" s="1055"/>
      <c r="Z47" s="1055"/>
      <c r="AA47" s="1055"/>
      <c r="AB47" s="1055"/>
      <c r="AC47" s="1055"/>
      <c r="AD47" s="597"/>
      <c r="AE47" s="597"/>
      <c r="AF47" s="597"/>
    </row>
  </sheetData>
  <mergeCells count="120">
    <mergeCell ref="A4:A5"/>
    <mergeCell ref="B4:C5"/>
    <mergeCell ref="D4:E5"/>
    <mergeCell ref="F4:I5"/>
    <mergeCell ref="J4:J5"/>
    <mergeCell ref="K4:K5"/>
    <mergeCell ref="B9:C9"/>
    <mergeCell ref="D9:E9"/>
    <mergeCell ref="F9:I9"/>
    <mergeCell ref="P9:R9"/>
    <mergeCell ref="M4:M5"/>
    <mergeCell ref="N4:N5"/>
    <mergeCell ref="O4:O5"/>
    <mergeCell ref="P4:R5"/>
    <mergeCell ref="B7:C7"/>
    <mergeCell ref="D7:E7"/>
    <mergeCell ref="F7:I7"/>
    <mergeCell ref="P7:R7"/>
    <mergeCell ref="B6:C6"/>
    <mergeCell ref="D6:E6"/>
    <mergeCell ref="A12:A13"/>
    <mergeCell ref="B12:C12"/>
    <mergeCell ref="D12:E12"/>
    <mergeCell ref="F12:I12"/>
    <mergeCell ref="J12:J13"/>
    <mergeCell ref="K12:K13"/>
    <mergeCell ref="A10:A11"/>
    <mergeCell ref="B10:C10"/>
    <mergeCell ref="D10:E10"/>
    <mergeCell ref="F10:I10"/>
    <mergeCell ref="J10:J11"/>
    <mergeCell ref="K10:K11"/>
    <mergeCell ref="P12:R13"/>
    <mergeCell ref="B13:C13"/>
    <mergeCell ref="D13:E13"/>
    <mergeCell ref="F13:I13"/>
    <mergeCell ref="B14:C14"/>
    <mergeCell ref="D14:E14"/>
    <mergeCell ref="F14:I14"/>
    <mergeCell ref="P14:R14"/>
    <mergeCell ref="P10:R11"/>
    <mergeCell ref="B11:C11"/>
    <mergeCell ref="D11:E11"/>
    <mergeCell ref="F11:I11"/>
    <mergeCell ref="J19:J20"/>
    <mergeCell ref="K19:K20"/>
    <mergeCell ref="B17:C17"/>
    <mergeCell ref="D17:E17"/>
    <mergeCell ref="F17:I17"/>
    <mergeCell ref="J17:J18"/>
    <mergeCell ref="K17:K18"/>
    <mergeCell ref="A15:A17"/>
    <mergeCell ref="A18:A20"/>
    <mergeCell ref="B15:C15"/>
    <mergeCell ref="D15:E15"/>
    <mergeCell ref="F15:I15"/>
    <mergeCell ref="B16:C16"/>
    <mergeCell ref="D16:E16"/>
    <mergeCell ref="F16:I16"/>
    <mergeCell ref="F20:I20"/>
    <mergeCell ref="B21:C21"/>
    <mergeCell ref="D21:E21"/>
    <mergeCell ref="F21:I21"/>
    <mergeCell ref="B18:C18"/>
    <mergeCell ref="D18:E18"/>
    <mergeCell ref="F18:I18"/>
    <mergeCell ref="B19:C19"/>
    <mergeCell ref="D19:E19"/>
    <mergeCell ref="F19:I19"/>
    <mergeCell ref="B27:C27"/>
    <mergeCell ref="D27:E27"/>
    <mergeCell ref="F27:I27"/>
    <mergeCell ref="B24:C24"/>
    <mergeCell ref="D24:E24"/>
    <mergeCell ref="F24:I24"/>
    <mergeCell ref="B25:C25"/>
    <mergeCell ref="D25:E25"/>
    <mergeCell ref="F25:I25"/>
    <mergeCell ref="U37:U40"/>
    <mergeCell ref="V37:W37"/>
    <mergeCell ref="X37:AC37"/>
    <mergeCell ref="V38:W38"/>
    <mergeCell ref="X38:AC38"/>
    <mergeCell ref="V39:W39"/>
    <mergeCell ref="X39:AC39"/>
    <mergeCell ref="V40:W40"/>
    <mergeCell ref="X40:AC40"/>
    <mergeCell ref="U44:U47"/>
    <mergeCell ref="V44:W44"/>
    <mergeCell ref="X44:AC44"/>
    <mergeCell ref="V45:W45"/>
    <mergeCell ref="X45:AC45"/>
    <mergeCell ref="V46:W46"/>
    <mergeCell ref="X46:AC46"/>
    <mergeCell ref="V47:W47"/>
    <mergeCell ref="X47:AC47"/>
    <mergeCell ref="A22:A24"/>
    <mergeCell ref="A25:A26"/>
    <mergeCell ref="P15:R17"/>
    <mergeCell ref="P18:R20"/>
    <mergeCell ref="P21:R21"/>
    <mergeCell ref="P22:R24"/>
    <mergeCell ref="P25:R26"/>
    <mergeCell ref="F6:I6"/>
    <mergeCell ref="P6:R6"/>
    <mergeCell ref="B8:C8"/>
    <mergeCell ref="D8:E8"/>
    <mergeCell ref="F8:I8"/>
    <mergeCell ref="P8:R8"/>
    <mergeCell ref="B26:C26"/>
    <mergeCell ref="D26:E26"/>
    <mergeCell ref="F26:I26"/>
    <mergeCell ref="B22:C22"/>
    <mergeCell ref="D22:E22"/>
    <mergeCell ref="F22:I22"/>
    <mergeCell ref="B23:C23"/>
    <mergeCell ref="D23:E23"/>
    <mergeCell ref="F23:I23"/>
    <mergeCell ref="B20:C20"/>
    <mergeCell ref="D20:E20"/>
  </mergeCells>
  <phoneticPr fontId="11"/>
  <printOptions horizontalCentered="1" verticalCentered="1"/>
  <pageMargins left="0.11811023622047245" right="0.19685039370078741" top="0.11811023622047245" bottom="0.11811023622047245" header="0.11811023622047245" footer="0.11811023622047245"/>
  <pageSetup paperSize="9" scale="75" orientation="landscape" horizontalDpi="300" verticalDpi="3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8D2E-3CC9-4B2A-8ACC-A72D4E0A619D}">
  <sheetPr>
    <tabColor rgb="FF00B050"/>
  </sheetPr>
  <dimension ref="A1:AF47"/>
  <sheetViews>
    <sheetView view="pageBreakPreview" topLeftCell="A7" zoomScaleNormal="100" zoomScaleSheetLayoutView="100" workbookViewId="0">
      <selection activeCell="B1" sqref="B1"/>
    </sheetView>
  </sheetViews>
  <sheetFormatPr defaultRowHeight="18"/>
  <cols>
    <col min="1" max="1" width="5.69921875" customWidth="1"/>
    <col min="2" max="3" width="7.59765625" customWidth="1"/>
    <col min="4" max="5" width="5.69921875" customWidth="1"/>
    <col min="6" max="8" width="7.59765625" customWidth="1"/>
    <col min="9" max="9" width="3.8984375" customWidth="1"/>
    <col min="10" max="11" width="30.69921875" customWidth="1"/>
    <col min="12" max="15" width="5.69921875" customWidth="1"/>
    <col min="16" max="18" width="10.69921875" customWidth="1"/>
  </cols>
  <sheetData>
    <row r="1" spans="1:18" ht="18" customHeight="1">
      <c r="A1" s="262" t="s">
        <v>1524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ht="18" customHeight="1">
      <c r="A2" s="267" t="s">
        <v>1500</v>
      </c>
      <c r="B2" s="464"/>
      <c r="C2" s="464"/>
      <c r="D2" s="39"/>
      <c r="E2" s="39"/>
      <c r="F2" s="39"/>
      <c r="G2" s="39"/>
      <c r="H2" s="39"/>
      <c r="I2" s="39"/>
      <c r="J2" s="39"/>
      <c r="K2" s="39"/>
      <c r="L2" s="465"/>
      <c r="M2" s="39"/>
      <c r="N2" s="39"/>
      <c r="O2" s="39"/>
      <c r="P2" s="39"/>
      <c r="Q2" s="39"/>
      <c r="R2" s="39"/>
    </row>
    <row r="3" spans="1:18" ht="15" customHeight="1">
      <c r="A3" s="49" t="s">
        <v>366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 t="s">
        <v>983</v>
      </c>
    </row>
    <row r="4" spans="1:18" ht="15" customHeight="1">
      <c r="A4" s="1078" t="s">
        <v>2</v>
      </c>
      <c r="B4" s="1080" t="s">
        <v>3</v>
      </c>
      <c r="C4" s="1080"/>
      <c r="D4" s="1047" t="s">
        <v>4</v>
      </c>
      <c r="E4" s="1047"/>
      <c r="F4" s="1080" t="s">
        <v>5</v>
      </c>
      <c r="G4" s="1080"/>
      <c r="H4" s="1080"/>
      <c r="I4" s="1080"/>
      <c r="J4" s="713" t="s">
        <v>491</v>
      </c>
      <c r="K4" s="766" t="s">
        <v>7</v>
      </c>
      <c r="L4" s="598" t="s">
        <v>407</v>
      </c>
      <c r="M4" s="696" t="s">
        <v>1095</v>
      </c>
      <c r="N4" s="805" t="s">
        <v>1096</v>
      </c>
      <c r="O4" s="766" t="s">
        <v>1097</v>
      </c>
      <c r="P4" s="806" t="s">
        <v>8</v>
      </c>
      <c r="Q4" s="807"/>
      <c r="R4" s="808"/>
    </row>
    <row r="5" spans="1:18" ht="15" customHeight="1">
      <c r="A5" s="1079"/>
      <c r="B5" s="1080"/>
      <c r="C5" s="1080"/>
      <c r="D5" s="1047"/>
      <c r="E5" s="1047"/>
      <c r="F5" s="1080"/>
      <c r="G5" s="1080"/>
      <c r="H5" s="1080"/>
      <c r="I5" s="1080"/>
      <c r="J5" s="714"/>
      <c r="K5" s="767"/>
      <c r="L5" s="599" t="s">
        <v>410</v>
      </c>
      <c r="M5" s="706"/>
      <c r="N5" s="1029"/>
      <c r="O5" s="767"/>
      <c r="P5" s="809"/>
      <c r="Q5" s="810"/>
      <c r="R5" s="811"/>
    </row>
    <row r="6" spans="1:18" ht="15" customHeight="1">
      <c r="A6" s="600" t="s">
        <v>9</v>
      </c>
      <c r="B6" s="1047" t="s">
        <v>147</v>
      </c>
      <c r="C6" s="1047"/>
      <c r="D6" s="1047" t="s">
        <v>240</v>
      </c>
      <c r="E6" s="1047"/>
      <c r="F6" s="1046" t="s">
        <v>1501</v>
      </c>
      <c r="G6" s="1046"/>
      <c r="H6" s="1046"/>
      <c r="I6" s="1046"/>
      <c r="J6" s="23"/>
      <c r="K6" s="273"/>
      <c r="L6" s="93" t="s">
        <v>425</v>
      </c>
      <c r="M6" s="25">
        <v>120</v>
      </c>
      <c r="N6" s="25">
        <v>1</v>
      </c>
      <c r="O6" s="25">
        <v>4000</v>
      </c>
      <c r="P6" s="1045" t="s">
        <v>1514</v>
      </c>
      <c r="Q6" s="1045"/>
      <c r="R6" s="1045"/>
    </row>
    <row r="7" spans="1:18" ht="16.95" customHeight="1">
      <c r="A7" s="600" t="s">
        <v>233</v>
      </c>
      <c r="B7" s="1047" t="s">
        <v>164</v>
      </c>
      <c r="C7" s="1047"/>
      <c r="D7" s="1047" t="s">
        <v>63</v>
      </c>
      <c r="E7" s="1047"/>
      <c r="F7" s="1046" t="s">
        <v>788</v>
      </c>
      <c r="G7" s="1046"/>
      <c r="H7" s="1046"/>
      <c r="I7" s="1046"/>
      <c r="J7" s="23"/>
      <c r="K7" s="273"/>
      <c r="L7" s="93" t="s">
        <v>425</v>
      </c>
      <c r="M7" s="25">
        <v>120</v>
      </c>
      <c r="N7" s="25">
        <v>1</v>
      </c>
      <c r="O7" s="25">
        <v>5000</v>
      </c>
      <c r="P7" s="1045" t="s">
        <v>1061</v>
      </c>
      <c r="Q7" s="1045"/>
      <c r="R7" s="1045"/>
    </row>
    <row r="8" spans="1:18" ht="16.95" customHeight="1">
      <c r="A8" s="600" t="s">
        <v>22</v>
      </c>
      <c r="B8" s="1047" t="s">
        <v>49</v>
      </c>
      <c r="C8" s="1047"/>
      <c r="D8" s="1047" t="s">
        <v>485</v>
      </c>
      <c r="E8" s="1047"/>
      <c r="F8" s="1046" t="s">
        <v>1502</v>
      </c>
      <c r="G8" s="1046"/>
      <c r="H8" s="1046"/>
      <c r="I8" s="1046"/>
      <c r="J8" s="23"/>
      <c r="K8" s="273"/>
      <c r="L8" s="93" t="s">
        <v>425</v>
      </c>
      <c r="M8" s="25">
        <v>120</v>
      </c>
      <c r="N8" s="25">
        <v>1</v>
      </c>
      <c r="O8" s="25">
        <v>5000</v>
      </c>
      <c r="P8" s="1045" t="s">
        <v>1515</v>
      </c>
      <c r="Q8" s="1045"/>
      <c r="R8" s="1045"/>
    </row>
    <row r="9" spans="1:18" ht="16.95" customHeight="1">
      <c r="A9" s="601" t="s">
        <v>239</v>
      </c>
      <c r="B9" s="1047" t="s">
        <v>178</v>
      </c>
      <c r="C9" s="1047"/>
      <c r="D9" s="1047" t="s">
        <v>179</v>
      </c>
      <c r="E9" s="1047"/>
      <c r="F9" s="1046" t="s">
        <v>1503</v>
      </c>
      <c r="G9" s="1046"/>
      <c r="H9" s="1046"/>
      <c r="I9" s="1046"/>
      <c r="J9" s="15"/>
      <c r="K9" s="15"/>
      <c r="L9" s="93" t="s">
        <v>425</v>
      </c>
      <c r="M9" s="25">
        <v>120</v>
      </c>
      <c r="N9" s="25">
        <v>1</v>
      </c>
      <c r="O9" s="23">
        <v>4000</v>
      </c>
      <c r="P9" s="1045" t="s">
        <v>1516</v>
      </c>
      <c r="Q9" s="1045"/>
      <c r="R9" s="1045"/>
    </row>
    <row r="10" spans="1:18" ht="16.95" customHeight="1">
      <c r="A10" s="1075" t="s">
        <v>110</v>
      </c>
      <c r="B10" s="648" t="s">
        <v>10</v>
      </c>
      <c r="C10" s="648"/>
      <c r="D10" s="648" t="s">
        <v>1504</v>
      </c>
      <c r="E10" s="648"/>
      <c r="F10" s="649" t="s">
        <v>1505</v>
      </c>
      <c r="G10" s="649"/>
      <c r="H10" s="649"/>
      <c r="I10" s="649"/>
      <c r="J10" s="625"/>
      <c r="K10" s="1076"/>
      <c r="L10" s="88"/>
      <c r="M10" s="8">
        <v>120</v>
      </c>
      <c r="N10" s="8">
        <v>1</v>
      </c>
      <c r="O10" s="8">
        <v>1500</v>
      </c>
      <c r="P10" s="1045" t="s">
        <v>187</v>
      </c>
      <c r="Q10" s="1045"/>
      <c r="R10" s="1045"/>
    </row>
    <row r="11" spans="1:18" ht="16.95" customHeight="1">
      <c r="A11" s="1031"/>
      <c r="B11" s="648" t="s">
        <v>13</v>
      </c>
      <c r="C11" s="648"/>
      <c r="D11" s="648" t="s">
        <v>11</v>
      </c>
      <c r="E11" s="648"/>
      <c r="F11" s="649" t="s">
        <v>21</v>
      </c>
      <c r="G11" s="649"/>
      <c r="H11" s="649"/>
      <c r="I11" s="649"/>
      <c r="J11" s="627"/>
      <c r="K11" s="1077"/>
      <c r="L11" s="88"/>
      <c r="M11" s="8"/>
      <c r="N11" s="8"/>
      <c r="O11" s="8"/>
      <c r="P11" s="1045"/>
      <c r="Q11" s="1045"/>
      <c r="R11" s="1045"/>
    </row>
    <row r="12" spans="1:18" ht="16.95" customHeight="1">
      <c r="A12" s="1068" t="s">
        <v>808</v>
      </c>
      <c r="B12" s="648" t="s">
        <v>35</v>
      </c>
      <c r="C12" s="648"/>
      <c r="D12" s="648" t="s">
        <v>11</v>
      </c>
      <c r="E12" s="648"/>
      <c r="F12" s="1069" t="s">
        <v>118</v>
      </c>
      <c r="G12" s="1069"/>
      <c r="H12" s="1069"/>
      <c r="I12" s="1069"/>
      <c r="J12" s="685"/>
      <c r="K12" s="702"/>
      <c r="L12" s="88"/>
      <c r="M12" s="8">
        <v>120</v>
      </c>
      <c r="N12" s="8">
        <v>1</v>
      </c>
      <c r="O12" s="8">
        <v>1000</v>
      </c>
      <c r="P12" s="1045" t="s">
        <v>38</v>
      </c>
      <c r="Q12" s="1045"/>
      <c r="R12" s="1045"/>
    </row>
    <row r="13" spans="1:18" ht="16.95" customHeight="1">
      <c r="A13" s="1067"/>
      <c r="B13" s="648" t="s">
        <v>119</v>
      </c>
      <c r="C13" s="648"/>
      <c r="D13" s="648" t="s">
        <v>11</v>
      </c>
      <c r="E13" s="648"/>
      <c r="F13" s="1069" t="s">
        <v>120</v>
      </c>
      <c r="G13" s="1069"/>
      <c r="H13" s="1069"/>
      <c r="I13" s="1069"/>
      <c r="J13" s="686"/>
      <c r="K13" s="691"/>
      <c r="L13" s="88"/>
      <c r="M13" s="8"/>
      <c r="N13" s="8"/>
      <c r="O13" s="8"/>
      <c r="P13" s="1045"/>
      <c r="Q13" s="1045"/>
      <c r="R13" s="1045"/>
    </row>
    <row r="14" spans="1:18" ht="30" customHeight="1">
      <c r="A14" s="600" t="s">
        <v>57</v>
      </c>
      <c r="B14" s="1070" t="s">
        <v>164</v>
      </c>
      <c r="C14" s="1071"/>
      <c r="D14" s="1070" t="s">
        <v>468</v>
      </c>
      <c r="E14" s="1071"/>
      <c r="F14" s="1046" t="s">
        <v>1117</v>
      </c>
      <c r="G14" s="1046"/>
      <c r="H14" s="1046"/>
      <c r="I14" s="1046"/>
      <c r="J14" s="269"/>
      <c r="K14" s="25"/>
      <c r="L14" s="97" t="s">
        <v>425</v>
      </c>
      <c r="M14" s="25">
        <v>120</v>
      </c>
      <c r="N14" s="25">
        <v>1</v>
      </c>
      <c r="O14" s="25">
        <v>5000</v>
      </c>
      <c r="P14" s="1072" t="s">
        <v>258</v>
      </c>
      <c r="Q14" s="1073"/>
      <c r="R14" s="1074"/>
    </row>
    <row r="15" spans="1:18" ht="16.95" customHeight="1">
      <c r="A15" s="1066" t="s">
        <v>155</v>
      </c>
      <c r="B15" s="648" t="s">
        <v>1506</v>
      </c>
      <c r="C15" s="648"/>
      <c r="D15" s="648" t="s">
        <v>11</v>
      </c>
      <c r="E15" s="648"/>
      <c r="F15" s="649" t="s">
        <v>1507</v>
      </c>
      <c r="G15" s="649"/>
      <c r="H15" s="649"/>
      <c r="I15" s="649"/>
      <c r="J15" s="26"/>
      <c r="K15" s="67"/>
      <c r="L15" s="88"/>
      <c r="M15" s="8">
        <v>120</v>
      </c>
      <c r="N15" s="8">
        <v>1</v>
      </c>
      <c r="O15" s="8">
        <v>1000</v>
      </c>
      <c r="P15" s="1033" t="s">
        <v>1517</v>
      </c>
      <c r="Q15" s="1034"/>
      <c r="R15" s="1035"/>
    </row>
    <row r="16" spans="1:18" ht="30" customHeight="1">
      <c r="A16" s="1066"/>
      <c r="B16" s="1052" t="s">
        <v>860</v>
      </c>
      <c r="C16" s="1053"/>
      <c r="D16" s="648" t="s">
        <v>11</v>
      </c>
      <c r="E16" s="648"/>
      <c r="F16" s="1049" t="s">
        <v>1508</v>
      </c>
      <c r="G16" s="1050"/>
      <c r="H16" s="1050"/>
      <c r="I16" s="1051"/>
      <c r="J16" s="589"/>
      <c r="K16" s="539"/>
      <c r="L16" s="88"/>
      <c r="M16" s="8">
        <v>120</v>
      </c>
      <c r="N16" s="8">
        <v>1</v>
      </c>
      <c r="O16" s="14"/>
      <c r="P16" s="1036"/>
      <c r="Q16" s="1037"/>
      <c r="R16" s="1038"/>
    </row>
    <row r="17" spans="1:18" ht="16.95" customHeight="1">
      <c r="A17" s="1067"/>
      <c r="B17" s="1052" t="s">
        <v>131</v>
      </c>
      <c r="C17" s="1053"/>
      <c r="D17" s="648" t="s">
        <v>11</v>
      </c>
      <c r="E17" s="648"/>
      <c r="F17" s="1049" t="s">
        <v>892</v>
      </c>
      <c r="G17" s="1050"/>
      <c r="H17" s="1050"/>
      <c r="I17" s="1051"/>
      <c r="J17" s="685"/>
      <c r="K17" s="702"/>
      <c r="L17" s="88"/>
      <c r="M17" s="8">
        <v>120</v>
      </c>
      <c r="N17" s="8">
        <v>1</v>
      </c>
      <c r="O17" s="14"/>
      <c r="P17" s="1039"/>
      <c r="Q17" s="1040"/>
      <c r="R17" s="1041"/>
    </row>
    <row r="18" spans="1:18" ht="16.95" customHeight="1">
      <c r="A18" s="1068" t="s">
        <v>259</v>
      </c>
      <c r="B18" s="648" t="s">
        <v>1506</v>
      </c>
      <c r="C18" s="648"/>
      <c r="D18" s="648" t="s">
        <v>11</v>
      </c>
      <c r="E18" s="648"/>
      <c r="F18" s="649" t="s">
        <v>1509</v>
      </c>
      <c r="G18" s="649"/>
      <c r="H18" s="649"/>
      <c r="I18" s="649"/>
      <c r="J18" s="686"/>
      <c r="K18" s="691"/>
      <c r="L18" s="88"/>
      <c r="M18" s="8"/>
      <c r="N18" s="8"/>
      <c r="O18" s="8">
        <v>1000</v>
      </c>
      <c r="P18" s="1033" t="s">
        <v>1518</v>
      </c>
      <c r="Q18" s="1034"/>
      <c r="R18" s="1035"/>
    </row>
    <row r="19" spans="1:18" ht="16.95" customHeight="1">
      <c r="A19" s="1066"/>
      <c r="B19" s="1052" t="s">
        <v>860</v>
      </c>
      <c r="C19" s="1053"/>
      <c r="D19" s="648" t="s">
        <v>11</v>
      </c>
      <c r="E19" s="648"/>
      <c r="F19" s="1049" t="s">
        <v>1508</v>
      </c>
      <c r="G19" s="1050"/>
      <c r="H19" s="1050"/>
      <c r="I19" s="1051"/>
      <c r="J19" s="685"/>
      <c r="K19" s="1064"/>
      <c r="L19" s="88"/>
      <c r="M19" s="8">
        <v>120</v>
      </c>
      <c r="N19" s="8">
        <v>1</v>
      </c>
      <c r="O19" s="14"/>
      <c r="P19" s="1036"/>
      <c r="Q19" s="1037"/>
      <c r="R19" s="1038"/>
    </row>
    <row r="20" spans="1:18" ht="16.95" customHeight="1">
      <c r="A20" s="1067"/>
      <c r="B20" s="1052" t="s">
        <v>131</v>
      </c>
      <c r="C20" s="1053"/>
      <c r="D20" s="648" t="s">
        <v>11</v>
      </c>
      <c r="E20" s="648"/>
      <c r="F20" s="1049" t="s">
        <v>892</v>
      </c>
      <c r="G20" s="1050"/>
      <c r="H20" s="1050"/>
      <c r="I20" s="1051"/>
      <c r="J20" s="689"/>
      <c r="K20" s="1065"/>
      <c r="L20" s="88"/>
      <c r="M20" s="26"/>
      <c r="N20" s="26"/>
      <c r="O20" s="14"/>
      <c r="P20" s="1039"/>
      <c r="Q20" s="1040"/>
      <c r="R20" s="1041"/>
    </row>
    <row r="21" spans="1:18" ht="16.95" customHeight="1" thickBot="1">
      <c r="A21" s="602" t="s">
        <v>809</v>
      </c>
      <c r="B21" s="1059" t="s">
        <v>147</v>
      </c>
      <c r="C21" s="1060"/>
      <c r="D21" s="1059" t="s">
        <v>49</v>
      </c>
      <c r="E21" s="1060"/>
      <c r="F21" s="1061" t="s">
        <v>257</v>
      </c>
      <c r="G21" s="1062"/>
      <c r="H21" s="1062"/>
      <c r="I21" s="1063"/>
      <c r="J21" s="587"/>
      <c r="K21" s="593"/>
      <c r="L21" s="223" t="s">
        <v>1522</v>
      </c>
      <c r="M21" s="588"/>
      <c r="N21" s="588"/>
      <c r="O21" s="99">
        <v>1500</v>
      </c>
      <c r="P21" s="1042" t="s">
        <v>1521</v>
      </c>
      <c r="Q21" s="1043"/>
      <c r="R21" s="1044"/>
    </row>
    <row r="22" spans="1:18" ht="16.95" customHeight="1" thickTop="1">
      <c r="A22" s="1030" t="s">
        <v>380</v>
      </c>
      <c r="B22" s="1048" t="s">
        <v>10</v>
      </c>
      <c r="C22" s="1048"/>
      <c r="D22" s="648" t="s">
        <v>1504</v>
      </c>
      <c r="E22" s="648"/>
      <c r="F22" s="649" t="s">
        <v>1510</v>
      </c>
      <c r="G22" s="649"/>
      <c r="H22" s="649"/>
      <c r="I22" s="649"/>
      <c r="J22" s="582"/>
      <c r="K22" s="594"/>
      <c r="L22" s="108"/>
      <c r="M22" s="14"/>
      <c r="N22" s="14"/>
      <c r="O22" s="14">
        <v>1500</v>
      </c>
      <c r="P22" s="1036" t="s">
        <v>1519</v>
      </c>
      <c r="Q22" s="1037"/>
      <c r="R22" s="1038"/>
    </row>
    <row r="23" spans="1:18" ht="16.95" customHeight="1">
      <c r="A23" s="1030"/>
      <c r="B23" s="1048" t="s">
        <v>81</v>
      </c>
      <c r="C23" s="1048"/>
      <c r="D23" s="648" t="s">
        <v>11</v>
      </c>
      <c r="E23" s="648"/>
      <c r="F23" s="1049" t="s">
        <v>891</v>
      </c>
      <c r="G23" s="1050"/>
      <c r="H23" s="1050"/>
      <c r="I23" s="1051"/>
      <c r="J23" s="583"/>
      <c r="K23" s="595"/>
      <c r="L23" s="108"/>
      <c r="M23" s="8"/>
      <c r="N23" s="8"/>
      <c r="O23" s="14"/>
      <c r="P23" s="1036"/>
      <c r="Q23" s="1037"/>
      <c r="R23" s="1038"/>
    </row>
    <row r="24" spans="1:18" ht="16.95" customHeight="1">
      <c r="A24" s="1031"/>
      <c r="B24" s="1052" t="s">
        <v>131</v>
      </c>
      <c r="C24" s="1053"/>
      <c r="D24" s="648" t="s">
        <v>11</v>
      </c>
      <c r="E24" s="648"/>
      <c r="F24" s="1049" t="s">
        <v>892</v>
      </c>
      <c r="G24" s="1050"/>
      <c r="H24" s="1050"/>
      <c r="I24" s="1051"/>
      <c r="J24" s="590"/>
      <c r="K24" s="596"/>
      <c r="L24" s="108"/>
      <c r="M24" s="591">
        <v>120</v>
      </c>
      <c r="N24" s="8">
        <v>1</v>
      </c>
      <c r="O24" s="14"/>
      <c r="P24" s="1039"/>
      <c r="Q24" s="1040"/>
      <c r="R24" s="1041"/>
    </row>
    <row r="25" spans="1:18" ht="30" customHeight="1">
      <c r="A25" s="1032" t="s">
        <v>156</v>
      </c>
      <c r="B25" s="648" t="s">
        <v>10</v>
      </c>
      <c r="C25" s="648"/>
      <c r="D25" s="648" t="s">
        <v>1504</v>
      </c>
      <c r="E25" s="648"/>
      <c r="F25" s="649" t="s">
        <v>1505</v>
      </c>
      <c r="G25" s="649"/>
      <c r="H25" s="649"/>
      <c r="I25" s="649"/>
      <c r="J25" s="592"/>
      <c r="K25" s="538"/>
      <c r="L25" s="88"/>
      <c r="M25" s="8">
        <v>120</v>
      </c>
      <c r="N25" s="8">
        <v>1</v>
      </c>
      <c r="O25" s="8">
        <v>1000</v>
      </c>
      <c r="P25" s="1045" t="s">
        <v>1520</v>
      </c>
      <c r="Q25" s="1045"/>
      <c r="R25" s="1045"/>
    </row>
    <row r="26" spans="1:18" ht="30" customHeight="1">
      <c r="A26" s="1032"/>
      <c r="B26" s="648" t="s">
        <v>145</v>
      </c>
      <c r="C26" s="648"/>
      <c r="D26" s="648" t="s">
        <v>43</v>
      </c>
      <c r="E26" s="648"/>
      <c r="F26" s="649" t="s">
        <v>146</v>
      </c>
      <c r="G26" s="649"/>
      <c r="H26" s="649"/>
      <c r="I26" s="649"/>
      <c r="J26" s="589"/>
      <c r="K26" s="507"/>
      <c r="L26" s="88"/>
      <c r="M26" s="8">
        <v>120</v>
      </c>
      <c r="N26" s="8">
        <v>1</v>
      </c>
      <c r="O26" s="8"/>
      <c r="P26" s="1045"/>
      <c r="Q26" s="1045"/>
      <c r="R26" s="1045"/>
    </row>
    <row r="27" spans="1:18" ht="16.95" customHeight="1">
      <c r="A27" s="16"/>
      <c r="B27" s="1057"/>
      <c r="C27" s="1057"/>
      <c r="D27" s="1057"/>
      <c r="E27" s="1057"/>
      <c r="F27" s="1058"/>
      <c r="G27" s="1058"/>
      <c r="H27" s="1058"/>
      <c r="I27" s="1058"/>
      <c r="J27" s="584"/>
      <c r="K27" s="585"/>
      <c r="L27" s="118"/>
      <c r="M27" s="118"/>
      <c r="N27" s="118"/>
      <c r="O27" s="45"/>
      <c r="P27" s="586"/>
      <c r="Q27" s="586"/>
      <c r="R27" s="586"/>
    </row>
    <row r="28" spans="1:18" ht="16.95" customHeight="1">
      <c r="A28" s="279" t="s">
        <v>1523</v>
      </c>
      <c r="B28" s="16"/>
      <c r="C28" s="16"/>
      <c r="D28" s="16"/>
      <c r="E28" s="16"/>
      <c r="F28" s="399"/>
      <c r="G28" s="399"/>
      <c r="H28" s="399"/>
      <c r="I28" s="399"/>
      <c r="J28" s="584"/>
      <c r="K28" s="585"/>
      <c r="L28" s="118"/>
      <c r="M28" s="118"/>
      <c r="N28" s="118"/>
      <c r="O28" s="45"/>
      <c r="P28" s="586"/>
      <c r="Q28" s="586"/>
      <c r="R28" s="586"/>
    </row>
    <row r="29" spans="1:18" ht="16.95" customHeight="1">
      <c r="A29" s="16"/>
      <c r="B29" s="16"/>
      <c r="C29" s="16"/>
      <c r="D29" s="16"/>
      <c r="E29" s="16"/>
      <c r="F29" s="399"/>
      <c r="G29" s="399"/>
      <c r="H29" s="399"/>
      <c r="I29" s="399"/>
      <c r="J29" s="584"/>
      <c r="K29" s="585"/>
      <c r="L29" s="118"/>
      <c r="M29" s="118"/>
      <c r="N29" s="118"/>
      <c r="O29" s="45"/>
      <c r="P29" s="586"/>
      <c r="Q29" s="586"/>
      <c r="R29" s="586"/>
    </row>
    <row r="30" spans="1:18" ht="16.95" customHeight="1">
      <c r="A30" s="16"/>
      <c r="B30" s="16"/>
      <c r="C30" s="16"/>
      <c r="D30" s="16"/>
      <c r="E30" s="16"/>
      <c r="F30" s="399"/>
      <c r="G30" s="399"/>
      <c r="H30" s="399"/>
      <c r="I30" s="399"/>
      <c r="J30" s="584"/>
      <c r="K30" s="585"/>
      <c r="L30" s="118"/>
      <c r="M30" s="118"/>
      <c r="N30" s="118"/>
      <c r="O30" s="45"/>
      <c r="P30" s="586"/>
      <c r="Q30" s="586"/>
      <c r="R30" s="586"/>
    </row>
    <row r="31" spans="1:18" ht="16.95" customHeight="1">
      <c r="A31" s="16"/>
      <c r="B31" s="16"/>
      <c r="C31" s="16"/>
      <c r="D31" s="16"/>
      <c r="E31" s="16"/>
      <c r="F31" s="399"/>
      <c r="G31" s="399"/>
      <c r="H31" s="399"/>
      <c r="I31" s="399"/>
      <c r="J31" s="584"/>
      <c r="K31" s="585"/>
      <c r="L31" s="118"/>
      <c r="M31" s="118"/>
      <c r="N31" s="118"/>
      <c r="O31" s="45"/>
      <c r="P31" s="586"/>
      <c r="Q31" s="586"/>
      <c r="R31" s="586"/>
    </row>
    <row r="32" spans="1:18" ht="16.95" customHeight="1">
      <c r="A32" s="16"/>
      <c r="B32" s="16"/>
      <c r="C32" s="16"/>
      <c r="D32" s="16"/>
      <c r="E32" s="16"/>
      <c r="F32" s="399"/>
      <c r="G32" s="399"/>
      <c r="H32" s="399"/>
      <c r="I32" s="399"/>
      <c r="J32" s="584"/>
      <c r="K32" s="585"/>
      <c r="L32" s="118"/>
      <c r="M32" s="118"/>
      <c r="N32" s="118"/>
      <c r="O32" s="45"/>
      <c r="P32" s="586"/>
      <c r="Q32" s="586"/>
      <c r="R32" s="586"/>
    </row>
    <row r="33" spans="1:32" ht="18" customHeight="1">
      <c r="A33" s="279"/>
      <c r="B33" s="116"/>
      <c r="C33" s="116"/>
      <c r="D33" s="205"/>
      <c r="E33" s="205"/>
      <c r="F33" s="206"/>
      <c r="G33" s="206"/>
      <c r="H33" s="206"/>
      <c r="I33" s="206"/>
      <c r="J33" s="207"/>
      <c r="K33" s="207"/>
      <c r="L33" s="207"/>
      <c r="M33" s="207"/>
      <c r="N33" s="207"/>
      <c r="O33" s="466"/>
      <c r="P33" s="214"/>
      <c r="Q33" s="214"/>
      <c r="R33" s="214"/>
    </row>
    <row r="34" spans="1:32" ht="18" customHeight="1">
      <c r="A34" s="279"/>
      <c r="B34" s="116"/>
      <c r="C34" s="116"/>
      <c r="D34" s="205"/>
      <c r="E34" s="205"/>
      <c r="F34" s="206"/>
      <c r="G34" s="206"/>
      <c r="H34" s="206"/>
      <c r="I34" s="206"/>
      <c r="J34" s="207"/>
      <c r="K34" s="207"/>
      <c r="L34" s="207"/>
      <c r="M34" s="207"/>
      <c r="N34" s="207"/>
      <c r="O34" s="466"/>
      <c r="P34" s="214"/>
      <c r="Q34" s="214"/>
      <c r="R34" s="214"/>
    </row>
    <row r="35" spans="1:32" ht="18" customHeight="1">
      <c r="A35" s="279"/>
      <c r="B35" s="116"/>
      <c r="C35" s="116"/>
      <c r="D35" s="205"/>
      <c r="E35" s="205"/>
      <c r="F35" s="206"/>
      <c r="G35" s="206"/>
      <c r="H35" s="206"/>
      <c r="I35" s="206"/>
      <c r="J35" s="207"/>
      <c r="K35" s="207"/>
      <c r="L35" s="207"/>
      <c r="M35" s="207"/>
      <c r="N35" s="207"/>
      <c r="O35" s="466"/>
      <c r="P35" s="214"/>
      <c r="Q35" s="214"/>
      <c r="R35" s="214"/>
    </row>
    <row r="36" spans="1:32" ht="18" customHeight="1" thickBot="1">
      <c r="A36" s="279"/>
      <c r="B36" s="116"/>
      <c r="C36" s="116"/>
      <c r="D36" s="205"/>
      <c r="E36" s="205"/>
      <c r="F36" s="206"/>
      <c r="G36" s="206"/>
      <c r="H36" s="206"/>
      <c r="I36" s="206"/>
      <c r="J36" s="207"/>
      <c r="K36" s="207"/>
      <c r="L36" s="207"/>
      <c r="M36" s="207"/>
      <c r="N36" s="207"/>
      <c r="O36" s="466"/>
      <c r="P36" s="214"/>
      <c r="Q36" s="214"/>
      <c r="R36" s="214"/>
    </row>
    <row r="37" spans="1:32">
      <c r="U37" s="832" t="s">
        <v>1356</v>
      </c>
      <c r="V37" s="644" t="s">
        <v>1357</v>
      </c>
      <c r="W37" s="644"/>
      <c r="X37" s="644" t="s">
        <v>1358</v>
      </c>
      <c r="Y37" s="644"/>
      <c r="Z37" s="644"/>
      <c r="AA37" s="644"/>
      <c r="AB37" s="644"/>
      <c r="AC37" s="644"/>
      <c r="AD37" s="553" t="s">
        <v>1359</v>
      </c>
      <c r="AE37" s="553" t="s">
        <v>1360</v>
      </c>
      <c r="AF37" s="554" t="s">
        <v>1361</v>
      </c>
    </row>
    <row r="38" spans="1:32" ht="18" customHeight="1">
      <c r="U38" s="833"/>
      <c r="V38" s="645"/>
      <c r="W38" s="646"/>
      <c r="X38" s="646"/>
      <c r="Y38" s="646"/>
      <c r="Z38" s="646"/>
      <c r="AA38" s="646"/>
      <c r="AB38" s="646"/>
      <c r="AC38" s="646"/>
      <c r="AD38" s="555"/>
      <c r="AE38" s="555"/>
      <c r="AF38" s="556"/>
    </row>
    <row r="39" spans="1:32">
      <c r="U39" s="833"/>
      <c r="V39" s="645"/>
      <c r="W39" s="646"/>
      <c r="X39" s="646"/>
      <c r="Y39" s="646"/>
      <c r="Z39" s="646"/>
      <c r="AA39" s="646"/>
      <c r="AB39" s="646"/>
      <c r="AC39" s="646"/>
      <c r="AD39" s="555"/>
      <c r="AE39" s="555"/>
      <c r="AF39" s="556"/>
    </row>
    <row r="40" spans="1:32" ht="18.600000000000001" thickBot="1">
      <c r="U40" s="834"/>
      <c r="V40" s="647" t="s">
        <v>1511</v>
      </c>
      <c r="W40" s="617"/>
      <c r="X40" s="617" t="s">
        <v>1363</v>
      </c>
      <c r="Y40" s="617"/>
      <c r="Z40" s="617"/>
      <c r="AA40" s="617"/>
      <c r="AB40" s="617"/>
      <c r="AC40" s="617"/>
      <c r="AD40" s="557" t="s">
        <v>1364</v>
      </c>
      <c r="AE40" s="557" t="s">
        <v>1513</v>
      </c>
      <c r="AF40" s="558" t="s">
        <v>1512</v>
      </c>
    </row>
    <row r="44" spans="1:32" ht="18" customHeight="1">
      <c r="U44" s="1054"/>
      <c r="V44" s="1055"/>
      <c r="W44" s="1055"/>
      <c r="X44" s="1055"/>
      <c r="Y44" s="1055"/>
      <c r="Z44" s="1055"/>
      <c r="AA44" s="1055"/>
      <c r="AB44" s="1055"/>
      <c r="AC44" s="1055"/>
      <c r="AD44" s="597"/>
      <c r="AE44" s="597"/>
      <c r="AF44" s="597"/>
    </row>
    <row r="45" spans="1:32">
      <c r="U45" s="1054"/>
      <c r="V45" s="1056"/>
      <c r="W45" s="1055"/>
      <c r="X45" s="1055"/>
      <c r="Y45" s="1055"/>
      <c r="Z45" s="1055"/>
      <c r="AA45" s="1055"/>
      <c r="AB45" s="1055"/>
      <c r="AC45" s="1055"/>
      <c r="AD45" s="597"/>
      <c r="AE45" s="597"/>
      <c r="AF45" s="597"/>
    </row>
    <row r="46" spans="1:32">
      <c r="U46" s="1054"/>
      <c r="V46" s="1056"/>
      <c r="W46" s="1055"/>
      <c r="X46" s="1055"/>
      <c r="Y46" s="1055"/>
      <c r="Z46" s="1055"/>
      <c r="AA46" s="1055"/>
      <c r="AB46" s="1055"/>
      <c r="AC46" s="1055"/>
      <c r="AD46" s="597"/>
      <c r="AE46" s="597"/>
      <c r="AF46" s="597"/>
    </row>
    <row r="47" spans="1:32">
      <c r="U47" s="1054"/>
      <c r="V47" s="1056"/>
      <c r="W47" s="1055"/>
      <c r="X47" s="1055"/>
      <c r="Y47" s="1055"/>
      <c r="Z47" s="1055"/>
      <c r="AA47" s="1055"/>
      <c r="AB47" s="1055"/>
      <c r="AC47" s="1055"/>
      <c r="AD47" s="597"/>
      <c r="AE47" s="597"/>
      <c r="AF47" s="597"/>
    </row>
  </sheetData>
  <mergeCells count="120">
    <mergeCell ref="A4:A5"/>
    <mergeCell ref="B4:C5"/>
    <mergeCell ref="D4:E5"/>
    <mergeCell ref="F4:I5"/>
    <mergeCell ref="J4:J5"/>
    <mergeCell ref="K4:K5"/>
    <mergeCell ref="B7:C7"/>
    <mergeCell ref="D7:E7"/>
    <mergeCell ref="F7:I7"/>
    <mergeCell ref="P7:R7"/>
    <mergeCell ref="B8:C8"/>
    <mergeCell ref="D8:E8"/>
    <mergeCell ref="F8:I8"/>
    <mergeCell ref="P8:R8"/>
    <mergeCell ref="M4:M5"/>
    <mergeCell ref="N4:N5"/>
    <mergeCell ref="O4:O5"/>
    <mergeCell ref="P4:R5"/>
    <mergeCell ref="B6:C6"/>
    <mergeCell ref="D6:E6"/>
    <mergeCell ref="F6:I6"/>
    <mergeCell ref="P6:R6"/>
    <mergeCell ref="B9:C9"/>
    <mergeCell ref="D9:E9"/>
    <mergeCell ref="F9:I9"/>
    <mergeCell ref="P9:R9"/>
    <mergeCell ref="A10:A11"/>
    <mergeCell ref="B10:C10"/>
    <mergeCell ref="D10:E10"/>
    <mergeCell ref="F10:I10"/>
    <mergeCell ref="J10:J11"/>
    <mergeCell ref="K10:K11"/>
    <mergeCell ref="P10:R11"/>
    <mergeCell ref="B11:C11"/>
    <mergeCell ref="D11:E11"/>
    <mergeCell ref="F11:I11"/>
    <mergeCell ref="A12:A13"/>
    <mergeCell ref="B12:C12"/>
    <mergeCell ref="D12:E12"/>
    <mergeCell ref="F12:I12"/>
    <mergeCell ref="J12:J13"/>
    <mergeCell ref="K12:K13"/>
    <mergeCell ref="P15:R17"/>
    <mergeCell ref="B16:C16"/>
    <mergeCell ref="D16:E16"/>
    <mergeCell ref="F16:I16"/>
    <mergeCell ref="B17:C17"/>
    <mergeCell ref="D17:E17"/>
    <mergeCell ref="P12:R13"/>
    <mergeCell ref="B13:C13"/>
    <mergeCell ref="D13:E13"/>
    <mergeCell ref="F13:I13"/>
    <mergeCell ref="B14:C14"/>
    <mergeCell ref="D14:E14"/>
    <mergeCell ref="F14:I14"/>
    <mergeCell ref="P14:R14"/>
    <mergeCell ref="F17:I17"/>
    <mergeCell ref="J17:J18"/>
    <mergeCell ref="K17:K18"/>
    <mergeCell ref="A18:A20"/>
    <mergeCell ref="B18:C18"/>
    <mergeCell ref="D18:E18"/>
    <mergeCell ref="F18:I18"/>
    <mergeCell ref="A15:A17"/>
    <mergeCell ref="B15:C15"/>
    <mergeCell ref="D15:E15"/>
    <mergeCell ref="F15:I15"/>
    <mergeCell ref="P18:R20"/>
    <mergeCell ref="B19:C19"/>
    <mergeCell ref="D19:E19"/>
    <mergeCell ref="F19:I19"/>
    <mergeCell ref="J19:J20"/>
    <mergeCell ref="K19:K20"/>
    <mergeCell ref="B20:C20"/>
    <mergeCell ref="D20:E20"/>
    <mergeCell ref="F20:I20"/>
    <mergeCell ref="A25:A26"/>
    <mergeCell ref="B25:C25"/>
    <mergeCell ref="D25:E25"/>
    <mergeCell ref="F25:I25"/>
    <mergeCell ref="B21:C21"/>
    <mergeCell ref="D21:E21"/>
    <mergeCell ref="F21:I21"/>
    <mergeCell ref="P21:R21"/>
    <mergeCell ref="A22:A24"/>
    <mergeCell ref="B22:C22"/>
    <mergeCell ref="D22:E22"/>
    <mergeCell ref="F22:I22"/>
    <mergeCell ref="P22:R24"/>
    <mergeCell ref="B23:C23"/>
    <mergeCell ref="P25:R26"/>
    <mergeCell ref="B26:C26"/>
    <mergeCell ref="D26:E26"/>
    <mergeCell ref="F26:I26"/>
    <mergeCell ref="B27:C27"/>
    <mergeCell ref="D27:E27"/>
    <mergeCell ref="F27:I27"/>
    <mergeCell ref="D23:E23"/>
    <mergeCell ref="F23:I23"/>
    <mergeCell ref="B24:C24"/>
    <mergeCell ref="D24:E24"/>
    <mergeCell ref="F24:I24"/>
    <mergeCell ref="U37:U40"/>
    <mergeCell ref="V37:W37"/>
    <mergeCell ref="X37:AC37"/>
    <mergeCell ref="V38:W38"/>
    <mergeCell ref="X38:AC38"/>
    <mergeCell ref="V39:W39"/>
    <mergeCell ref="X39:AC39"/>
    <mergeCell ref="V40:W40"/>
    <mergeCell ref="X40:AC40"/>
    <mergeCell ref="U44:U47"/>
    <mergeCell ref="V44:W44"/>
    <mergeCell ref="X44:AC44"/>
    <mergeCell ref="V45:W45"/>
    <mergeCell ref="X45:AC45"/>
    <mergeCell ref="V46:W46"/>
    <mergeCell ref="X46:AC46"/>
    <mergeCell ref="V47:W47"/>
    <mergeCell ref="X47:AC47"/>
  </mergeCells>
  <phoneticPr fontId="11"/>
  <printOptions horizontalCentered="1" verticalCentered="1"/>
  <pageMargins left="0.11811023622047245" right="0.19685039370078741" top="0.11811023622047245" bottom="0.11811023622047245" header="0.11811023622047245" footer="0.11811023622047245"/>
  <pageSetup paperSize="9" scale="75" orientation="landscape" horizontalDpi="300" verticalDpi="3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EB345-52E6-4682-9F20-1A7F4777D77D}">
  <sheetPr>
    <tabColor rgb="FF00B050"/>
  </sheetPr>
  <dimension ref="A1:AF42"/>
  <sheetViews>
    <sheetView view="pageBreakPreview" zoomScaleNormal="100" zoomScaleSheetLayoutView="100" workbookViewId="0">
      <selection activeCell="S6" sqref="S6"/>
    </sheetView>
  </sheetViews>
  <sheetFormatPr defaultRowHeight="18"/>
  <cols>
    <col min="1" max="1" width="5.69921875" customWidth="1"/>
    <col min="2" max="3" width="7.59765625" customWidth="1"/>
    <col min="4" max="5" width="5.69921875" customWidth="1"/>
    <col min="6" max="8" width="7.59765625" customWidth="1"/>
    <col min="9" max="9" width="3.8984375" customWidth="1"/>
    <col min="10" max="11" width="30.69921875" customWidth="1"/>
    <col min="12" max="15" width="5.69921875" customWidth="1"/>
    <col min="16" max="18" width="10.69921875" customWidth="1"/>
  </cols>
  <sheetData>
    <row r="1" spans="1:18" ht="18" customHeight="1">
      <c r="A1" s="262" t="s">
        <v>1526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ht="18" customHeight="1">
      <c r="A2" s="267" t="s">
        <v>1527</v>
      </c>
      <c r="B2" s="464"/>
      <c r="C2" s="464"/>
      <c r="D2" s="39"/>
      <c r="E2" s="39"/>
      <c r="F2" s="39"/>
      <c r="G2" s="39"/>
      <c r="H2" s="39"/>
      <c r="I2" s="39"/>
      <c r="J2" s="39"/>
      <c r="K2" s="39"/>
      <c r="L2" s="465"/>
      <c r="M2" s="39"/>
      <c r="N2" s="39"/>
      <c r="O2" s="39"/>
      <c r="P2" s="39"/>
      <c r="Q2" s="39"/>
      <c r="R2" s="39"/>
    </row>
    <row r="3" spans="1:18" ht="15" customHeight="1">
      <c r="A3" s="49" t="s">
        <v>366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 t="s">
        <v>983</v>
      </c>
    </row>
    <row r="4" spans="1:18" ht="15" customHeight="1">
      <c r="A4" s="1078" t="s">
        <v>2</v>
      </c>
      <c r="B4" s="1080" t="s">
        <v>3</v>
      </c>
      <c r="C4" s="1080"/>
      <c r="D4" s="1047" t="s">
        <v>4</v>
      </c>
      <c r="E4" s="1047"/>
      <c r="F4" s="1080" t="s">
        <v>5</v>
      </c>
      <c r="G4" s="1080"/>
      <c r="H4" s="1080"/>
      <c r="I4" s="1080"/>
      <c r="J4" s="713" t="s">
        <v>491</v>
      </c>
      <c r="K4" s="766" t="s">
        <v>7</v>
      </c>
      <c r="L4" s="598" t="s">
        <v>407</v>
      </c>
      <c r="M4" s="696" t="s">
        <v>1095</v>
      </c>
      <c r="N4" s="805" t="s">
        <v>1096</v>
      </c>
      <c r="O4" s="766" t="s">
        <v>1097</v>
      </c>
      <c r="P4" s="806" t="s">
        <v>8</v>
      </c>
      <c r="Q4" s="807"/>
      <c r="R4" s="808"/>
    </row>
    <row r="5" spans="1:18" ht="15" customHeight="1">
      <c r="A5" s="1079"/>
      <c r="B5" s="1080"/>
      <c r="C5" s="1080"/>
      <c r="D5" s="1047"/>
      <c r="E5" s="1047"/>
      <c r="F5" s="1080"/>
      <c r="G5" s="1080"/>
      <c r="H5" s="1080"/>
      <c r="I5" s="1080"/>
      <c r="J5" s="714"/>
      <c r="K5" s="767"/>
      <c r="L5" s="599" t="s">
        <v>410</v>
      </c>
      <c r="M5" s="706"/>
      <c r="N5" s="1029"/>
      <c r="O5" s="767"/>
      <c r="P5" s="809"/>
      <c r="Q5" s="810"/>
      <c r="R5" s="811"/>
    </row>
    <row r="6" spans="1:18" ht="16.95" customHeight="1">
      <c r="A6" s="600" t="s">
        <v>233</v>
      </c>
      <c r="B6" s="1047" t="s">
        <v>164</v>
      </c>
      <c r="C6" s="1047"/>
      <c r="D6" s="1047" t="s">
        <v>63</v>
      </c>
      <c r="E6" s="1047"/>
      <c r="F6" s="1046" t="s">
        <v>1528</v>
      </c>
      <c r="G6" s="1046"/>
      <c r="H6" s="1046"/>
      <c r="I6" s="1046"/>
      <c r="J6" s="23"/>
      <c r="K6" s="273"/>
      <c r="L6" s="93" t="s">
        <v>425</v>
      </c>
      <c r="M6" s="25">
        <v>200</v>
      </c>
      <c r="N6" s="25">
        <v>1</v>
      </c>
      <c r="O6" s="25">
        <v>4000</v>
      </c>
      <c r="P6" s="1045" t="s">
        <v>1557</v>
      </c>
      <c r="Q6" s="1045"/>
      <c r="R6" s="1045"/>
    </row>
    <row r="7" spans="1:18" ht="16.95" customHeight="1">
      <c r="A7" s="600" t="s">
        <v>22</v>
      </c>
      <c r="B7" s="1047" t="s">
        <v>178</v>
      </c>
      <c r="C7" s="1047"/>
      <c r="D7" s="1047" t="s">
        <v>179</v>
      </c>
      <c r="E7" s="1047"/>
      <c r="F7" s="1046" t="s">
        <v>1529</v>
      </c>
      <c r="G7" s="1046"/>
      <c r="H7" s="1046"/>
      <c r="I7" s="1046"/>
      <c r="J7" s="23"/>
      <c r="K7" s="273"/>
      <c r="L7" s="93" t="s">
        <v>425</v>
      </c>
      <c r="M7" s="25">
        <v>200</v>
      </c>
      <c r="N7" s="25">
        <v>1</v>
      </c>
      <c r="O7" s="25">
        <v>10000</v>
      </c>
      <c r="P7" s="1045" t="s">
        <v>1541</v>
      </c>
      <c r="Q7" s="1045"/>
      <c r="R7" s="1045"/>
    </row>
    <row r="8" spans="1:18" ht="16.95" customHeight="1">
      <c r="A8" s="605" t="s">
        <v>239</v>
      </c>
      <c r="B8" s="1047" t="s">
        <v>147</v>
      </c>
      <c r="C8" s="1047"/>
      <c r="D8" s="1047" t="s">
        <v>49</v>
      </c>
      <c r="E8" s="1047"/>
      <c r="F8" s="1110" t="s">
        <v>1530</v>
      </c>
      <c r="G8" s="1111"/>
      <c r="H8" s="1111"/>
      <c r="I8" s="1112"/>
      <c r="J8" s="15"/>
      <c r="K8" s="15"/>
      <c r="L8" s="93" t="s">
        <v>425</v>
      </c>
      <c r="M8" s="25">
        <v>200</v>
      </c>
      <c r="N8" s="25">
        <v>1</v>
      </c>
      <c r="O8" s="23">
        <v>2300</v>
      </c>
      <c r="P8" s="1045" t="s">
        <v>1542</v>
      </c>
      <c r="Q8" s="1045"/>
      <c r="R8" s="1045"/>
    </row>
    <row r="9" spans="1:18" ht="16.95" customHeight="1">
      <c r="A9" s="1068" t="s">
        <v>110</v>
      </c>
      <c r="B9" s="648" t="s">
        <v>10</v>
      </c>
      <c r="C9" s="648"/>
      <c r="D9" s="648" t="s">
        <v>1504</v>
      </c>
      <c r="E9" s="648"/>
      <c r="F9" s="1113" t="s">
        <v>185</v>
      </c>
      <c r="G9" s="1113"/>
      <c r="H9" s="1113"/>
      <c r="I9" s="1113"/>
      <c r="J9" s="625"/>
      <c r="K9" s="1076"/>
      <c r="L9" s="88"/>
      <c r="M9" s="8">
        <v>200</v>
      </c>
      <c r="N9" s="8">
        <v>1</v>
      </c>
      <c r="O9" s="8">
        <v>1700</v>
      </c>
      <c r="P9" s="1045" t="s">
        <v>1545</v>
      </c>
      <c r="Q9" s="1045"/>
      <c r="R9" s="1045"/>
    </row>
    <row r="10" spans="1:18" ht="16.95" customHeight="1">
      <c r="A10" s="1067"/>
      <c r="B10" s="648" t="s">
        <v>13</v>
      </c>
      <c r="C10" s="648"/>
      <c r="D10" s="648" t="s">
        <v>49</v>
      </c>
      <c r="E10" s="648"/>
      <c r="F10" s="649" t="s">
        <v>69</v>
      </c>
      <c r="G10" s="649"/>
      <c r="H10" s="649"/>
      <c r="I10" s="649"/>
      <c r="J10" s="627"/>
      <c r="K10" s="1077"/>
      <c r="L10" s="88"/>
      <c r="M10" s="8"/>
      <c r="N10" s="8"/>
      <c r="O10" s="8"/>
      <c r="P10" s="1045"/>
      <c r="Q10" s="1045"/>
      <c r="R10" s="1045"/>
    </row>
    <row r="11" spans="1:18" ht="16.95" customHeight="1">
      <c r="A11" s="1068" t="s">
        <v>808</v>
      </c>
      <c r="B11" s="648" t="s">
        <v>35</v>
      </c>
      <c r="C11" s="648"/>
      <c r="D11" s="648" t="s">
        <v>11</v>
      </c>
      <c r="E11" s="648"/>
      <c r="F11" s="1069" t="s">
        <v>118</v>
      </c>
      <c r="G11" s="1069"/>
      <c r="H11" s="1069"/>
      <c r="I11" s="1069"/>
      <c r="J11" s="722"/>
      <c r="K11" s="1090"/>
      <c r="L11" s="88"/>
      <c r="M11" s="8">
        <v>200</v>
      </c>
      <c r="N11" s="8">
        <v>1</v>
      </c>
      <c r="O11" s="8">
        <v>3000</v>
      </c>
      <c r="P11" s="1033" t="s">
        <v>38</v>
      </c>
      <c r="Q11" s="1034"/>
      <c r="R11" s="1035"/>
    </row>
    <row r="12" spans="1:18" ht="16.95" customHeight="1">
      <c r="A12" s="1066"/>
      <c r="B12" s="648" t="s">
        <v>119</v>
      </c>
      <c r="C12" s="648"/>
      <c r="D12" s="648" t="s">
        <v>11</v>
      </c>
      <c r="E12" s="648"/>
      <c r="F12" s="1069" t="s">
        <v>190</v>
      </c>
      <c r="G12" s="1069"/>
      <c r="H12" s="1069"/>
      <c r="I12" s="1069"/>
      <c r="J12" s="1089"/>
      <c r="K12" s="1091"/>
      <c r="L12" s="88"/>
      <c r="M12" s="8"/>
      <c r="N12" s="8"/>
      <c r="O12" s="8"/>
      <c r="P12" s="1036"/>
      <c r="Q12" s="1037"/>
      <c r="R12" s="1038"/>
    </row>
    <row r="13" spans="1:18" ht="16.95" customHeight="1">
      <c r="A13" s="1067"/>
      <c r="B13" s="1052" t="s">
        <v>1531</v>
      </c>
      <c r="C13" s="1053"/>
      <c r="D13" s="1052" t="s">
        <v>170</v>
      </c>
      <c r="E13" s="1053"/>
      <c r="F13" s="1082" t="s">
        <v>1532</v>
      </c>
      <c r="G13" s="1100"/>
      <c r="H13" s="1100"/>
      <c r="I13" s="1101"/>
      <c r="J13" s="723"/>
      <c r="K13" s="1092"/>
      <c r="L13" s="88"/>
      <c r="M13" s="8"/>
      <c r="N13" s="8"/>
      <c r="O13" s="8"/>
      <c r="P13" s="1039"/>
      <c r="Q13" s="1040"/>
      <c r="R13" s="1041"/>
    </row>
    <row r="14" spans="1:18" s="607" customFormat="1" ht="16.95" customHeight="1">
      <c r="A14" s="1068" t="s">
        <v>434</v>
      </c>
      <c r="B14" s="648" t="s">
        <v>10</v>
      </c>
      <c r="C14" s="648"/>
      <c r="D14" s="1052" t="s">
        <v>863</v>
      </c>
      <c r="E14" s="1053"/>
      <c r="F14" s="1082" t="s">
        <v>1533</v>
      </c>
      <c r="G14" s="1100"/>
      <c r="H14" s="1100"/>
      <c r="I14" s="1101"/>
      <c r="J14" s="603"/>
      <c r="K14" s="606"/>
      <c r="L14" s="88"/>
      <c r="M14" s="8">
        <v>200</v>
      </c>
      <c r="N14" s="8">
        <v>1</v>
      </c>
      <c r="O14" s="8">
        <v>2500</v>
      </c>
      <c r="P14" s="1102" t="s">
        <v>1540</v>
      </c>
      <c r="Q14" s="1103"/>
      <c r="R14" s="1104"/>
    </row>
    <row r="15" spans="1:18" s="607" customFormat="1" ht="16.95" customHeight="1">
      <c r="A15" s="1067"/>
      <c r="B15" s="648" t="s">
        <v>13</v>
      </c>
      <c r="C15" s="648"/>
      <c r="D15" s="1052" t="s">
        <v>29</v>
      </c>
      <c r="E15" s="1053"/>
      <c r="F15" s="1082" t="s">
        <v>1534</v>
      </c>
      <c r="G15" s="1100"/>
      <c r="H15" s="1100"/>
      <c r="I15" s="1101"/>
      <c r="J15" s="603"/>
      <c r="K15" s="606"/>
      <c r="L15" s="88"/>
      <c r="M15" s="8"/>
      <c r="N15" s="8"/>
      <c r="O15" s="8"/>
      <c r="P15" s="1105"/>
      <c r="Q15" s="1106"/>
      <c r="R15" s="1107"/>
    </row>
    <row r="16" spans="1:18" ht="16.8" customHeight="1">
      <c r="A16" s="600" t="s">
        <v>57</v>
      </c>
      <c r="B16" s="1070" t="s">
        <v>164</v>
      </c>
      <c r="C16" s="1071"/>
      <c r="D16" s="1070" t="s">
        <v>468</v>
      </c>
      <c r="E16" s="1071"/>
      <c r="F16" s="1046" t="s">
        <v>1538</v>
      </c>
      <c r="G16" s="1046"/>
      <c r="H16" s="1046"/>
      <c r="I16" s="1046"/>
      <c r="J16" s="269"/>
      <c r="K16" s="25"/>
      <c r="L16" s="97" t="s">
        <v>425</v>
      </c>
      <c r="M16" s="25">
        <v>200</v>
      </c>
      <c r="N16" s="25">
        <v>1</v>
      </c>
      <c r="O16" s="25">
        <v>8000</v>
      </c>
      <c r="P16" s="1072" t="s">
        <v>1539</v>
      </c>
      <c r="Q16" s="1073"/>
      <c r="R16" s="1074"/>
    </row>
    <row r="17" spans="1:32" ht="16.2" customHeight="1">
      <c r="A17" s="601" t="s">
        <v>259</v>
      </c>
      <c r="B17" s="1094" t="s">
        <v>1547</v>
      </c>
      <c r="C17" s="1095"/>
      <c r="D17" s="1094" t="s">
        <v>240</v>
      </c>
      <c r="E17" s="1095"/>
      <c r="F17" s="1096" t="s">
        <v>1537</v>
      </c>
      <c r="G17" s="1096"/>
      <c r="H17" s="1096"/>
      <c r="I17" s="1096"/>
      <c r="J17" s="608"/>
      <c r="K17" s="594"/>
      <c r="L17" s="97" t="s">
        <v>425</v>
      </c>
      <c r="M17" s="25">
        <v>200</v>
      </c>
      <c r="N17" s="604">
        <v>1</v>
      </c>
      <c r="O17" s="67">
        <v>4000</v>
      </c>
      <c r="P17" s="1097" t="s">
        <v>589</v>
      </c>
      <c r="Q17" s="1098"/>
      <c r="R17" s="1099"/>
    </row>
    <row r="18" spans="1:32" ht="16.95" customHeight="1">
      <c r="A18" s="1068" t="s">
        <v>127</v>
      </c>
      <c r="B18" s="648" t="s">
        <v>1535</v>
      </c>
      <c r="C18" s="648"/>
      <c r="D18" s="648" t="s">
        <v>14</v>
      </c>
      <c r="E18" s="648"/>
      <c r="F18" s="1082" t="s">
        <v>1536</v>
      </c>
      <c r="G18" s="1083"/>
      <c r="H18" s="1083"/>
      <c r="I18" s="1083"/>
      <c r="J18" s="625"/>
      <c r="K18" s="1076"/>
      <c r="L18" s="88"/>
      <c r="M18" s="8">
        <v>200</v>
      </c>
      <c r="N18" s="8">
        <v>1</v>
      </c>
      <c r="O18" s="8">
        <v>1200</v>
      </c>
      <c r="P18" s="1045" t="s">
        <v>623</v>
      </c>
      <c r="Q18" s="1045"/>
      <c r="R18" s="1045"/>
    </row>
    <row r="19" spans="1:32" ht="16.95" customHeight="1" thickBot="1">
      <c r="A19" s="1081"/>
      <c r="B19" s="1085" t="s">
        <v>577</v>
      </c>
      <c r="C19" s="1085"/>
      <c r="D19" s="1085" t="s">
        <v>14</v>
      </c>
      <c r="E19" s="1085"/>
      <c r="F19" s="1086" t="s">
        <v>775</v>
      </c>
      <c r="G19" s="1087"/>
      <c r="H19" s="1087"/>
      <c r="I19" s="1088"/>
      <c r="J19" s="1084"/>
      <c r="K19" s="1108"/>
      <c r="L19" s="224"/>
      <c r="M19" s="24"/>
      <c r="N19" s="24"/>
      <c r="O19" s="24"/>
      <c r="P19" s="1109"/>
      <c r="Q19" s="1109"/>
      <c r="R19" s="1109"/>
    </row>
    <row r="20" spans="1:32" ht="16.2" customHeight="1" thickTop="1">
      <c r="A20" s="1093" t="s">
        <v>269</v>
      </c>
      <c r="B20" s="648" t="s">
        <v>10</v>
      </c>
      <c r="C20" s="648"/>
      <c r="D20" s="648" t="s">
        <v>863</v>
      </c>
      <c r="E20" s="648"/>
      <c r="F20" s="649" t="s">
        <v>1544</v>
      </c>
      <c r="G20" s="649"/>
      <c r="H20" s="649"/>
      <c r="I20" s="649"/>
      <c r="J20" s="592"/>
      <c r="K20" s="538"/>
      <c r="L20" s="88"/>
      <c r="M20" s="8">
        <v>200</v>
      </c>
      <c r="N20" s="8">
        <v>1</v>
      </c>
      <c r="O20" s="8">
        <v>4000</v>
      </c>
      <c r="P20" s="1045" t="s">
        <v>1543</v>
      </c>
      <c r="Q20" s="1045"/>
      <c r="R20" s="1045"/>
    </row>
    <row r="21" spans="1:32" ht="16.2" customHeight="1">
      <c r="A21" s="1093"/>
      <c r="B21" s="648" t="s">
        <v>145</v>
      </c>
      <c r="C21" s="648"/>
      <c r="D21" s="648" t="s">
        <v>43</v>
      </c>
      <c r="E21" s="648"/>
      <c r="F21" s="649" t="s">
        <v>146</v>
      </c>
      <c r="G21" s="649"/>
      <c r="H21" s="649"/>
      <c r="I21" s="649"/>
      <c r="J21" s="589"/>
      <c r="K21" s="507"/>
      <c r="L21" s="88"/>
      <c r="M21" s="8"/>
      <c r="N21" s="8"/>
      <c r="O21" s="8"/>
      <c r="P21" s="1045"/>
      <c r="Q21" s="1045"/>
      <c r="R21" s="1045"/>
    </row>
    <row r="22" spans="1:32" ht="16.95" customHeight="1">
      <c r="A22" s="16"/>
      <c r="B22" s="1057"/>
      <c r="C22" s="1057"/>
      <c r="D22" s="1057"/>
      <c r="E22" s="1057"/>
      <c r="F22" s="1058"/>
      <c r="G22" s="1058"/>
      <c r="H22" s="1058"/>
      <c r="I22" s="1058"/>
      <c r="J22" s="584"/>
      <c r="K22" s="585"/>
      <c r="L22" s="118"/>
      <c r="M22" s="118"/>
      <c r="N22" s="118"/>
      <c r="O22" s="45"/>
      <c r="P22" s="586"/>
      <c r="Q22" s="586"/>
      <c r="R22" s="586"/>
    </row>
    <row r="23" spans="1:32" ht="16.95" customHeight="1">
      <c r="A23" s="279" t="s">
        <v>1523</v>
      </c>
      <c r="B23" s="16"/>
      <c r="C23" s="16"/>
      <c r="D23" s="16"/>
      <c r="E23" s="16"/>
      <c r="F23" s="399"/>
      <c r="G23" s="399"/>
      <c r="H23" s="399"/>
      <c r="I23" s="399"/>
      <c r="J23" s="584"/>
      <c r="K23" s="585"/>
      <c r="L23" s="118"/>
      <c r="M23" s="118"/>
      <c r="N23" s="118"/>
      <c r="O23" s="45"/>
      <c r="P23" s="586"/>
      <c r="Q23" s="586"/>
      <c r="R23" s="586"/>
    </row>
    <row r="24" spans="1:32" ht="16.95" customHeight="1">
      <c r="A24" s="16"/>
      <c r="B24" s="16"/>
      <c r="C24" s="16"/>
      <c r="D24" s="16"/>
      <c r="E24" s="16"/>
      <c r="F24" s="399"/>
      <c r="G24" s="399"/>
      <c r="H24" s="399"/>
      <c r="I24" s="399"/>
      <c r="J24" s="584"/>
      <c r="K24" s="585"/>
      <c r="L24" s="118"/>
      <c r="M24" s="118"/>
      <c r="N24" s="118"/>
      <c r="O24" s="45"/>
      <c r="P24" s="586"/>
      <c r="Q24" s="586"/>
      <c r="R24" s="586"/>
    </row>
    <row r="25" spans="1:32" ht="16.95" customHeight="1">
      <c r="A25" s="16"/>
      <c r="B25" s="16"/>
      <c r="C25" s="16"/>
      <c r="D25" s="16"/>
      <c r="E25" s="16"/>
      <c r="F25" s="399"/>
      <c r="G25" s="399"/>
      <c r="H25" s="399"/>
      <c r="I25" s="399"/>
      <c r="J25" s="584"/>
      <c r="K25" s="585"/>
      <c r="L25" s="118"/>
      <c r="M25" s="118"/>
      <c r="N25" s="118"/>
      <c r="O25" s="45"/>
      <c r="P25" s="586"/>
      <c r="Q25" s="586"/>
      <c r="R25" s="586"/>
    </row>
    <row r="26" spans="1:32" ht="16.95" customHeight="1">
      <c r="A26" s="16"/>
      <c r="B26" s="16"/>
      <c r="C26" s="16"/>
      <c r="D26" s="16"/>
      <c r="E26" s="16"/>
      <c r="F26" s="399"/>
      <c r="G26" s="399"/>
      <c r="H26" s="399"/>
      <c r="I26" s="399"/>
      <c r="J26" s="584"/>
      <c r="K26" s="585"/>
      <c r="L26" s="118"/>
      <c r="M26" s="118"/>
      <c r="N26" s="118"/>
      <c r="O26" s="45"/>
      <c r="P26" s="586"/>
      <c r="Q26" s="586"/>
      <c r="R26" s="586"/>
    </row>
    <row r="27" spans="1:32" ht="16.95" customHeight="1">
      <c r="A27" s="16"/>
      <c r="B27" s="16"/>
      <c r="C27" s="16"/>
      <c r="D27" s="16"/>
      <c r="E27" s="16"/>
      <c r="F27" s="399"/>
      <c r="G27" s="399"/>
      <c r="H27" s="399"/>
      <c r="I27" s="399"/>
      <c r="J27" s="584"/>
      <c r="K27" s="585"/>
      <c r="L27" s="118"/>
      <c r="M27" s="118"/>
      <c r="N27" s="118"/>
      <c r="O27" s="45"/>
      <c r="P27" s="586"/>
      <c r="Q27" s="586"/>
      <c r="R27" s="586"/>
    </row>
    <row r="28" spans="1:32" ht="18" customHeight="1">
      <c r="A28" s="279"/>
      <c r="B28" s="116"/>
      <c r="C28" s="116"/>
      <c r="D28" s="205"/>
      <c r="E28" s="205"/>
      <c r="F28" s="206"/>
      <c r="G28" s="206"/>
      <c r="H28" s="206"/>
      <c r="I28" s="206"/>
      <c r="J28" s="207"/>
      <c r="K28" s="207"/>
      <c r="L28" s="207"/>
      <c r="M28" s="207"/>
      <c r="N28" s="207"/>
      <c r="O28" s="466"/>
      <c r="P28" s="214"/>
      <c r="Q28" s="214"/>
      <c r="R28" s="214"/>
    </row>
    <row r="29" spans="1:32" ht="18" customHeight="1">
      <c r="A29" s="279"/>
      <c r="B29" s="116"/>
      <c r="C29" s="116"/>
      <c r="D29" s="205"/>
      <c r="E29" s="205"/>
      <c r="F29" s="206"/>
      <c r="G29" s="206"/>
      <c r="H29" s="206"/>
      <c r="I29" s="206"/>
      <c r="J29" s="207"/>
      <c r="K29" s="207"/>
      <c r="L29" s="207"/>
      <c r="M29" s="207"/>
      <c r="N29" s="207"/>
      <c r="O29" s="466"/>
      <c r="P29" s="214"/>
      <c r="Q29" s="214"/>
      <c r="R29" s="214"/>
    </row>
    <row r="30" spans="1:32" ht="18" customHeight="1">
      <c r="A30" s="279"/>
      <c r="B30" s="116"/>
      <c r="C30" s="116"/>
      <c r="D30" s="205"/>
      <c r="E30" s="205"/>
      <c r="F30" s="206"/>
      <c r="G30" s="206"/>
      <c r="H30" s="206"/>
      <c r="I30" s="206"/>
      <c r="J30" s="207"/>
      <c r="K30" s="207"/>
      <c r="L30" s="207"/>
      <c r="M30" s="207"/>
      <c r="N30" s="207"/>
      <c r="O30" s="466"/>
      <c r="P30" s="214"/>
      <c r="Q30" s="214"/>
      <c r="R30" s="214"/>
    </row>
    <row r="31" spans="1:32" ht="18" customHeight="1" thickBot="1">
      <c r="A31" s="279"/>
      <c r="B31" s="116"/>
      <c r="C31" s="116"/>
      <c r="D31" s="205"/>
      <c r="E31" s="205"/>
      <c r="F31" s="206"/>
      <c r="G31" s="206"/>
      <c r="H31" s="206"/>
      <c r="I31" s="206"/>
      <c r="J31" s="207"/>
      <c r="K31" s="207"/>
      <c r="L31" s="207"/>
      <c r="M31" s="207"/>
      <c r="N31" s="207"/>
      <c r="O31" s="466"/>
      <c r="P31" s="214"/>
      <c r="Q31" s="214"/>
      <c r="R31" s="214"/>
    </row>
    <row r="32" spans="1:32">
      <c r="U32" s="832" t="s">
        <v>1356</v>
      </c>
      <c r="V32" s="644" t="s">
        <v>1357</v>
      </c>
      <c r="W32" s="644"/>
      <c r="X32" s="644" t="s">
        <v>1358</v>
      </c>
      <c r="Y32" s="644"/>
      <c r="Z32" s="644"/>
      <c r="AA32" s="644"/>
      <c r="AB32" s="644"/>
      <c r="AC32" s="644"/>
      <c r="AD32" s="553" t="s">
        <v>1359</v>
      </c>
      <c r="AE32" s="553" t="s">
        <v>1360</v>
      </c>
      <c r="AF32" s="554" t="s">
        <v>1361</v>
      </c>
    </row>
    <row r="33" spans="21:32" ht="18" customHeight="1">
      <c r="U33" s="833"/>
      <c r="V33" s="645"/>
      <c r="W33" s="646"/>
      <c r="X33" s="646"/>
      <c r="Y33" s="646"/>
      <c r="Z33" s="646"/>
      <c r="AA33" s="646"/>
      <c r="AB33" s="646"/>
      <c r="AC33" s="646"/>
      <c r="AD33" s="555"/>
      <c r="AE33" s="555"/>
      <c r="AF33" s="556"/>
    </row>
    <row r="34" spans="21:32">
      <c r="U34" s="833"/>
      <c r="V34" s="645"/>
      <c r="W34" s="646"/>
      <c r="X34" s="646"/>
      <c r="Y34" s="646"/>
      <c r="Z34" s="646"/>
      <c r="AA34" s="646"/>
      <c r="AB34" s="646"/>
      <c r="AC34" s="646"/>
      <c r="AD34" s="555"/>
      <c r="AE34" s="555"/>
      <c r="AF34" s="556"/>
    </row>
    <row r="35" spans="21:32" ht="18.600000000000001" thickBot="1">
      <c r="U35" s="834"/>
      <c r="V35" s="647" t="s">
        <v>1546</v>
      </c>
      <c r="W35" s="617"/>
      <c r="X35" s="617" t="s">
        <v>1363</v>
      </c>
      <c r="Y35" s="617"/>
      <c r="Z35" s="617"/>
      <c r="AA35" s="617"/>
      <c r="AB35" s="617"/>
      <c r="AC35" s="617"/>
      <c r="AD35" s="557" t="s">
        <v>1364</v>
      </c>
      <c r="AE35" s="557" t="s">
        <v>1513</v>
      </c>
      <c r="AF35" s="558" t="s">
        <v>1512</v>
      </c>
    </row>
    <row r="39" spans="21:32" ht="18" customHeight="1">
      <c r="U39" s="1054"/>
      <c r="V39" s="1055"/>
      <c r="W39" s="1055"/>
      <c r="X39" s="1055"/>
      <c r="Y39" s="1055"/>
      <c r="Z39" s="1055"/>
      <c r="AA39" s="1055"/>
      <c r="AB39" s="1055"/>
      <c r="AC39" s="1055"/>
      <c r="AD39" s="597"/>
      <c r="AE39" s="597"/>
      <c r="AF39" s="597"/>
    </row>
    <row r="40" spans="21:32">
      <c r="U40" s="1054"/>
      <c r="V40" s="1056"/>
      <c r="W40" s="1055"/>
      <c r="X40" s="1055"/>
      <c r="Y40" s="1055"/>
      <c r="Z40" s="1055"/>
      <c r="AA40" s="1055"/>
      <c r="AB40" s="1055"/>
      <c r="AC40" s="1055"/>
      <c r="AD40" s="597"/>
      <c r="AE40" s="597"/>
      <c r="AF40" s="597"/>
    </row>
    <row r="41" spans="21:32">
      <c r="U41" s="1054"/>
      <c r="V41" s="1056"/>
      <c r="W41" s="1055"/>
      <c r="X41" s="1055"/>
      <c r="Y41" s="1055"/>
      <c r="Z41" s="1055"/>
      <c r="AA41" s="1055"/>
      <c r="AB41" s="1055"/>
      <c r="AC41" s="1055"/>
      <c r="AD41" s="597"/>
      <c r="AE41" s="597"/>
      <c r="AF41" s="597"/>
    </row>
    <row r="42" spans="21:32">
      <c r="U42" s="1054"/>
      <c r="V42" s="1056"/>
      <c r="W42" s="1055"/>
      <c r="X42" s="1055"/>
      <c r="Y42" s="1055"/>
      <c r="Z42" s="1055"/>
      <c r="AA42" s="1055"/>
      <c r="AB42" s="1055"/>
      <c r="AC42" s="1055"/>
      <c r="AD42" s="597"/>
      <c r="AE42" s="597"/>
      <c r="AF42" s="597"/>
    </row>
  </sheetData>
  <mergeCells count="100">
    <mergeCell ref="M4:M5"/>
    <mergeCell ref="N4:N5"/>
    <mergeCell ref="O4:O5"/>
    <mergeCell ref="P4:R5"/>
    <mergeCell ref="A4:A5"/>
    <mergeCell ref="B4:C5"/>
    <mergeCell ref="D4:E5"/>
    <mergeCell ref="F4:I5"/>
    <mergeCell ref="J4:J5"/>
    <mergeCell ref="K4:K5"/>
    <mergeCell ref="B6:C6"/>
    <mergeCell ref="D6:E6"/>
    <mergeCell ref="F6:I6"/>
    <mergeCell ref="P6:R6"/>
    <mergeCell ref="B7:C7"/>
    <mergeCell ref="D7:E7"/>
    <mergeCell ref="F7:I7"/>
    <mergeCell ref="P7:R7"/>
    <mergeCell ref="P8:R8"/>
    <mergeCell ref="A9:A10"/>
    <mergeCell ref="B9:C9"/>
    <mergeCell ref="D9:E9"/>
    <mergeCell ref="F9:I9"/>
    <mergeCell ref="J9:J10"/>
    <mergeCell ref="K9:K10"/>
    <mergeCell ref="P9:R10"/>
    <mergeCell ref="B10:C10"/>
    <mergeCell ref="D10:E10"/>
    <mergeCell ref="F10:I10"/>
    <mergeCell ref="B16:C16"/>
    <mergeCell ref="D16:E16"/>
    <mergeCell ref="F16:I16"/>
    <mergeCell ref="B8:C8"/>
    <mergeCell ref="D8:E8"/>
    <mergeCell ref="F8:I8"/>
    <mergeCell ref="P16:R16"/>
    <mergeCell ref="B13:C13"/>
    <mergeCell ref="D13:E13"/>
    <mergeCell ref="F20:I20"/>
    <mergeCell ref="B17:C17"/>
    <mergeCell ref="D17:E17"/>
    <mergeCell ref="F17:I17"/>
    <mergeCell ref="P17:R17"/>
    <mergeCell ref="F13:I13"/>
    <mergeCell ref="D14:E14"/>
    <mergeCell ref="D15:E15"/>
    <mergeCell ref="F15:I15"/>
    <mergeCell ref="P14:R15"/>
    <mergeCell ref="F14:I14"/>
    <mergeCell ref="K18:K19"/>
    <mergeCell ref="P18:R19"/>
    <mergeCell ref="X42:AC42"/>
    <mergeCell ref="U32:U35"/>
    <mergeCell ref="V32:W32"/>
    <mergeCell ref="X32:AC32"/>
    <mergeCell ref="V33:W33"/>
    <mergeCell ref="X33:AC33"/>
    <mergeCell ref="V34:W34"/>
    <mergeCell ref="X34:AC34"/>
    <mergeCell ref="V35:W35"/>
    <mergeCell ref="X35:AC35"/>
    <mergeCell ref="X39:AC39"/>
    <mergeCell ref="V40:W40"/>
    <mergeCell ref="X40:AC40"/>
    <mergeCell ref="V41:W41"/>
    <mergeCell ref="X41:AC41"/>
    <mergeCell ref="A14:A15"/>
    <mergeCell ref="B14:C14"/>
    <mergeCell ref="B15:C15"/>
    <mergeCell ref="U39:U42"/>
    <mergeCell ref="V39:W39"/>
    <mergeCell ref="V42:W42"/>
    <mergeCell ref="P20:R21"/>
    <mergeCell ref="B21:C21"/>
    <mergeCell ref="D21:E21"/>
    <mergeCell ref="F21:I21"/>
    <mergeCell ref="B22:C22"/>
    <mergeCell ref="D22:E22"/>
    <mergeCell ref="F22:I22"/>
    <mergeCell ref="A20:A21"/>
    <mergeCell ref="B20:C20"/>
    <mergeCell ref="D20:E20"/>
    <mergeCell ref="A11:A13"/>
    <mergeCell ref="P11:R13"/>
    <mergeCell ref="J11:J13"/>
    <mergeCell ref="K11:K13"/>
    <mergeCell ref="B12:C12"/>
    <mergeCell ref="D12:E12"/>
    <mergeCell ref="F12:I12"/>
    <mergeCell ref="B11:C11"/>
    <mergeCell ref="D11:E11"/>
    <mergeCell ref="F11:I11"/>
    <mergeCell ref="A18:A19"/>
    <mergeCell ref="B18:C18"/>
    <mergeCell ref="D18:E18"/>
    <mergeCell ref="F18:I18"/>
    <mergeCell ref="J18:J19"/>
    <mergeCell ref="B19:C19"/>
    <mergeCell ref="D19:E19"/>
    <mergeCell ref="F19:I19"/>
  </mergeCells>
  <phoneticPr fontId="11"/>
  <printOptions horizontalCentered="1"/>
  <pageMargins left="0.11811023622047245" right="0.19685039370078741" top="0.59055118110236227" bottom="0.11811023622047245" header="0.11811023622047245" footer="0.11811023622047245"/>
  <pageSetup paperSize="9" scale="75" orientation="landscape" horizontalDpi="300" verticalDpi="3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7EB9-1C4C-42B7-AD7A-7878075ABCA9}">
  <sheetPr>
    <tabColor rgb="FF00B050"/>
  </sheetPr>
  <dimension ref="A1:AI108"/>
  <sheetViews>
    <sheetView view="pageBreakPreview" topLeftCell="A64" zoomScale="85" zoomScaleNormal="100" zoomScaleSheetLayoutView="85" workbookViewId="0">
      <selection activeCell="R38" sqref="R38:T39"/>
    </sheetView>
  </sheetViews>
  <sheetFormatPr defaultColWidth="9" defaultRowHeight="18"/>
  <cols>
    <col min="1" max="1" width="5.69921875" style="1" customWidth="1"/>
    <col min="2" max="3" width="7.59765625" style="1" customWidth="1"/>
    <col min="4" max="5" width="5.5" style="1" customWidth="1"/>
    <col min="6" max="8" width="7.59765625" style="1" customWidth="1"/>
    <col min="9" max="9" width="4.8984375" style="1" customWidth="1"/>
    <col min="10" max="10" width="0" style="1" hidden="1" customWidth="1"/>
    <col min="11" max="11" width="40.8984375" style="1" customWidth="1"/>
    <col min="12" max="12" width="7.19921875" style="1" hidden="1" customWidth="1"/>
    <col min="13" max="13" width="28" style="1" customWidth="1"/>
    <col min="14" max="14" width="7.59765625" style="1" customWidth="1"/>
    <col min="15" max="16" width="5.69921875" style="1" customWidth="1"/>
    <col min="17" max="17" width="9.19921875" style="1" customWidth="1"/>
    <col min="18" max="20" width="7.59765625" style="1" customWidth="1"/>
    <col min="21" max="16384" width="9" style="1"/>
  </cols>
  <sheetData>
    <row r="1" spans="1:20" ht="18.75" customHeight="1">
      <c r="A1" s="262" t="s">
        <v>232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18"/>
      <c r="S1" s="39"/>
      <c r="T1" s="39"/>
    </row>
    <row r="2" spans="1:20" ht="18.75" customHeight="1">
      <c r="A2" s="265" t="s">
        <v>1101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1:20" ht="15" customHeight="1">
      <c r="A3" s="49" t="s">
        <v>366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39" t="s">
        <v>983</v>
      </c>
      <c r="T3" s="49"/>
    </row>
    <row r="4" spans="1:20" ht="15" customHeight="1">
      <c r="A4" s="710" t="s">
        <v>2</v>
      </c>
      <c r="B4" s="712" t="s">
        <v>3</v>
      </c>
      <c r="C4" s="712"/>
      <c r="D4" s="650" t="s">
        <v>4</v>
      </c>
      <c r="E4" s="650"/>
      <c r="F4" s="712" t="s">
        <v>5</v>
      </c>
      <c r="G4" s="712"/>
      <c r="H4" s="712"/>
      <c r="I4" s="712"/>
      <c r="J4" s="650" t="s">
        <v>103</v>
      </c>
      <c r="K4" s="715" t="s">
        <v>6</v>
      </c>
      <c r="L4" s="715" t="s">
        <v>104</v>
      </c>
      <c r="M4" s="766" t="s">
        <v>105</v>
      </c>
      <c r="N4" s="185" t="s">
        <v>407</v>
      </c>
      <c r="O4" s="696" t="s">
        <v>1095</v>
      </c>
      <c r="P4" s="716" t="s">
        <v>1096</v>
      </c>
      <c r="Q4" s="715" t="s">
        <v>1097</v>
      </c>
      <c r="R4" s="674" t="s">
        <v>8</v>
      </c>
      <c r="S4" s="675"/>
      <c r="T4" s="676"/>
    </row>
    <row r="5" spans="1:20" ht="15" customHeight="1">
      <c r="A5" s="711"/>
      <c r="B5" s="712"/>
      <c r="C5" s="712"/>
      <c r="D5" s="650"/>
      <c r="E5" s="650"/>
      <c r="F5" s="712"/>
      <c r="G5" s="712"/>
      <c r="H5" s="712"/>
      <c r="I5" s="712"/>
      <c r="J5" s="650"/>
      <c r="K5" s="715"/>
      <c r="L5" s="715"/>
      <c r="M5" s="767"/>
      <c r="N5" s="186" t="s">
        <v>410</v>
      </c>
      <c r="O5" s="706"/>
      <c r="P5" s="717"/>
      <c r="Q5" s="715"/>
      <c r="R5" s="674"/>
      <c r="S5" s="675"/>
      <c r="T5" s="676"/>
    </row>
    <row r="6" spans="1:20" ht="16.2" customHeight="1">
      <c r="A6" s="60" t="s">
        <v>233</v>
      </c>
      <c r="B6" s="650" t="s">
        <v>211</v>
      </c>
      <c r="C6" s="650"/>
      <c r="D6" s="650" t="s">
        <v>72</v>
      </c>
      <c r="E6" s="650"/>
      <c r="F6" s="651" t="s">
        <v>234</v>
      </c>
      <c r="G6" s="651"/>
      <c r="H6" s="651"/>
      <c r="I6" s="651"/>
      <c r="J6" s="15"/>
      <c r="K6" s="544" t="s">
        <v>1318</v>
      </c>
      <c r="L6" s="32"/>
      <c r="M6" s="32" t="s">
        <v>1037</v>
      </c>
      <c r="N6" s="97" t="s">
        <v>436</v>
      </c>
      <c r="O6" s="97">
        <v>200</v>
      </c>
      <c r="P6" s="97">
        <v>1</v>
      </c>
      <c r="Q6" s="356" t="s">
        <v>1102</v>
      </c>
      <c r="R6" s="660" t="s">
        <v>235</v>
      </c>
      <c r="S6" s="660"/>
      <c r="T6" s="660"/>
    </row>
    <row r="7" spans="1:20" ht="16.2" customHeight="1">
      <c r="A7" s="60" t="s">
        <v>22</v>
      </c>
      <c r="B7" s="650" t="s">
        <v>236</v>
      </c>
      <c r="C7" s="650"/>
      <c r="D7" s="650" t="s">
        <v>179</v>
      </c>
      <c r="E7" s="650"/>
      <c r="F7" s="651" t="s">
        <v>237</v>
      </c>
      <c r="G7" s="651"/>
      <c r="H7" s="651"/>
      <c r="I7" s="651"/>
      <c r="J7" s="15">
        <v>1000</v>
      </c>
      <c r="K7" s="32" t="s">
        <v>1319</v>
      </c>
      <c r="L7" s="32"/>
      <c r="M7" s="32"/>
      <c r="N7" s="122" t="s">
        <v>425</v>
      </c>
      <c r="O7" s="122">
        <v>100</v>
      </c>
      <c r="P7" s="122">
        <v>1</v>
      </c>
      <c r="Q7" s="122">
        <v>2100</v>
      </c>
      <c r="R7" s="660" t="s">
        <v>238</v>
      </c>
      <c r="S7" s="660"/>
      <c r="T7" s="660"/>
    </row>
    <row r="8" spans="1:20" ht="16.2" customHeight="1">
      <c r="A8" s="60" t="s">
        <v>239</v>
      </c>
      <c r="B8" s="650" t="s">
        <v>178</v>
      </c>
      <c r="C8" s="650"/>
      <c r="D8" s="650" t="s">
        <v>240</v>
      </c>
      <c r="E8" s="650"/>
      <c r="F8" s="620" t="s">
        <v>1418</v>
      </c>
      <c r="G8" s="621"/>
      <c r="H8" s="621"/>
      <c r="I8" s="622"/>
      <c r="J8" s="15">
        <v>401</v>
      </c>
      <c r="K8" s="315" t="s">
        <v>1320</v>
      </c>
      <c r="L8" s="32"/>
      <c r="M8" s="32" t="s">
        <v>1038</v>
      </c>
      <c r="N8" s="122" t="s">
        <v>425</v>
      </c>
      <c r="O8" s="122">
        <v>150</v>
      </c>
      <c r="P8" s="122">
        <v>1</v>
      </c>
      <c r="Q8" s="122">
        <v>6150</v>
      </c>
      <c r="R8" s="660" t="s">
        <v>241</v>
      </c>
      <c r="S8" s="660"/>
      <c r="T8" s="660"/>
    </row>
    <row r="9" spans="1:20" ht="16.2" customHeight="1">
      <c r="A9" s="973" t="s">
        <v>242</v>
      </c>
      <c r="B9" s="661" t="s">
        <v>10</v>
      </c>
      <c r="C9" s="661"/>
      <c r="D9" s="661" t="s">
        <v>17</v>
      </c>
      <c r="E9" s="661"/>
      <c r="F9" s="659" t="s">
        <v>243</v>
      </c>
      <c r="G9" s="659"/>
      <c r="H9" s="659"/>
      <c r="I9" s="659"/>
      <c r="J9" s="8">
        <v>2999</v>
      </c>
      <c r="K9" s="654" t="s">
        <v>1317</v>
      </c>
      <c r="L9" s="50"/>
      <c r="M9" s="1023" t="s">
        <v>1182</v>
      </c>
      <c r="N9" s="1140"/>
      <c r="O9" s="346">
        <v>150</v>
      </c>
      <c r="P9" s="346">
        <v>1</v>
      </c>
      <c r="Q9" s="346">
        <v>8150</v>
      </c>
      <c r="R9" s="660" t="s">
        <v>244</v>
      </c>
      <c r="S9" s="660"/>
      <c r="T9" s="660"/>
    </row>
    <row r="10" spans="1:20" ht="16.2" customHeight="1">
      <c r="A10" s="973"/>
      <c r="B10" s="661" t="s">
        <v>13</v>
      </c>
      <c r="C10" s="661"/>
      <c r="D10" s="661" t="s">
        <v>17</v>
      </c>
      <c r="E10" s="661"/>
      <c r="F10" s="659" t="s">
        <v>245</v>
      </c>
      <c r="G10" s="659"/>
      <c r="H10" s="659"/>
      <c r="I10" s="659"/>
      <c r="J10" s="8"/>
      <c r="K10" s="655"/>
      <c r="L10" s="51"/>
      <c r="M10" s="1025"/>
      <c r="N10" s="1141"/>
      <c r="O10" s="347"/>
      <c r="P10" s="347"/>
      <c r="Q10" s="347"/>
      <c r="R10" s="660"/>
      <c r="S10" s="660"/>
      <c r="T10" s="660"/>
    </row>
    <row r="11" spans="1:20" ht="16.2" customHeight="1">
      <c r="A11" s="973" t="s">
        <v>184</v>
      </c>
      <c r="B11" s="661" t="s">
        <v>10</v>
      </c>
      <c r="C11" s="661"/>
      <c r="D11" s="661" t="s">
        <v>17</v>
      </c>
      <c r="E11" s="661"/>
      <c r="F11" s="659" t="s">
        <v>246</v>
      </c>
      <c r="G11" s="659"/>
      <c r="H11" s="659"/>
      <c r="I11" s="659"/>
      <c r="J11" s="8">
        <v>3000</v>
      </c>
      <c r="K11" s="654" t="s">
        <v>1321</v>
      </c>
      <c r="L11" s="50"/>
      <c r="M11" s="802"/>
      <c r="N11" s="1114"/>
      <c r="O11" s="348">
        <v>100</v>
      </c>
      <c r="P11" s="348">
        <v>1</v>
      </c>
      <c r="Q11" s="348">
        <v>4100</v>
      </c>
      <c r="R11" s="660" t="s">
        <v>247</v>
      </c>
      <c r="S11" s="660"/>
      <c r="T11" s="660"/>
    </row>
    <row r="12" spans="1:20" ht="16.2" customHeight="1">
      <c r="A12" s="973"/>
      <c r="B12" s="661" t="s">
        <v>13</v>
      </c>
      <c r="C12" s="661"/>
      <c r="D12" s="661" t="s">
        <v>11</v>
      </c>
      <c r="E12" s="661"/>
      <c r="F12" s="659" t="s">
        <v>21</v>
      </c>
      <c r="G12" s="659"/>
      <c r="H12" s="659"/>
      <c r="I12" s="659"/>
      <c r="J12" s="8"/>
      <c r="K12" s="655"/>
      <c r="L12" s="51"/>
      <c r="M12" s="803"/>
      <c r="N12" s="1115"/>
      <c r="O12" s="349"/>
      <c r="P12" s="349"/>
      <c r="Q12" s="349"/>
      <c r="R12" s="660"/>
      <c r="S12" s="660"/>
      <c r="T12" s="660"/>
    </row>
    <row r="13" spans="1:20" ht="16.2" customHeight="1">
      <c r="A13" s="973" t="s">
        <v>117</v>
      </c>
      <c r="B13" s="661" t="s">
        <v>35</v>
      </c>
      <c r="C13" s="661"/>
      <c r="D13" s="661" t="s">
        <v>11</v>
      </c>
      <c r="E13" s="661"/>
      <c r="F13" s="699" t="s">
        <v>118</v>
      </c>
      <c r="G13" s="699"/>
      <c r="H13" s="699"/>
      <c r="I13" s="699"/>
      <c r="J13" s="8">
        <v>900</v>
      </c>
      <c r="K13" s="654"/>
      <c r="L13" s="50"/>
      <c r="M13" s="702" t="s">
        <v>37</v>
      </c>
      <c r="N13" s="1114"/>
      <c r="O13" s="348">
        <v>100</v>
      </c>
      <c r="P13" s="348">
        <v>1</v>
      </c>
      <c r="Q13" s="348">
        <v>2600</v>
      </c>
      <c r="R13" s="660" t="s">
        <v>38</v>
      </c>
      <c r="S13" s="660"/>
      <c r="T13" s="660"/>
    </row>
    <row r="14" spans="1:20" ht="16.2" customHeight="1">
      <c r="A14" s="973"/>
      <c r="B14" s="661" t="s">
        <v>119</v>
      </c>
      <c r="C14" s="661"/>
      <c r="D14" s="661" t="s">
        <v>11</v>
      </c>
      <c r="E14" s="661"/>
      <c r="F14" s="699" t="s">
        <v>120</v>
      </c>
      <c r="G14" s="699"/>
      <c r="H14" s="699"/>
      <c r="I14" s="699"/>
      <c r="J14" s="8"/>
      <c r="K14" s="655"/>
      <c r="L14" s="51"/>
      <c r="M14" s="691"/>
      <c r="N14" s="1115"/>
      <c r="O14" s="349"/>
      <c r="P14" s="349"/>
      <c r="Q14" s="349"/>
      <c r="R14" s="660"/>
      <c r="S14" s="660"/>
      <c r="T14" s="660"/>
    </row>
    <row r="15" spans="1:20" ht="16.2" customHeight="1">
      <c r="A15" s="60" t="s">
        <v>248</v>
      </c>
      <c r="B15" s="650" t="s">
        <v>147</v>
      </c>
      <c r="C15" s="650"/>
      <c r="D15" s="650" t="s">
        <v>49</v>
      </c>
      <c r="E15" s="650"/>
      <c r="F15" s="651" t="s">
        <v>249</v>
      </c>
      <c r="G15" s="651"/>
      <c r="H15" s="651"/>
      <c r="I15" s="651"/>
      <c r="J15" s="15">
        <v>7000</v>
      </c>
      <c r="K15" s="32" t="s">
        <v>1565</v>
      </c>
      <c r="L15" s="32"/>
      <c r="M15" s="613" t="s">
        <v>1566</v>
      </c>
      <c r="N15" s="97" t="s">
        <v>470</v>
      </c>
      <c r="O15" s="97">
        <v>200</v>
      </c>
      <c r="P15" s="97">
        <v>1</v>
      </c>
      <c r="Q15" s="97">
        <v>15200</v>
      </c>
      <c r="R15" s="660" t="s">
        <v>251</v>
      </c>
      <c r="S15" s="660"/>
      <c r="T15" s="660"/>
    </row>
    <row r="16" spans="1:20" ht="16.2" customHeight="1">
      <c r="A16" s="1135" t="s">
        <v>155</v>
      </c>
      <c r="B16" s="661" t="s">
        <v>79</v>
      </c>
      <c r="C16" s="661"/>
      <c r="D16" s="661" t="s">
        <v>11</v>
      </c>
      <c r="E16" s="661"/>
      <c r="F16" s="659" t="s">
        <v>252</v>
      </c>
      <c r="G16" s="659"/>
      <c r="H16" s="659"/>
      <c r="I16" s="659"/>
      <c r="J16" s="8">
        <v>1200</v>
      </c>
      <c r="K16" s="654" t="s">
        <v>1104</v>
      </c>
      <c r="L16" s="50"/>
      <c r="M16" s="802"/>
      <c r="N16" s="1114"/>
      <c r="O16" s="350">
        <v>100</v>
      </c>
      <c r="P16" s="350">
        <v>1</v>
      </c>
      <c r="Q16" s="350">
        <v>1600</v>
      </c>
      <c r="R16" s="656" t="s">
        <v>253</v>
      </c>
      <c r="S16" s="657"/>
      <c r="T16" s="658"/>
    </row>
    <row r="17" spans="1:20" ht="16.2" customHeight="1">
      <c r="A17" s="1136"/>
      <c r="B17" s="700" t="s">
        <v>81</v>
      </c>
      <c r="C17" s="701"/>
      <c r="D17" s="661" t="s">
        <v>11</v>
      </c>
      <c r="E17" s="661"/>
      <c r="F17" s="769" t="s">
        <v>254</v>
      </c>
      <c r="G17" s="770"/>
      <c r="H17" s="770"/>
      <c r="I17" s="771"/>
      <c r="J17" s="8">
        <v>1200</v>
      </c>
      <c r="K17" s="1116"/>
      <c r="L17" s="53"/>
      <c r="M17" s="1117"/>
      <c r="N17" s="1118"/>
      <c r="O17" s="351"/>
      <c r="P17" s="351"/>
      <c r="Q17" s="351"/>
      <c r="R17" s="631"/>
      <c r="S17" s="632"/>
      <c r="T17" s="633"/>
    </row>
    <row r="18" spans="1:20" ht="16.2" customHeight="1">
      <c r="A18" s="1137"/>
      <c r="B18" s="700" t="s">
        <v>131</v>
      </c>
      <c r="C18" s="701"/>
      <c r="D18" s="661" t="s">
        <v>11</v>
      </c>
      <c r="E18" s="661"/>
      <c r="F18" s="769" t="s">
        <v>255</v>
      </c>
      <c r="G18" s="770"/>
      <c r="H18" s="770"/>
      <c r="I18" s="771"/>
      <c r="J18" s="8">
        <v>1201</v>
      </c>
      <c r="K18" s="655"/>
      <c r="L18" s="51"/>
      <c r="M18" s="803"/>
      <c r="N18" s="1115"/>
      <c r="O18" s="352"/>
      <c r="P18" s="352"/>
      <c r="Q18" s="352"/>
      <c r="R18" s="634"/>
      <c r="S18" s="635"/>
      <c r="T18" s="636"/>
    </row>
    <row r="19" spans="1:20" ht="15.6" customHeight="1">
      <c r="A19" s="718" t="s">
        <v>256</v>
      </c>
      <c r="B19" s="661" t="s">
        <v>1560</v>
      </c>
      <c r="C19" s="661"/>
      <c r="D19" s="661" t="s">
        <v>49</v>
      </c>
      <c r="E19" s="661"/>
      <c r="F19" s="659" t="s">
        <v>1561</v>
      </c>
      <c r="G19" s="659"/>
      <c r="H19" s="659"/>
      <c r="I19" s="659"/>
      <c r="J19" s="15">
        <v>1200</v>
      </c>
      <c r="K19" s="654" t="s">
        <v>1322</v>
      </c>
      <c r="L19" s="32"/>
      <c r="M19" s="1142" t="s">
        <v>1327</v>
      </c>
      <c r="N19" s="722" t="s">
        <v>425</v>
      </c>
      <c r="O19" s="610">
        <v>100</v>
      </c>
      <c r="P19" s="722">
        <v>1</v>
      </c>
      <c r="Q19" s="611">
        <v>4100</v>
      </c>
      <c r="R19" s="656" t="s">
        <v>258</v>
      </c>
      <c r="S19" s="657"/>
      <c r="T19" s="658"/>
    </row>
    <row r="20" spans="1:20" ht="15" customHeight="1">
      <c r="A20" s="665"/>
      <c r="B20" s="661" t="s">
        <v>262</v>
      </c>
      <c r="C20" s="661"/>
      <c r="D20" s="661" t="s">
        <v>49</v>
      </c>
      <c r="E20" s="661"/>
      <c r="F20" s="659" t="s">
        <v>1559</v>
      </c>
      <c r="G20" s="659"/>
      <c r="H20" s="659"/>
      <c r="I20" s="659"/>
      <c r="J20" s="23"/>
      <c r="K20" s="655"/>
      <c r="L20" s="52"/>
      <c r="M20" s="1143"/>
      <c r="N20" s="723"/>
      <c r="O20" s="603"/>
      <c r="P20" s="723"/>
      <c r="Q20" s="612"/>
      <c r="R20" s="634"/>
      <c r="S20" s="635"/>
      <c r="T20" s="636"/>
    </row>
    <row r="21" spans="1:20" ht="16.2" customHeight="1">
      <c r="A21" s="665" t="s">
        <v>259</v>
      </c>
      <c r="B21" s="637" t="s">
        <v>260</v>
      </c>
      <c r="C21" s="637"/>
      <c r="D21" s="637" t="s">
        <v>14</v>
      </c>
      <c r="E21" s="637"/>
      <c r="F21" s="653" t="s">
        <v>1558</v>
      </c>
      <c r="G21" s="653"/>
      <c r="H21" s="653"/>
      <c r="I21" s="653"/>
      <c r="J21" s="14">
        <v>7002</v>
      </c>
      <c r="K21" s="654" t="s">
        <v>1039</v>
      </c>
      <c r="L21" s="50"/>
      <c r="M21" s="802"/>
      <c r="N21" s="1114"/>
      <c r="O21" s="353">
        <v>150</v>
      </c>
      <c r="P21" s="353">
        <v>1</v>
      </c>
      <c r="Q21" s="353">
        <v>8150</v>
      </c>
      <c r="R21" s="708" t="s">
        <v>261</v>
      </c>
      <c r="S21" s="708"/>
      <c r="T21" s="708"/>
    </row>
    <row r="22" spans="1:20" ht="16.2" customHeight="1">
      <c r="A22" s="718"/>
      <c r="B22" s="1134" t="s">
        <v>262</v>
      </c>
      <c r="C22" s="1134"/>
      <c r="D22" s="1134" t="s">
        <v>14</v>
      </c>
      <c r="E22" s="1134"/>
      <c r="F22" s="1120" t="s">
        <v>263</v>
      </c>
      <c r="G22" s="1120"/>
      <c r="H22" s="1120"/>
      <c r="I22" s="1120"/>
      <c r="J22" s="26">
        <v>7001</v>
      </c>
      <c r="K22" s="655"/>
      <c r="L22" s="53"/>
      <c r="M22" s="803"/>
      <c r="N22" s="1115"/>
      <c r="O22" s="353"/>
      <c r="P22" s="353"/>
      <c r="Q22" s="353"/>
      <c r="R22" s="698"/>
      <c r="S22" s="698"/>
      <c r="T22" s="698"/>
    </row>
    <row r="23" spans="1:20" ht="16.2" customHeight="1">
      <c r="A23" s="973" t="s">
        <v>127</v>
      </c>
      <c r="B23" s="661" t="s">
        <v>199</v>
      </c>
      <c r="C23" s="661"/>
      <c r="D23" s="661" t="s">
        <v>1098</v>
      </c>
      <c r="E23" s="661"/>
      <c r="F23" s="659" t="s">
        <v>1099</v>
      </c>
      <c r="G23" s="659"/>
      <c r="H23" s="659"/>
      <c r="I23" s="659"/>
      <c r="J23" s="8"/>
      <c r="K23" s="654"/>
      <c r="L23" s="50"/>
      <c r="M23" s="702" t="s">
        <v>420</v>
      </c>
      <c r="N23" s="1114"/>
      <c r="O23" s="348">
        <v>100</v>
      </c>
      <c r="P23" s="348">
        <v>1</v>
      </c>
      <c r="Q23" s="348">
        <v>950</v>
      </c>
      <c r="R23" s="660" t="s">
        <v>266</v>
      </c>
      <c r="S23" s="660"/>
      <c r="T23" s="660"/>
    </row>
    <row r="24" spans="1:20" ht="16.2" customHeight="1" thickBot="1">
      <c r="A24" s="1127"/>
      <c r="B24" s="979" t="s">
        <v>202</v>
      </c>
      <c r="C24" s="979"/>
      <c r="D24" s="979" t="s">
        <v>11</v>
      </c>
      <c r="E24" s="979"/>
      <c r="F24" s="695" t="s">
        <v>1100</v>
      </c>
      <c r="G24" s="695"/>
      <c r="H24" s="695"/>
      <c r="I24" s="695"/>
      <c r="J24" s="24"/>
      <c r="K24" s="1128"/>
      <c r="L24" s="55"/>
      <c r="M24" s="691"/>
      <c r="N24" s="1129"/>
      <c r="O24" s="354"/>
      <c r="P24" s="354"/>
      <c r="Q24" s="354"/>
      <c r="R24" s="692"/>
      <c r="S24" s="692"/>
      <c r="T24" s="692"/>
    </row>
    <row r="25" spans="1:20" ht="16.2" customHeight="1" thickTop="1">
      <c r="A25" s="718" t="s">
        <v>66</v>
      </c>
      <c r="B25" s="637" t="s">
        <v>10</v>
      </c>
      <c r="C25" s="637"/>
      <c r="D25" s="638" t="s">
        <v>14</v>
      </c>
      <c r="E25" s="639"/>
      <c r="F25" s="662" t="s">
        <v>80</v>
      </c>
      <c r="G25" s="663"/>
      <c r="H25" s="663"/>
      <c r="I25" s="663"/>
      <c r="J25" s="13"/>
      <c r="K25" s="1121" t="s">
        <v>1329</v>
      </c>
      <c r="L25" s="54"/>
      <c r="M25" s="1124" t="s">
        <v>1090</v>
      </c>
      <c r="N25" s="1126"/>
      <c r="O25" s="351">
        <v>100</v>
      </c>
      <c r="P25" s="351">
        <v>1</v>
      </c>
      <c r="Q25" s="351">
        <v>1600</v>
      </c>
      <c r="R25" s="656" t="s">
        <v>267</v>
      </c>
      <c r="S25" s="657"/>
      <c r="T25" s="658"/>
    </row>
    <row r="26" spans="1:20" ht="16.2" customHeight="1">
      <c r="A26" s="664"/>
      <c r="B26" s="637" t="s">
        <v>81</v>
      </c>
      <c r="C26" s="637"/>
      <c r="D26" s="638" t="s">
        <v>14</v>
      </c>
      <c r="E26" s="639"/>
      <c r="F26" s="662" t="s">
        <v>82</v>
      </c>
      <c r="G26" s="663"/>
      <c r="H26" s="663"/>
      <c r="I26" s="663"/>
      <c r="J26" s="13"/>
      <c r="K26" s="1122"/>
      <c r="L26" s="53"/>
      <c r="M26" s="1125"/>
      <c r="N26" s="1118"/>
      <c r="O26" s="351"/>
      <c r="P26" s="351"/>
      <c r="Q26" s="351"/>
      <c r="R26" s="631"/>
      <c r="S26" s="632"/>
      <c r="T26" s="633"/>
    </row>
    <row r="27" spans="1:20" ht="16.2" customHeight="1">
      <c r="A27" s="665"/>
      <c r="B27" s="661" t="s">
        <v>131</v>
      </c>
      <c r="C27" s="661"/>
      <c r="D27" s="661" t="s">
        <v>11</v>
      </c>
      <c r="E27" s="661"/>
      <c r="F27" s="699" t="s">
        <v>268</v>
      </c>
      <c r="G27" s="699"/>
      <c r="H27" s="699"/>
      <c r="I27" s="699"/>
      <c r="J27" s="13"/>
      <c r="K27" s="1123"/>
      <c r="L27" s="51"/>
      <c r="M27" s="1028"/>
      <c r="N27" s="1115"/>
      <c r="O27" s="352"/>
      <c r="P27" s="352"/>
      <c r="Q27" s="352"/>
      <c r="R27" s="634"/>
      <c r="S27" s="635"/>
      <c r="T27" s="636"/>
    </row>
    <row r="28" spans="1:20" ht="16.2" customHeight="1">
      <c r="A28" s="718" t="s">
        <v>269</v>
      </c>
      <c r="B28" s="637" t="s">
        <v>10</v>
      </c>
      <c r="C28" s="637"/>
      <c r="D28" s="638" t="s">
        <v>17</v>
      </c>
      <c r="E28" s="639"/>
      <c r="F28" s="662" t="s">
        <v>1185</v>
      </c>
      <c r="G28" s="663"/>
      <c r="H28" s="663"/>
      <c r="I28" s="663"/>
      <c r="J28" s="13"/>
      <c r="K28" s="1130" t="s">
        <v>1328</v>
      </c>
      <c r="L28" s="50"/>
      <c r="M28" s="37" t="s">
        <v>270</v>
      </c>
      <c r="N28" s="913"/>
      <c r="O28" s="345">
        <v>50</v>
      </c>
      <c r="P28" s="345">
        <v>1</v>
      </c>
      <c r="Q28" s="345">
        <v>400</v>
      </c>
      <c r="R28" s="656" t="s">
        <v>271</v>
      </c>
      <c r="S28" s="657"/>
      <c r="T28" s="658"/>
    </row>
    <row r="29" spans="1:20" ht="16.2" customHeight="1">
      <c r="A29" s="664"/>
      <c r="B29" s="637" t="s">
        <v>81</v>
      </c>
      <c r="C29" s="637"/>
      <c r="D29" s="638" t="s">
        <v>17</v>
      </c>
      <c r="E29" s="639"/>
      <c r="F29" s="662" t="s">
        <v>272</v>
      </c>
      <c r="G29" s="663"/>
      <c r="H29" s="663"/>
      <c r="I29" s="663"/>
      <c r="J29" s="13"/>
      <c r="K29" s="1131"/>
      <c r="L29" s="53"/>
      <c r="M29" s="1023" t="s">
        <v>1041</v>
      </c>
      <c r="N29" s="1133"/>
      <c r="O29" s="355"/>
      <c r="P29" s="355"/>
      <c r="Q29" s="355"/>
      <c r="R29" s="631"/>
      <c r="S29" s="632"/>
      <c r="T29" s="633"/>
    </row>
    <row r="30" spans="1:20" ht="16.2" customHeight="1">
      <c r="A30" s="665"/>
      <c r="B30" s="661" t="s">
        <v>131</v>
      </c>
      <c r="C30" s="661"/>
      <c r="D30" s="661" t="s">
        <v>11</v>
      </c>
      <c r="E30" s="661"/>
      <c r="F30" s="699" t="s">
        <v>273</v>
      </c>
      <c r="G30" s="699"/>
      <c r="H30" s="699"/>
      <c r="I30" s="699"/>
      <c r="J30" s="13"/>
      <c r="K30" s="1132"/>
      <c r="L30" s="51"/>
      <c r="M30" s="1119"/>
      <c r="N30" s="914"/>
      <c r="O30" s="340"/>
      <c r="P30" s="340"/>
      <c r="Q30" s="340"/>
      <c r="R30" s="634"/>
      <c r="S30" s="635"/>
      <c r="T30" s="636"/>
    </row>
    <row r="31" spans="1:20" ht="16.2" customHeight="1">
      <c r="A31" s="718" t="s">
        <v>133</v>
      </c>
      <c r="B31" s="637" t="s">
        <v>134</v>
      </c>
      <c r="C31" s="637"/>
      <c r="D31" s="637" t="s">
        <v>11</v>
      </c>
      <c r="E31" s="637"/>
      <c r="F31" s="653" t="s">
        <v>135</v>
      </c>
      <c r="G31" s="653"/>
      <c r="H31" s="653"/>
      <c r="I31" s="653"/>
      <c r="J31" s="14">
        <v>1000</v>
      </c>
      <c r="K31" s="654" t="s">
        <v>1323</v>
      </c>
      <c r="L31" s="53"/>
      <c r="M31" s="802"/>
      <c r="N31" s="1114"/>
      <c r="O31" s="351">
        <v>100</v>
      </c>
      <c r="P31" s="351">
        <v>1</v>
      </c>
      <c r="Q31" s="351">
        <v>1100</v>
      </c>
      <c r="R31" s="631" t="s">
        <v>274</v>
      </c>
      <c r="S31" s="632"/>
      <c r="T31" s="633"/>
    </row>
    <row r="32" spans="1:20" ht="16.2" customHeight="1">
      <c r="A32" s="664"/>
      <c r="B32" s="661" t="s">
        <v>137</v>
      </c>
      <c r="C32" s="661"/>
      <c r="D32" s="661" t="s">
        <v>11</v>
      </c>
      <c r="E32" s="661"/>
      <c r="F32" s="659" t="s">
        <v>138</v>
      </c>
      <c r="G32" s="659"/>
      <c r="H32" s="659"/>
      <c r="I32" s="659"/>
      <c r="J32" s="8"/>
      <c r="K32" s="1116"/>
      <c r="L32" s="53"/>
      <c r="M32" s="1117"/>
      <c r="N32" s="1118"/>
      <c r="O32" s="351"/>
      <c r="P32" s="351"/>
      <c r="Q32" s="351"/>
      <c r="R32" s="631"/>
      <c r="S32" s="632"/>
      <c r="T32" s="633"/>
    </row>
    <row r="33" spans="1:20" ht="16.2" customHeight="1">
      <c r="A33" s="665"/>
      <c r="B33" s="661" t="s">
        <v>1316</v>
      </c>
      <c r="C33" s="661"/>
      <c r="D33" s="661" t="s">
        <v>139</v>
      </c>
      <c r="E33" s="661"/>
      <c r="F33" s="659" t="s">
        <v>140</v>
      </c>
      <c r="G33" s="659"/>
      <c r="H33" s="659"/>
      <c r="I33" s="659"/>
      <c r="J33" s="8"/>
      <c r="K33" s="655"/>
      <c r="L33" s="51"/>
      <c r="M33" s="803"/>
      <c r="N33" s="1115"/>
      <c r="O33" s="352"/>
      <c r="P33" s="352"/>
      <c r="Q33" s="352"/>
      <c r="R33" s="634"/>
      <c r="S33" s="635"/>
      <c r="T33" s="636"/>
    </row>
    <row r="34" spans="1:20" ht="16.2" customHeight="1">
      <c r="A34" s="718" t="s">
        <v>70</v>
      </c>
      <c r="B34" s="650" t="s">
        <v>81</v>
      </c>
      <c r="C34" s="650"/>
      <c r="D34" s="650" t="s">
        <v>17</v>
      </c>
      <c r="E34" s="650"/>
      <c r="F34" s="651" t="s">
        <v>275</v>
      </c>
      <c r="G34" s="651"/>
      <c r="H34" s="651"/>
      <c r="I34" s="651"/>
      <c r="J34" s="15">
        <v>5000</v>
      </c>
      <c r="K34" s="1076" t="s">
        <v>1324</v>
      </c>
      <c r="L34" s="52"/>
      <c r="M34" s="1023" t="s">
        <v>1042</v>
      </c>
      <c r="N34" s="1144"/>
      <c r="O34" s="338">
        <v>100</v>
      </c>
      <c r="P34" s="338">
        <v>1</v>
      </c>
      <c r="Q34" s="338">
        <v>2100</v>
      </c>
      <c r="R34" s="656" t="s">
        <v>276</v>
      </c>
      <c r="S34" s="657"/>
      <c r="T34" s="658"/>
    </row>
    <row r="35" spans="1:20" ht="16.2" customHeight="1">
      <c r="A35" s="665"/>
      <c r="B35" s="650" t="s">
        <v>131</v>
      </c>
      <c r="C35" s="650"/>
      <c r="D35" s="650" t="s">
        <v>11</v>
      </c>
      <c r="E35" s="650"/>
      <c r="F35" s="651" t="s">
        <v>277</v>
      </c>
      <c r="G35" s="651"/>
      <c r="H35" s="651"/>
      <c r="I35" s="651"/>
      <c r="J35" s="15">
        <v>5001</v>
      </c>
      <c r="K35" s="1077"/>
      <c r="L35" s="43"/>
      <c r="M35" s="1119"/>
      <c r="N35" s="1145"/>
      <c r="O35" s="339"/>
      <c r="P35" s="339"/>
      <c r="Q35" s="339"/>
      <c r="R35" s="634"/>
      <c r="S35" s="635"/>
      <c r="T35" s="636"/>
    </row>
    <row r="36" spans="1:20" ht="16.2" customHeight="1">
      <c r="A36" s="718" t="s">
        <v>278</v>
      </c>
      <c r="B36" s="661" t="s">
        <v>10</v>
      </c>
      <c r="C36" s="661"/>
      <c r="D36" s="661" t="s">
        <v>17</v>
      </c>
      <c r="E36" s="661"/>
      <c r="F36" s="659" t="s">
        <v>279</v>
      </c>
      <c r="G36" s="659"/>
      <c r="H36" s="659"/>
      <c r="I36" s="659"/>
      <c r="J36" s="8">
        <v>700</v>
      </c>
      <c r="K36" s="654" t="s">
        <v>1325</v>
      </c>
      <c r="L36" s="50"/>
      <c r="M36" s="802"/>
      <c r="N36" s="1114"/>
      <c r="O36" s="348">
        <v>100</v>
      </c>
      <c r="P36" s="348">
        <v>1</v>
      </c>
      <c r="Q36" s="348">
        <v>3100</v>
      </c>
      <c r="R36" s="660" t="s">
        <v>280</v>
      </c>
      <c r="S36" s="660"/>
      <c r="T36" s="660"/>
    </row>
    <row r="37" spans="1:20" ht="16.2" customHeight="1">
      <c r="A37" s="665"/>
      <c r="B37" s="661" t="s">
        <v>145</v>
      </c>
      <c r="C37" s="661"/>
      <c r="D37" s="661" t="s">
        <v>17</v>
      </c>
      <c r="E37" s="661"/>
      <c r="F37" s="659" t="s">
        <v>281</v>
      </c>
      <c r="G37" s="659"/>
      <c r="H37" s="659"/>
      <c r="I37" s="659"/>
      <c r="J37" s="8">
        <v>701</v>
      </c>
      <c r="K37" s="655"/>
      <c r="L37" s="51"/>
      <c r="M37" s="803"/>
      <c r="N37" s="1115"/>
      <c r="O37" s="349"/>
      <c r="P37" s="349"/>
      <c r="Q37" s="349"/>
      <c r="R37" s="660"/>
      <c r="S37" s="660"/>
      <c r="T37" s="660"/>
    </row>
    <row r="38" spans="1:20" ht="16.2" customHeight="1">
      <c r="A38" s="718" t="s">
        <v>282</v>
      </c>
      <c r="B38" s="661" t="s">
        <v>10</v>
      </c>
      <c r="C38" s="661"/>
      <c r="D38" s="661" t="s">
        <v>49</v>
      </c>
      <c r="E38" s="661"/>
      <c r="F38" s="659" t="s">
        <v>1570</v>
      </c>
      <c r="G38" s="659"/>
      <c r="H38" s="659"/>
      <c r="I38" s="659"/>
      <c r="J38" s="8">
        <v>698</v>
      </c>
      <c r="K38" s="654"/>
      <c r="L38" s="50"/>
      <c r="M38" s="802"/>
      <c r="N38" s="1114"/>
      <c r="O38" s="348">
        <v>100</v>
      </c>
      <c r="P38" s="348">
        <v>1</v>
      </c>
      <c r="Q38" s="348">
        <v>600</v>
      </c>
      <c r="R38" s="660" t="s">
        <v>265</v>
      </c>
      <c r="S38" s="660"/>
      <c r="T38" s="660"/>
    </row>
    <row r="39" spans="1:20" ht="16.2" customHeight="1">
      <c r="A39" s="665"/>
      <c r="B39" s="661" t="s">
        <v>145</v>
      </c>
      <c r="C39" s="661"/>
      <c r="D39" s="661" t="s">
        <v>43</v>
      </c>
      <c r="E39" s="661"/>
      <c r="F39" s="659" t="s">
        <v>146</v>
      </c>
      <c r="G39" s="659"/>
      <c r="H39" s="659"/>
      <c r="I39" s="659"/>
      <c r="J39" s="8">
        <v>699</v>
      </c>
      <c r="K39" s="655"/>
      <c r="L39" s="51"/>
      <c r="M39" s="803"/>
      <c r="N39" s="1115"/>
      <c r="O39" s="349"/>
      <c r="P39" s="349"/>
      <c r="Q39" s="349"/>
      <c r="R39" s="660"/>
      <c r="S39" s="660"/>
      <c r="T39" s="660"/>
    </row>
    <row r="40" spans="1:20" ht="30" customHeight="1">
      <c r="A40" s="60" t="s">
        <v>283</v>
      </c>
      <c r="B40" s="650" t="s">
        <v>147</v>
      </c>
      <c r="C40" s="650"/>
      <c r="D40" s="650" t="s">
        <v>49</v>
      </c>
      <c r="E40" s="650"/>
      <c r="F40" s="651" t="s">
        <v>284</v>
      </c>
      <c r="G40" s="651"/>
      <c r="H40" s="651"/>
      <c r="I40" s="651"/>
      <c r="J40" s="15">
        <v>5000</v>
      </c>
      <c r="K40" s="291" t="s">
        <v>1330</v>
      </c>
      <c r="L40" s="32"/>
      <c r="M40" s="543" t="s">
        <v>1326</v>
      </c>
      <c r="N40" s="97" t="s">
        <v>704</v>
      </c>
      <c r="O40" s="97">
        <v>100</v>
      </c>
      <c r="P40" s="97">
        <v>1</v>
      </c>
      <c r="Q40" s="356" t="s">
        <v>1103</v>
      </c>
      <c r="R40" s="660" t="s">
        <v>285</v>
      </c>
      <c r="S40" s="660"/>
      <c r="T40" s="660"/>
    </row>
    <row r="41" spans="1:20" ht="16.2" customHeight="1">
      <c r="A41" s="60" t="s">
        <v>78</v>
      </c>
      <c r="B41" s="650" t="s">
        <v>164</v>
      </c>
      <c r="C41" s="650"/>
      <c r="D41" s="650" t="s">
        <v>468</v>
      </c>
      <c r="E41" s="650"/>
      <c r="F41" s="651" t="s">
        <v>1117</v>
      </c>
      <c r="G41" s="651"/>
      <c r="H41" s="651"/>
      <c r="I41" s="651"/>
      <c r="J41" s="15">
        <v>1000</v>
      </c>
      <c r="K41" s="32"/>
      <c r="L41" s="32"/>
      <c r="M41" s="32"/>
      <c r="N41" s="97" t="s">
        <v>425</v>
      </c>
      <c r="O41" s="97">
        <v>100</v>
      </c>
      <c r="P41" s="97">
        <v>1</v>
      </c>
      <c r="Q41" s="97">
        <v>4100</v>
      </c>
      <c r="R41" s="660" t="s">
        <v>287</v>
      </c>
      <c r="S41" s="660"/>
      <c r="T41" s="660"/>
    </row>
    <row r="42" spans="1:20" ht="18" customHeight="1">
      <c r="A42" s="278" t="s">
        <v>1390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</row>
    <row r="43" spans="1:20" ht="18" customHeight="1">
      <c r="A43" s="27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</row>
    <row r="44" spans="1:20" ht="18" customHeight="1">
      <c r="A44" s="27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</row>
    <row r="45" spans="1:20" ht="18" customHeight="1">
      <c r="A45" s="27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</row>
    <row r="46" spans="1:20" ht="16.2" customHeight="1">
      <c r="A46" s="27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</row>
    <row r="47" spans="1:20" ht="18.75" customHeight="1">
      <c r="A47" s="262" t="s">
        <v>232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418"/>
      <c r="S47" s="39"/>
      <c r="T47" s="39"/>
    </row>
    <row r="48" spans="1:20" ht="18.75" customHeight="1">
      <c r="A48" s="297" t="s">
        <v>1444</v>
      </c>
      <c r="B48" s="464"/>
      <c r="C48" s="464"/>
      <c r="D48" s="464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</row>
    <row r="49" spans="1:20" ht="15" customHeight="1">
      <c r="A49" s="49" t="s">
        <v>366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39"/>
      <c r="S49" s="39" t="s">
        <v>983</v>
      </c>
      <c r="T49" s="39"/>
    </row>
    <row r="50" spans="1:20" ht="16.5" customHeight="1">
      <c r="A50" s="710" t="s">
        <v>2</v>
      </c>
      <c r="B50" s="712" t="s">
        <v>3</v>
      </c>
      <c r="C50" s="712"/>
      <c r="D50" s="650" t="s">
        <v>4</v>
      </c>
      <c r="E50" s="650"/>
      <c r="F50" s="712" t="s">
        <v>5</v>
      </c>
      <c r="G50" s="712"/>
      <c r="H50" s="712"/>
      <c r="I50" s="712"/>
      <c r="J50" s="650" t="s">
        <v>103</v>
      </c>
      <c r="K50" s="715" t="s">
        <v>6</v>
      </c>
      <c r="L50" s="715" t="s">
        <v>104</v>
      </c>
      <c r="M50" s="766" t="s">
        <v>105</v>
      </c>
      <c r="N50" s="185" t="s">
        <v>407</v>
      </c>
      <c r="O50" s="696" t="s">
        <v>1095</v>
      </c>
      <c r="P50" s="716" t="s">
        <v>1096</v>
      </c>
      <c r="Q50" s="715" t="s">
        <v>1097</v>
      </c>
      <c r="R50" s="674" t="s">
        <v>8</v>
      </c>
      <c r="S50" s="675"/>
      <c r="T50" s="676"/>
    </row>
    <row r="51" spans="1:20" ht="16.5" customHeight="1">
      <c r="A51" s="711"/>
      <c r="B51" s="712"/>
      <c r="C51" s="712"/>
      <c r="D51" s="650"/>
      <c r="E51" s="650"/>
      <c r="F51" s="712"/>
      <c r="G51" s="712"/>
      <c r="H51" s="712"/>
      <c r="I51" s="712"/>
      <c r="J51" s="650"/>
      <c r="K51" s="715"/>
      <c r="L51" s="715"/>
      <c r="M51" s="767"/>
      <c r="N51" s="186" t="s">
        <v>410</v>
      </c>
      <c r="O51" s="706"/>
      <c r="P51" s="717"/>
      <c r="Q51" s="715"/>
      <c r="R51" s="674"/>
      <c r="S51" s="675"/>
      <c r="T51" s="676"/>
    </row>
    <row r="52" spans="1:20" ht="16.2" customHeight="1">
      <c r="A52" s="60" t="s">
        <v>233</v>
      </c>
      <c r="B52" s="650" t="s">
        <v>211</v>
      </c>
      <c r="C52" s="650"/>
      <c r="D52" s="650" t="s">
        <v>72</v>
      </c>
      <c r="E52" s="650"/>
      <c r="F52" s="651" t="s">
        <v>234</v>
      </c>
      <c r="G52" s="651"/>
      <c r="H52" s="651"/>
      <c r="I52" s="651"/>
      <c r="J52" s="15"/>
      <c r="K52" s="544" t="s">
        <v>1318</v>
      </c>
      <c r="L52" s="32"/>
      <c r="M52" s="32" t="s">
        <v>1037</v>
      </c>
      <c r="N52" s="97" t="s">
        <v>436</v>
      </c>
      <c r="O52" s="97">
        <v>100</v>
      </c>
      <c r="P52" s="97">
        <v>1</v>
      </c>
      <c r="Q52" s="356" t="s">
        <v>1102</v>
      </c>
      <c r="R52" s="660" t="s">
        <v>235</v>
      </c>
      <c r="S52" s="660"/>
      <c r="T52" s="660"/>
    </row>
    <row r="53" spans="1:20" ht="16.2" customHeight="1">
      <c r="A53" s="60" t="s">
        <v>22</v>
      </c>
      <c r="B53" s="650" t="s">
        <v>236</v>
      </c>
      <c r="C53" s="650"/>
      <c r="D53" s="650" t="s">
        <v>179</v>
      </c>
      <c r="E53" s="650"/>
      <c r="F53" s="651" t="s">
        <v>237</v>
      </c>
      <c r="G53" s="651"/>
      <c r="H53" s="651"/>
      <c r="I53" s="651"/>
      <c r="J53" s="15">
        <v>1000</v>
      </c>
      <c r="K53" s="32" t="s">
        <v>1319</v>
      </c>
      <c r="L53" s="32"/>
      <c r="M53" s="32"/>
      <c r="N53" s="122" t="s">
        <v>425</v>
      </c>
      <c r="O53" s="122">
        <v>100</v>
      </c>
      <c r="P53" s="122">
        <v>1</v>
      </c>
      <c r="Q53" s="122">
        <v>2100</v>
      </c>
      <c r="R53" s="660" t="s">
        <v>238</v>
      </c>
      <c r="S53" s="660"/>
      <c r="T53" s="660"/>
    </row>
    <row r="54" spans="1:20" ht="16.2" customHeight="1">
      <c r="A54" s="60" t="s">
        <v>239</v>
      </c>
      <c r="B54" s="650" t="s">
        <v>178</v>
      </c>
      <c r="C54" s="650"/>
      <c r="D54" s="650" t="s">
        <v>240</v>
      </c>
      <c r="E54" s="650"/>
      <c r="F54" s="620" t="s">
        <v>1418</v>
      </c>
      <c r="G54" s="621"/>
      <c r="H54" s="621"/>
      <c r="I54" s="622"/>
      <c r="J54" s="15">
        <v>401</v>
      </c>
      <c r="K54" s="315" t="s">
        <v>1320</v>
      </c>
      <c r="L54" s="32"/>
      <c r="M54" s="32" t="s">
        <v>1038</v>
      </c>
      <c r="N54" s="122" t="s">
        <v>425</v>
      </c>
      <c r="O54" s="122">
        <v>100</v>
      </c>
      <c r="P54" s="122">
        <v>1</v>
      </c>
      <c r="Q54" s="122">
        <v>6150</v>
      </c>
      <c r="R54" s="660" t="s">
        <v>241</v>
      </c>
      <c r="S54" s="660"/>
      <c r="T54" s="660"/>
    </row>
    <row r="55" spans="1:20" ht="16.2" customHeight="1">
      <c r="A55" s="973" t="s">
        <v>242</v>
      </c>
      <c r="B55" s="661" t="s">
        <v>10</v>
      </c>
      <c r="C55" s="661"/>
      <c r="D55" s="661" t="s">
        <v>17</v>
      </c>
      <c r="E55" s="661"/>
      <c r="F55" s="659" t="s">
        <v>243</v>
      </c>
      <c r="G55" s="659"/>
      <c r="H55" s="659"/>
      <c r="I55" s="659"/>
      <c r="J55" s="8">
        <v>2999</v>
      </c>
      <c r="K55" s="654" t="s">
        <v>1317</v>
      </c>
      <c r="L55" s="50"/>
      <c r="M55" s="1023" t="s">
        <v>1182</v>
      </c>
      <c r="N55" s="1140"/>
      <c r="O55" s="346">
        <v>100</v>
      </c>
      <c r="P55" s="346">
        <v>1</v>
      </c>
      <c r="Q55" s="348">
        <v>8150</v>
      </c>
      <c r="R55" s="660" t="s">
        <v>244</v>
      </c>
      <c r="S55" s="660"/>
      <c r="T55" s="660"/>
    </row>
    <row r="56" spans="1:20" ht="16.2" customHeight="1">
      <c r="A56" s="973"/>
      <c r="B56" s="661" t="s">
        <v>13</v>
      </c>
      <c r="C56" s="661"/>
      <c r="D56" s="661" t="s">
        <v>17</v>
      </c>
      <c r="E56" s="661"/>
      <c r="F56" s="659" t="s">
        <v>245</v>
      </c>
      <c r="G56" s="659"/>
      <c r="H56" s="659"/>
      <c r="I56" s="659"/>
      <c r="J56" s="8"/>
      <c r="K56" s="655"/>
      <c r="L56" s="51"/>
      <c r="M56" s="1025"/>
      <c r="N56" s="1141"/>
      <c r="O56" s="347"/>
      <c r="P56" s="347"/>
      <c r="Q56" s="349"/>
      <c r="R56" s="660"/>
      <c r="S56" s="660"/>
      <c r="T56" s="660"/>
    </row>
    <row r="57" spans="1:20" ht="16.2" customHeight="1">
      <c r="A57" s="973" t="s">
        <v>184</v>
      </c>
      <c r="B57" s="661" t="s">
        <v>10</v>
      </c>
      <c r="C57" s="661"/>
      <c r="D57" s="661" t="s">
        <v>17</v>
      </c>
      <c r="E57" s="661"/>
      <c r="F57" s="659" t="s">
        <v>246</v>
      </c>
      <c r="G57" s="659"/>
      <c r="H57" s="659"/>
      <c r="I57" s="659"/>
      <c r="J57" s="8">
        <v>3000</v>
      </c>
      <c r="K57" s="654" t="s">
        <v>1321</v>
      </c>
      <c r="L57" s="50"/>
      <c r="M57" s="802"/>
      <c r="N57" s="1114"/>
      <c r="O57" s="348">
        <v>100</v>
      </c>
      <c r="P57" s="348">
        <v>1</v>
      </c>
      <c r="Q57" s="348">
        <v>4100</v>
      </c>
      <c r="R57" s="660" t="s">
        <v>247</v>
      </c>
      <c r="S57" s="660"/>
      <c r="T57" s="660"/>
    </row>
    <row r="58" spans="1:20" ht="16.2" customHeight="1">
      <c r="A58" s="973"/>
      <c r="B58" s="661" t="s">
        <v>13</v>
      </c>
      <c r="C58" s="661"/>
      <c r="D58" s="661" t="s">
        <v>11</v>
      </c>
      <c r="E58" s="661"/>
      <c r="F58" s="659" t="s">
        <v>21</v>
      </c>
      <c r="G58" s="659"/>
      <c r="H58" s="659"/>
      <c r="I58" s="659"/>
      <c r="J58" s="8"/>
      <c r="K58" s="655"/>
      <c r="L58" s="51"/>
      <c r="M58" s="803"/>
      <c r="N58" s="1115"/>
      <c r="O58" s="349"/>
      <c r="P58" s="349"/>
      <c r="Q58" s="349"/>
      <c r="R58" s="660"/>
      <c r="S58" s="660"/>
      <c r="T58" s="660"/>
    </row>
    <row r="59" spans="1:20" ht="16.2" customHeight="1">
      <c r="A59" s="973" t="s">
        <v>117</v>
      </c>
      <c r="B59" s="661" t="s">
        <v>35</v>
      </c>
      <c r="C59" s="661"/>
      <c r="D59" s="661" t="s">
        <v>11</v>
      </c>
      <c r="E59" s="661"/>
      <c r="F59" s="699" t="s">
        <v>118</v>
      </c>
      <c r="G59" s="699"/>
      <c r="H59" s="699"/>
      <c r="I59" s="699"/>
      <c r="J59" s="8">
        <v>900</v>
      </c>
      <c r="K59" s="654"/>
      <c r="L59" s="50"/>
      <c r="M59" s="702" t="s">
        <v>37</v>
      </c>
      <c r="N59" s="1114"/>
      <c r="O59" s="348">
        <v>100</v>
      </c>
      <c r="P59" s="348">
        <v>1</v>
      </c>
      <c r="Q59" s="348">
        <v>2600</v>
      </c>
      <c r="R59" s="660" t="s">
        <v>38</v>
      </c>
      <c r="S59" s="660"/>
      <c r="T59" s="660"/>
    </row>
    <row r="60" spans="1:20" ht="16.2" customHeight="1">
      <c r="A60" s="973"/>
      <c r="B60" s="661" t="s">
        <v>119</v>
      </c>
      <c r="C60" s="661"/>
      <c r="D60" s="661" t="s">
        <v>11</v>
      </c>
      <c r="E60" s="661"/>
      <c r="F60" s="699" t="s">
        <v>120</v>
      </c>
      <c r="G60" s="699"/>
      <c r="H60" s="699"/>
      <c r="I60" s="699"/>
      <c r="J60" s="8"/>
      <c r="K60" s="655"/>
      <c r="L60" s="51"/>
      <c r="M60" s="691"/>
      <c r="N60" s="1115"/>
      <c r="O60" s="349"/>
      <c r="P60" s="349"/>
      <c r="Q60" s="349"/>
      <c r="R60" s="660"/>
      <c r="S60" s="660"/>
      <c r="T60" s="660"/>
    </row>
    <row r="61" spans="1:20" ht="16.2" customHeight="1">
      <c r="A61" s="718" t="s">
        <v>248</v>
      </c>
      <c r="B61" s="661" t="s">
        <v>1560</v>
      </c>
      <c r="C61" s="661"/>
      <c r="D61" s="661" t="s">
        <v>49</v>
      </c>
      <c r="E61" s="661"/>
      <c r="F61" s="659" t="s">
        <v>1561</v>
      </c>
      <c r="G61" s="659"/>
      <c r="H61" s="659"/>
      <c r="I61" s="659"/>
      <c r="J61" s="8">
        <v>1200</v>
      </c>
      <c r="K61" s="654" t="s">
        <v>1567</v>
      </c>
      <c r="L61" s="32"/>
      <c r="M61" s="1138" t="s">
        <v>1331</v>
      </c>
      <c r="N61" s="722" t="s">
        <v>425</v>
      </c>
      <c r="O61" s="610">
        <v>100</v>
      </c>
      <c r="P61" s="722">
        <v>1</v>
      </c>
      <c r="Q61" s="611">
        <v>4100</v>
      </c>
      <c r="R61" s="656" t="s">
        <v>258</v>
      </c>
      <c r="S61" s="657"/>
      <c r="T61" s="658"/>
    </row>
    <row r="62" spans="1:20" ht="16.2" customHeight="1">
      <c r="A62" s="665"/>
      <c r="B62" s="661" t="s">
        <v>262</v>
      </c>
      <c r="C62" s="661"/>
      <c r="D62" s="661" t="s">
        <v>49</v>
      </c>
      <c r="E62" s="661"/>
      <c r="F62" s="659" t="s">
        <v>1559</v>
      </c>
      <c r="G62" s="659"/>
      <c r="H62" s="659"/>
      <c r="I62" s="659"/>
      <c r="J62" s="8"/>
      <c r="K62" s="655"/>
      <c r="L62" s="52"/>
      <c r="M62" s="1139"/>
      <c r="N62" s="723"/>
      <c r="O62" s="603"/>
      <c r="P62" s="723"/>
      <c r="Q62" s="612"/>
      <c r="R62" s="634"/>
      <c r="S62" s="635"/>
      <c r="T62" s="636"/>
    </row>
    <row r="63" spans="1:20" ht="16.2" customHeight="1">
      <c r="A63" s="1135" t="s">
        <v>155</v>
      </c>
      <c r="B63" s="661" t="s">
        <v>79</v>
      </c>
      <c r="C63" s="661"/>
      <c r="D63" s="661" t="s">
        <v>11</v>
      </c>
      <c r="E63" s="661"/>
      <c r="F63" s="659" t="s">
        <v>252</v>
      </c>
      <c r="G63" s="659"/>
      <c r="H63" s="659"/>
      <c r="I63" s="659"/>
      <c r="J63" s="8">
        <v>1200</v>
      </c>
      <c r="K63" s="654" t="s">
        <v>1568</v>
      </c>
      <c r="L63" s="50"/>
      <c r="M63" s="802"/>
      <c r="N63" s="1114"/>
      <c r="O63" s="350">
        <v>100</v>
      </c>
      <c r="P63" s="350">
        <v>1</v>
      </c>
      <c r="Q63" s="350">
        <v>1600</v>
      </c>
      <c r="R63" s="656" t="s">
        <v>253</v>
      </c>
      <c r="S63" s="657"/>
      <c r="T63" s="658"/>
    </row>
    <row r="64" spans="1:20" ht="16.2" customHeight="1">
      <c r="A64" s="1136"/>
      <c r="B64" s="700" t="s">
        <v>81</v>
      </c>
      <c r="C64" s="701"/>
      <c r="D64" s="661" t="s">
        <v>11</v>
      </c>
      <c r="E64" s="661"/>
      <c r="F64" s="769" t="s">
        <v>254</v>
      </c>
      <c r="G64" s="770"/>
      <c r="H64" s="770"/>
      <c r="I64" s="771"/>
      <c r="J64" s="8">
        <v>1200</v>
      </c>
      <c r="K64" s="1116"/>
      <c r="L64" s="53"/>
      <c r="M64" s="1117"/>
      <c r="N64" s="1118"/>
      <c r="O64" s="351"/>
      <c r="P64" s="351"/>
      <c r="Q64" s="351"/>
      <c r="R64" s="631"/>
      <c r="S64" s="632"/>
      <c r="T64" s="633"/>
    </row>
    <row r="65" spans="1:20" ht="16.2" customHeight="1">
      <c r="A65" s="1137"/>
      <c r="B65" s="700" t="s">
        <v>131</v>
      </c>
      <c r="C65" s="701"/>
      <c r="D65" s="661" t="s">
        <v>11</v>
      </c>
      <c r="E65" s="661"/>
      <c r="F65" s="769" t="s">
        <v>255</v>
      </c>
      <c r="G65" s="770"/>
      <c r="H65" s="770"/>
      <c r="I65" s="771"/>
      <c r="J65" s="8">
        <v>1201</v>
      </c>
      <c r="K65" s="655"/>
      <c r="L65" s="51"/>
      <c r="M65" s="803"/>
      <c r="N65" s="1115"/>
      <c r="O65" s="352"/>
      <c r="P65" s="352"/>
      <c r="Q65" s="352"/>
      <c r="R65" s="634"/>
      <c r="S65" s="635"/>
      <c r="T65" s="636"/>
    </row>
    <row r="66" spans="1:20" ht="16.2" customHeight="1">
      <c r="A66" s="665" t="s">
        <v>259</v>
      </c>
      <c r="B66" s="637" t="s">
        <v>260</v>
      </c>
      <c r="C66" s="637"/>
      <c r="D66" s="637" t="s">
        <v>14</v>
      </c>
      <c r="E66" s="637"/>
      <c r="F66" s="653" t="s">
        <v>1558</v>
      </c>
      <c r="G66" s="653"/>
      <c r="H66" s="653"/>
      <c r="I66" s="653"/>
      <c r="J66" s="14">
        <v>7002</v>
      </c>
      <c r="K66" s="654" t="s">
        <v>1569</v>
      </c>
      <c r="L66" s="50"/>
      <c r="M66" s="802"/>
      <c r="N66" s="1114"/>
      <c r="O66" s="353">
        <v>100</v>
      </c>
      <c r="P66" s="353">
        <v>1</v>
      </c>
      <c r="Q66" s="353">
        <v>8150</v>
      </c>
      <c r="R66" s="708" t="s">
        <v>261</v>
      </c>
      <c r="S66" s="708"/>
      <c r="T66" s="708"/>
    </row>
    <row r="67" spans="1:20" ht="16.2" customHeight="1">
      <c r="A67" s="718"/>
      <c r="B67" s="1134" t="s">
        <v>262</v>
      </c>
      <c r="C67" s="1134"/>
      <c r="D67" s="1134" t="s">
        <v>14</v>
      </c>
      <c r="E67" s="1134"/>
      <c r="F67" s="1120" t="s">
        <v>263</v>
      </c>
      <c r="G67" s="1120"/>
      <c r="H67" s="1120"/>
      <c r="I67" s="1120"/>
      <c r="J67" s="26">
        <v>7001</v>
      </c>
      <c r="K67" s="655"/>
      <c r="L67" s="53"/>
      <c r="M67" s="803"/>
      <c r="N67" s="1115"/>
      <c r="O67" s="353"/>
      <c r="P67" s="353"/>
      <c r="Q67" s="353"/>
      <c r="R67" s="698"/>
      <c r="S67" s="698"/>
      <c r="T67" s="698"/>
    </row>
    <row r="68" spans="1:20" ht="15.6" customHeight="1">
      <c r="A68" s="60" t="s">
        <v>931</v>
      </c>
      <c r="B68" s="650" t="s">
        <v>147</v>
      </c>
      <c r="C68" s="650"/>
      <c r="D68" s="650" t="s">
        <v>49</v>
      </c>
      <c r="E68" s="650"/>
      <c r="F68" s="651" t="s">
        <v>249</v>
      </c>
      <c r="G68" s="651"/>
      <c r="H68" s="651"/>
      <c r="I68" s="651"/>
      <c r="J68" s="15">
        <v>7000</v>
      </c>
      <c r="K68" s="32" t="s">
        <v>1565</v>
      </c>
      <c r="L68" s="32"/>
      <c r="M68" s="613" t="s">
        <v>1566</v>
      </c>
      <c r="N68" s="97" t="s">
        <v>425</v>
      </c>
      <c r="O68" s="97">
        <v>100</v>
      </c>
      <c r="P68" s="97">
        <v>1</v>
      </c>
      <c r="Q68" s="356">
        <v>15200</v>
      </c>
      <c r="R68" s="660" t="s">
        <v>251</v>
      </c>
      <c r="S68" s="660"/>
      <c r="T68" s="660"/>
    </row>
    <row r="69" spans="1:20" ht="16.2" customHeight="1">
      <c r="A69" s="973" t="s">
        <v>127</v>
      </c>
      <c r="B69" s="661" t="s">
        <v>199</v>
      </c>
      <c r="C69" s="661"/>
      <c r="D69" s="661" t="s">
        <v>1098</v>
      </c>
      <c r="E69" s="661"/>
      <c r="F69" s="659" t="s">
        <v>1105</v>
      </c>
      <c r="G69" s="659"/>
      <c r="H69" s="659"/>
      <c r="I69" s="659"/>
      <c r="J69" s="8"/>
      <c r="K69" s="654"/>
      <c r="L69" s="50"/>
      <c r="M69" s="702" t="s">
        <v>420</v>
      </c>
      <c r="N69" s="1114"/>
      <c r="O69" s="348">
        <v>100</v>
      </c>
      <c r="P69" s="348">
        <v>1</v>
      </c>
      <c r="Q69" s="348">
        <v>600</v>
      </c>
      <c r="R69" s="660" t="s">
        <v>266</v>
      </c>
      <c r="S69" s="660"/>
      <c r="T69" s="660"/>
    </row>
    <row r="70" spans="1:20" ht="16.2" customHeight="1" thickBot="1">
      <c r="A70" s="1127"/>
      <c r="B70" s="979" t="s">
        <v>202</v>
      </c>
      <c r="C70" s="979"/>
      <c r="D70" s="979" t="s">
        <v>1098</v>
      </c>
      <c r="E70" s="979"/>
      <c r="F70" s="695" t="s">
        <v>1100</v>
      </c>
      <c r="G70" s="695"/>
      <c r="H70" s="695"/>
      <c r="I70" s="695"/>
      <c r="J70" s="24"/>
      <c r="K70" s="1128"/>
      <c r="L70" s="55"/>
      <c r="M70" s="691"/>
      <c r="N70" s="1129"/>
      <c r="O70" s="354"/>
      <c r="P70" s="354"/>
      <c r="Q70" s="354"/>
      <c r="R70" s="692"/>
      <c r="S70" s="692"/>
      <c r="T70" s="692"/>
    </row>
    <row r="71" spans="1:20" ht="16.2" customHeight="1" thickTop="1">
      <c r="A71" s="718" t="s">
        <v>66</v>
      </c>
      <c r="B71" s="637" t="s">
        <v>10</v>
      </c>
      <c r="C71" s="637"/>
      <c r="D71" s="638" t="s">
        <v>14</v>
      </c>
      <c r="E71" s="639"/>
      <c r="F71" s="662" t="s">
        <v>80</v>
      </c>
      <c r="G71" s="663"/>
      <c r="H71" s="663"/>
      <c r="I71" s="663"/>
      <c r="J71" s="13"/>
      <c r="K71" s="1121" t="s">
        <v>1562</v>
      </c>
      <c r="L71" s="54"/>
      <c r="M71" s="1124" t="s">
        <v>1090</v>
      </c>
      <c r="N71" s="1126"/>
      <c r="O71" s="351">
        <v>100</v>
      </c>
      <c r="P71" s="351">
        <v>1</v>
      </c>
      <c r="Q71" s="351">
        <v>1600</v>
      </c>
      <c r="R71" s="656" t="s">
        <v>267</v>
      </c>
      <c r="S71" s="657"/>
      <c r="T71" s="658"/>
    </row>
    <row r="72" spans="1:20" ht="16.2" customHeight="1">
      <c r="A72" s="664"/>
      <c r="B72" s="637" t="s">
        <v>81</v>
      </c>
      <c r="C72" s="637"/>
      <c r="D72" s="638" t="s">
        <v>14</v>
      </c>
      <c r="E72" s="639"/>
      <c r="F72" s="662" t="s">
        <v>82</v>
      </c>
      <c r="G72" s="663"/>
      <c r="H72" s="663"/>
      <c r="I72" s="663"/>
      <c r="J72" s="13"/>
      <c r="K72" s="1122"/>
      <c r="L72" s="53"/>
      <c r="M72" s="1125"/>
      <c r="N72" s="1118"/>
      <c r="O72" s="351"/>
      <c r="P72" s="351"/>
      <c r="Q72" s="351"/>
      <c r="R72" s="631"/>
      <c r="S72" s="632"/>
      <c r="T72" s="633"/>
    </row>
    <row r="73" spans="1:20" ht="16.2" customHeight="1">
      <c r="A73" s="665"/>
      <c r="B73" s="661" t="s">
        <v>131</v>
      </c>
      <c r="C73" s="661"/>
      <c r="D73" s="661" t="s">
        <v>11</v>
      </c>
      <c r="E73" s="661"/>
      <c r="F73" s="699" t="s">
        <v>268</v>
      </c>
      <c r="G73" s="699"/>
      <c r="H73" s="699"/>
      <c r="I73" s="699"/>
      <c r="J73" s="13"/>
      <c r="K73" s="1123"/>
      <c r="L73" s="51"/>
      <c r="M73" s="1028"/>
      <c r="N73" s="1115"/>
      <c r="O73" s="352"/>
      <c r="P73" s="352"/>
      <c r="Q73" s="352"/>
      <c r="R73" s="634"/>
      <c r="S73" s="635"/>
      <c r="T73" s="636"/>
    </row>
    <row r="74" spans="1:20" ht="16.2" customHeight="1">
      <c r="A74" s="718" t="s">
        <v>269</v>
      </c>
      <c r="B74" s="637" t="s">
        <v>10</v>
      </c>
      <c r="C74" s="637"/>
      <c r="D74" s="638" t="s">
        <v>17</v>
      </c>
      <c r="E74" s="639"/>
      <c r="F74" s="662" t="s">
        <v>1185</v>
      </c>
      <c r="G74" s="663"/>
      <c r="H74" s="663"/>
      <c r="I74" s="663"/>
      <c r="J74" s="13"/>
      <c r="K74" s="1130" t="s">
        <v>1328</v>
      </c>
      <c r="L74" s="50"/>
      <c r="M74" s="37" t="s">
        <v>270</v>
      </c>
      <c r="N74" s="913"/>
      <c r="O74" s="345">
        <v>100</v>
      </c>
      <c r="P74" s="345">
        <v>1</v>
      </c>
      <c r="Q74" s="345">
        <v>400</v>
      </c>
      <c r="R74" s="656" t="s">
        <v>271</v>
      </c>
      <c r="S74" s="657"/>
      <c r="T74" s="658"/>
    </row>
    <row r="75" spans="1:20" ht="16.2" customHeight="1">
      <c r="A75" s="664"/>
      <c r="B75" s="637" t="s">
        <v>81</v>
      </c>
      <c r="C75" s="637"/>
      <c r="D75" s="638" t="s">
        <v>17</v>
      </c>
      <c r="E75" s="639"/>
      <c r="F75" s="662" t="s">
        <v>272</v>
      </c>
      <c r="G75" s="663"/>
      <c r="H75" s="663"/>
      <c r="I75" s="663"/>
      <c r="J75" s="13"/>
      <c r="K75" s="1131"/>
      <c r="L75" s="53"/>
      <c r="M75" s="1023" t="s">
        <v>1041</v>
      </c>
      <c r="N75" s="1133"/>
      <c r="O75" s="355"/>
      <c r="P75" s="355"/>
      <c r="Q75" s="355"/>
      <c r="R75" s="631"/>
      <c r="S75" s="632"/>
      <c r="T75" s="633"/>
    </row>
    <row r="76" spans="1:20" ht="16.2" customHeight="1">
      <c r="A76" s="665"/>
      <c r="B76" s="661" t="s">
        <v>131</v>
      </c>
      <c r="C76" s="661"/>
      <c r="D76" s="661" t="s">
        <v>11</v>
      </c>
      <c r="E76" s="661"/>
      <c r="F76" s="699" t="s">
        <v>273</v>
      </c>
      <c r="G76" s="699"/>
      <c r="H76" s="699"/>
      <c r="I76" s="699"/>
      <c r="J76" s="13"/>
      <c r="K76" s="1132"/>
      <c r="L76" s="51"/>
      <c r="M76" s="1119"/>
      <c r="N76" s="914"/>
      <c r="O76" s="340"/>
      <c r="P76" s="340"/>
      <c r="Q76" s="340"/>
      <c r="R76" s="634"/>
      <c r="S76" s="635"/>
      <c r="T76" s="636"/>
    </row>
    <row r="77" spans="1:20" ht="16.2" customHeight="1">
      <c r="A77" s="718" t="s">
        <v>133</v>
      </c>
      <c r="B77" s="637" t="s">
        <v>134</v>
      </c>
      <c r="C77" s="637"/>
      <c r="D77" s="637" t="s">
        <v>11</v>
      </c>
      <c r="E77" s="637"/>
      <c r="F77" s="653" t="s">
        <v>135</v>
      </c>
      <c r="G77" s="653"/>
      <c r="H77" s="653"/>
      <c r="I77" s="653"/>
      <c r="J77" s="14">
        <v>1000</v>
      </c>
      <c r="K77" s="654" t="s">
        <v>1323</v>
      </c>
      <c r="L77" s="53"/>
      <c r="M77" s="802"/>
      <c r="N77" s="1114"/>
      <c r="O77" s="351">
        <v>100</v>
      </c>
      <c r="P77" s="351">
        <v>1</v>
      </c>
      <c r="Q77" s="351">
        <v>1100</v>
      </c>
      <c r="R77" s="631" t="s">
        <v>274</v>
      </c>
      <c r="S77" s="632"/>
      <c r="T77" s="633"/>
    </row>
    <row r="78" spans="1:20" ht="16.2" customHeight="1">
      <c r="A78" s="664"/>
      <c r="B78" s="661" t="s">
        <v>137</v>
      </c>
      <c r="C78" s="661"/>
      <c r="D78" s="661" t="s">
        <v>11</v>
      </c>
      <c r="E78" s="661"/>
      <c r="F78" s="659" t="s">
        <v>138</v>
      </c>
      <c r="G78" s="659"/>
      <c r="H78" s="659"/>
      <c r="I78" s="659"/>
      <c r="J78" s="8"/>
      <c r="K78" s="1116"/>
      <c r="L78" s="53"/>
      <c r="M78" s="1117"/>
      <c r="N78" s="1118"/>
      <c r="O78" s="351"/>
      <c r="P78" s="351"/>
      <c r="Q78" s="351"/>
      <c r="R78" s="631"/>
      <c r="S78" s="632"/>
      <c r="T78" s="633"/>
    </row>
    <row r="79" spans="1:20" ht="16.2" customHeight="1">
      <c r="A79" s="665"/>
      <c r="B79" s="661" t="s">
        <v>1316</v>
      </c>
      <c r="C79" s="661"/>
      <c r="D79" s="661" t="s">
        <v>139</v>
      </c>
      <c r="E79" s="661"/>
      <c r="F79" s="659" t="s">
        <v>140</v>
      </c>
      <c r="G79" s="659"/>
      <c r="H79" s="659"/>
      <c r="I79" s="659"/>
      <c r="J79" s="8"/>
      <c r="K79" s="655"/>
      <c r="L79" s="51"/>
      <c r="M79" s="803"/>
      <c r="N79" s="1115"/>
      <c r="O79" s="352"/>
      <c r="P79" s="352"/>
      <c r="Q79" s="352"/>
      <c r="R79" s="634"/>
      <c r="S79" s="635"/>
      <c r="T79" s="636"/>
    </row>
    <row r="80" spans="1:20" ht="16.2" customHeight="1">
      <c r="A80" s="718" t="s">
        <v>70</v>
      </c>
      <c r="B80" s="661" t="s">
        <v>81</v>
      </c>
      <c r="C80" s="661"/>
      <c r="D80" s="661" t="s">
        <v>17</v>
      </c>
      <c r="E80" s="661"/>
      <c r="F80" s="659" t="s">
        <v>275</v>
      </c>
      <c r="G80" s="659"/>
      <c r="H80" s="659"/>
      <c r="I80" s="659"/>
      <c r="J80" s="8">
        <v>5000</v>
      </c>
      <c r="K80" s="654" t="s">
        <v>1324</v>
      </c>
      <c r="L80" s="52"/>
      <c r="M80" s="1023" t="s">
        <v>1042</v>
      </c>
      <c r="N80" s="1114"/>
      <c r="O80" s="350">
        <v>100</v>
      </c>
      <c r="P80" s="350">
        <v>1</v>
      </c>
      <c r="Q80" s="350">
        <v>2100</v>
      </c>
      <c r="R80" s="656" t="s">
        <v>276</v>
      </c>
      <c r="S80" s="657"/>
      <c r="T80" s="658"/>
    </row>
    <row r="81" spans="1:35" ht="16.2" customHeight="1">
      <c r="A81" s="665"/>
      <c r="B81" s="661" t="s">
        <v>131</v>
      </c>
      <c r="C81" s="661"/>
      <c r="D81" s="661" t="s">
        <v>11</v>
      </c>
      <c r="E81" s="661"/>
      <c r="F81" s="659" t="s">
        <v>277</v>
      </c>
      <c r="G81" s="659"/>
      <c r="H81" s="659"/>
      <c r="I81" s="659"/>
      <c r="J81" s="8">
        <v>5001</v>
      </c>
      <c r="K81" s="655"/>
      <c r="L81" s="43"/>
      <c r="M81" s="1119"/>
      <c r="N81" s="1115"/>
      <c r="O81" s="352"/>
      <c r="P81" s="352"/>
      <c r="Q81" s="352"/>
      <c r="R81" s="634"/>
      <c r="S81" s="635"/>
      <c r="T81" s="636"/>
    </row>
    <row r="82" spans="1:35" ht="16.2" customHeight="1">
      <c r="A82" s="718" t="s">
        <v>278</v>
      </c>
      <c r="B82" s="661" t="s">
        <v>10</v>
      </c>
      <c r="C82" s="661"/>
      <c r="D82" s="661" t="s">
        <v>17</v>
      </c>
      <c r="E82" s="661"/>
      <c r="F82" s="659" t="s">
        <v>279</v>
      </c>
      <c r="G82" s="659"/>
      <c r="H82" s="659"/>
      <c r="I82" s="659"/>
      <c r="J82" s="8">
        <v>700</v>
      </c>
      <c r="K82" s="654" t="s">
        <v>1325</v>
      </c>
      <c r="L82" s="50"/>
      <c r="M82" s="802"/>
      <c r="N82" s="1114"/>
      <c r="O82" s="348">
        <v>100</v>
      </c>
      <c r="P82" s="348">
        <v>1</v>
      </c>
      <c r="Q82" s="348">
        <v>3100</v>
      </c>
      <c r="R82" s="660" t="s">
        <v>280</v>
      </c>
      <c r="S82" s="660"/>
      <c r="T82" s="660"/>
    </row>
    <row r="83" spans="1:35" ht="16.2" customHeight="1">
      <c r="A83" s="665"/>
      <c r="B83" s="661" t="s">
        <v>145</v>
      </c>
      <c r="C83" s="661"/>
      <c r="D83" s="661" t="s">
        <v>17</v>
      </c>
      <c r="E83" s="661"/>
      <c r="F83" s="659" t="s">
        <v>281</v>
      </c>
      <c r="G83" s="659"/>
      <c r="H83" s="659"/>
      <c r="I83" s="659"/>
      <c r="J83" s="8">
        <v>701</v>
      </c>
      <c r="K83" s="655"/>
      <c r="L83" s="51"/>
      <c r="M83" s="803"/>
      <c r="N83" s="1115"/>
      <c r="O83" s="349"/>
      <c r="P83" s="349"/>
      <c r="Q83" s="349"/>
      <c r="R83" s="660"/>
      <c r="S83" s="660"/>
      <c r="T83" s="660"/>
    </row>
    <row r="84" spans="1:35" ht="16.2" customHeight="1">
      <c r="A84" s="718" t="s">
        <v>282</v>
      </c>
      <c r="B84" s="661" t="s">
        <v>10</v>
      </c>
      <c r="C84" s="661"/>
      <c r="D84" s="661" t="s">
        <v>49</v>
      </c>
      <c r="E84" s="661"/>
      <c r="F84" s="659" t="s">
        <v>1570</v>
      </c>
      <c r="G84" s="659"/>
      <c r="H84" s="659"/>
      <c r="I84" s="659"/>
      <c r="J84" s="8">
        <v>698</v>
      </c>
      <c r="K84" s="654"/>
      <c r="L84" s="50"/>
      <c r="M84" s="802"/>
      <c r="N84" s="1114"/>
      <c r="O84" s="348">
        <v>100</v>
      </c>
      <c r="P84" s="348">
        <v>1</v>
      </c>
      <c r="Q84" s="348">
        <v>600</v>
      </c>
      <c r="R84" s="660" t="s">
        <v>265</v>
      </c>
      <c r="S84" s="660"/>
      <c r="T84" s="660"/>
    </row>
    <row r="85" spans="1:35" ht="16.2" customHeight="1">
      <c r="A85" s="665"/>
      <c r="B85" s="661" t="s">
        <v>145</v>
      </c>
      <c r="C85" s="661"/>
      <c r="D85" s="661" t="s">
        <v>43</v>
      </c>
      <c r="E85" s="661"/>
      <c r="F85" s="659" t="s">
        <v>146</v>
      </c>
      <c r="G85" s="659"/>
      <c r="H85" s="659"/>
      <c r="I85" s="659"/>
      <c r="J85" s="8">
        <v>699</v>
      </c>
      <c r="K85" s="655"/>
      <c r="L85" s="51"/>
      <c r="M85" s="803"/>
      <c r="N85" s="1115"/>
      <c r="O85" s="349"/>
      <c r="P85" s="349"/>
      <c r="Q85" s="349"/>
      <c r="R85" s="660"/>
      <c r="S85" s="660"/>
      <c r="T85" s="660"/>
    </row>
    <row r="86" spans="1:35" ht="30" customHeight="1">
      <c r="A86" s="60" t="s">
        <v>283</v>
      </c>
      <c r="B86" s="650" t="s">
        <v>147</v>
      </c>
      <c r="C86" s="650"/>
      <c r="D86" s="650" t="s">
        <v>49</v>
      </c>
      <c r="E86" s="650"/>
      <c r="F86" s="651" t="s">
        <v>284</v>
      </c>
      <c r="G86" s="651"/>
      <c r="H86" s="651"/>
      <c r="I86" s="651"/>
      <c r="J86" s="15">
        <v>5000</v>
      </c>
      <c r="K86" s="291" t="s">
        <v>1330</v>
      </c>
      <c r="L86" s="32"/>
      <c r="M86" s="543" t="s">
        <v>1326</v>
      </c>
      <c r="N86" s="97" t="s">
        <v>1180</v>
      </c>
      <c r="O86" s="97">
        <v>100</v>
      </c>
      <c r="P86" s="97">
        <v>1</v>
      </c>
      <c r="Q86" s="356" t="s">
        <v>1103</v>
      </c>
      <c r="R86" s="660" t="s">
        <v>285</v>
      </c>
      <c r="S86" s="660"/>
      <c r="T86" s="660"/>
    </row>
    <row r="87" spans="1:35" ht="16.2" customHeight="1">
      <c r="A87" s="60" t="s">
        <v>78</v>
      </c>
      <c r="B87" s="650" t="s">
        <v>164</v>
      </c>
      <c r="C87" s="650"/>
      <c r="D87" s="650" t="s">
        <v>468</v>
      </c>
      <c r="E87" s="650"/>
      <c r="F87" s="651" t="s">
        <v>1117</v>
      </c>
      <c r="G87" s="651"/>
      <c r="H87" s="651"/>
      <c r="I87" s="651"/>
      <c r="J87" s="15">
        <v>1000</v>
      </c>
      <c r="K87" s="32"/>
      <c r="L87" s="32"/>
      <c r="M87" s="32"/>
      <c r="N87" s="97" t="s">
        <v>425</v>
      </c>
      <c r="O87" s="97">
        <v>100</v>
      </c>
      <c r="P87" s="97">
        <v>1</v>
      </c>
      <c r="Q87" s="356">
        <v>4100</v>
      </c>
      <c r="R87" s="660" t="s">
        <v>287</v>
      </c>
      <c r="S87" s="660"/>
      <c r="T87" s="660"/>
    </row>
    <row r="88" spans="1:35" ht="18" customHeight="1">
      <c r="A88" s="278" t="s">
        <v>1390</v>
      </c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</row>
    <row r="92" spans="1:35" ht="16.2" customHeight="1"/>
    <row r="93" spans="1:35" ht="18" customHeight="1"/>
    <row r="94" spans="1:35" ht="18" customHeight="1" thickBot="1"/>
    <row r="95" spans="1:35" ht="18" customHeight="1">
      <c r="X95" s="832" t="s">
        <v>1356</v>
      </c>
      <c r="Y95" s="644" t="s">
        <v>1357</v>
      </c>
      <c r="Z95" s="644"/>
      <c r="AA95" s="644" t="s">
        <v>1358</v>
      </c>
      <c r="AB95" s="644"/>
      <c r="AC95" s="644"/>
      <c r="AD95" s="644"/>
      <c r="AE95" s="644"/>
      <c r="AF95" s="644"/>
      <c r="AG95" s="553" t="s">
        <v>1359</v>
      </c>
      <c r="AH95" s="553" t="s">
        <v>1360</v>
      </c>
      <c r="AI95" s="554" t="s">
        <v>1361</v>
      </c>
    </row>
    <row r="96" spans="1:35" ht="18" customHeight="1">
      <c r="W96" s="1" t="s">
        <v>1391</v>
      </c>
      <c r="X96" s="833"/>
      <c r="Y96" s="645"/>
      <c r="Z96" s="646"/>
      <c r="AA96" s="646"/>
      <c r="AB96" s="646"/>
      <c r="AC96" s="646"/>
      <c r="AD96" s="646"/>
      <c r="AE96" s="646"/>
      <c r="AF96" s="646"/>
      <c r="AG96" s="555"/>
      <c r="AH96" s="555"/>
      <c r="AI96" s="556"/>
    </row>
    <row r="97" spans="23:35" ht="18" customHeight="1">
      <c r="X97" s="833"/>
      <c r="Y97" s="645" t="s">
        <v>1563</v>
      </c>
      <c r="Z97" s="646"/>
      <c r="AA97" s="646" t="s">
        <v>1564</v>
      </c>
      <c r="AB97" s="646"/>
      <c r="AC97" s="646"/>
      <c r="AD97" s="646"/>
      <c r="AE97" s="646"/>
      <c r="AF97" s="646"/>
      <c r="AG97" s="555" t="s">
        <v>1461</v>
      </c>
      <c r="AH97" s="555" t="s">
        <v>1429</v>
      </c>
      <c r="AI97" s="556" t="s">
        <v>1430</v>
      </c>
    </row>
    <row r="98" spans="23:35" ht="18" customHeight="1" thickBot="1">
      <c r="X98" s="834"/>
      <c r="Y98" s="647" t="s">
        <v>1388</v>
      </c>
      <c r="Z98" s="617"/>
      <c r="AA98" s="617" t="s">
        <v>1363</v>
      </c>
      <c r="AB98" s="617"/>
      <c r="AC98" s="617"/>
      <c r="AD98" s="617"/>
      <c r="AE98" s="617"/>
      <c r="AF98" s="617"/>
      <c r="AG98" s="557" t="s">
        <v>1364</v>
      </c>
      <c r="AH98" s="557" t="s">
        <v>1365</v>
      </c>
      <c r="AI98" s="558" t="s">
        <v>1366</v>
      </c>
    </row>
    <row r="99" spans="23:35" ht="18" customHeight="1"/>
    <row r="100" spans="23:35" ht="18" customHeight="1"/>
    <row r="101" spans="23:35" ht="18" customHeight="1"/>
    <row r="102" spans="23:35" ht="18" customHeight="1" thickBot="1"/>
    <row r="103" spans="23:35" ht="18" customHeight="1">
      <c r="X103" s="832" t="s">
        <v>1356</v>
      </c>
      <c r="Y103" s="644" t="s">
        <v>1357</v>
      </c>
      <c r="Z103" s="644"/>
      <c r="AA103" s="644" t="s">
        <v>1358</v>
      </c>
      <c r="AB103" s="644"/>
      <c r="AC103" s="644"/>
      <c r="AD103" s="644"/>
      <c r="AE103" s="644"/>
      <c r="AF103" s="644"/>
      <c r="AG103" s="553" t="s">
        <v>1359</v>
      </c>
      <c r="AH103" s="553" t="s">
        <v>1360</v>
      </c>
      <c r="AI103" s="554" t="s">
        <v>1361</v>
      </c>
    </row>
    <row r="104" spans="23:35" ht="18" customHeight="1">
      <c r="W104" s="1" t="s">
        <v>1392</v>
      </c>
      <c r="X104" s="833"/>
      <c r="Y104" s="645"/>
      <c r="Z104" s="646"/>
      <c r="AA104" s="646"/>
      <c r="AB104" s="646"/>
      <c r="AC104" s="646"/>
      <c r="AD104" s="646"/>
      <c r="AE104" s="646"/>
      <c r="AF104" s="646"/>
      <c r="AG104" s="555"/>
      <c r="AH104" s="555"/>
      <c r="AI104" s="556"/>
    </row>
    <row r="105" spans="23:35" ht="18" customHeight="1">
      <c r="X105" s="833"/>
      <c r="Y105" s="645"/>
      <c r="Z105" s="646"/>
      <c r="AA105" s="646"/>
      <c r="AB105" s="646"/>
      <c r="AC105" s="646"/>
      <c r="AD105" s="646"/>
      <c r="AE105" s="646"/>
      <c r="AF105" s="646"/>
      <c r="AG105" s="555"/>
      <c r="AH105" s="555"/>
      <c r="AI105" s="556"/>
    </row>
    <row r="106" spans="23:35" ht="18" customHeight="1" thickBot="1">
      <c r="X106" s="834"/>
      <c r="Y106" s="647" t="s">
        <v>1388</v>
      </c>
      <c r="Z106" s="617"/>
      <c r="AA106" s="617" t="s">
        <v>1363</v>
      </c>
      <c r="AB106" s="617"/>
      <c r="AC106" s="617"/>
      <c r="AD106" s="617"/>
      <c r="AE106" s="617"/>
      <c r="AF106" s="617"/>
      <c r="AG106" s="557" t="s">
        <v>1364</v>
      </c>
      <c r="AH106" s="557" t="s">
        <v>1365</v>
      </c>
      <c r="AI106" s="558" t="s">
        <v>1366</v>
      </c>
    </row>
    <row r="107" spans="23:35" ht="18" customHeight="1"/>
    <row r="108" spans="23:35" ht="18" customHeight="1"/>
  </sheetData>
  <mergeCells count="402">
    <mergeCell ref="B53:C53"/>
    <mergeCell ref="D53:E53"/>
    <mergeCell ref="F53:I53"/>
    <mergeCell ref="R53:T53"/>
    <mergeCell ref="B54:C54"/>
    <mergeCell ref="D54:E54"/>
    <mergeCell ref="F54:I54"/>
    <mergeCell ref="R54:T54"/>
    <mergeCell ref="N61:N62"/>
    <mergeCell ref="B61:C61"/>
    <mergeCell ref="D61:E61"/>
    <mergeCell ref="F61:I61"/>
    <mergeCell ref="D60:E60"/>
    <mergeCell ref="F60:I60"/>
    <mergeCell ref="K59:K60"/>
    <mergeCell ref="M59:M60"/>
    <mergeCell ref="B41:C41"/>
    <mergeCell ref="D41:E41"/>
    <mergeCell ref="F41:I41"/>
    <mergeCell ref="R41:T41"/>
    <mergeCell ref="R38:T39"/>
    <mergeCell ref="B39:C39"/>
    <mergeCell ref="D39:E39"/>
    <mergeCell ref="F39:I39"/>
    <mergeCell ref="B40:C40"/>
    <mergeCell ref="D40:E40"/>
    <mergeCell ref="F40:I40"/>
    <mergeCell ref="R40:T40"/>
    <mergeCell ref="R36:T37"/>
    <mergeCell ref="B37:C37"/>
    <mergeCell ref="D37:E37"/>
    <mergeCell ref="F37:I37"/>
    <mergeCell ref="A38:A39"/>
    <mergeCell ref="B38:C38"/>
    <mergeCell ref="D38:E38"/>
    <mergeCell ref="F38:I38"/>
    <mergeCell ref="K38:K39"/>
    <mergeCell ref="M38:M39"/>
    <mergeCell ref="A36:A37"/>
    <mergeCell ref="B36:C36"/>
    <mergeCell ref="D36:E36"/>
    <mergeCell ref="F36:I36"/>
    <mergeCell ref="K36:K37"/>
    <mergeCell ref="M36:M37"/>
    <mergeCell ref="N38:N39"/>
    <mergeCell ref="N36:N37"/>
    <mergeCell ref="A34:A35"/>
    <mergeCell ref="B34:C34"/>
    <mergeCell ref="D34:E34"/>
    <mergeCell ref="F34:I34"/>
    <mergeCell ref="K34:K35"/>
    <mergeCell ref="M34:M35"/>
    <mergeCell ref="M31:M33"/>
    <mergeCell ref="R31:T33"/>
    <mergeCell ref="B32:C32"/>
    <mergeCell ref="D32:E32"/>
    <mergeCell ref="F32:I32"/>
    <mergeCell ref="B33:C33"/>
    <mergeCell ref="D33:E33"/>
    <mergeCell ref="F33:I33"/>
    <mergeCell ref="R34:T35"/>
    <mergeCell ref="B35:C35"/>
    <mergeCell ref="D35:E35"/>
    <mergeCell ref="F35:I35"/>
    <mergeCell ref="A31:A33"/>
    <mergeCell ref="B31:C31"/>
    <mergeCell ref="D31:E31"/>
    <mergeCell ref="F31:I31"/>
    <mergeCell ref="N31:N33"/>
    <mergeCell ref="N34:N35"/>
    <mergeCell ref="A28:A30"/>
    <mergeCell ref="B28:C28"/>
    <mergeCell ref="D28:E28"/>
    <mergeCell ref="F28:I28"/>
    <mergeCell ref="K31:K33"/>
    <mergeCell ref="A25:A27"/>
    <mergeCell ref="B25:C25"/>
    <mergeCell ref="D25:E25"/>
    <mergeCell ref="F25:I25"/>
    <mergeCell ref="K25:K27"/>
    <mergeCell ref="M25:M27"/>
    <mergeCell ref="K28:K30"/>
    <mergeCell ref="R28:T30"/>
    <mergeCell ref="B29:C29"/>
    <mergeCell ref="D29:E29"/>
    <mergeCell ref="F29:I29"/>
    <mergeCell ref="M29:M30"/>
    <mergeCell ref="R25:T27"/>
    <mergeCell ref="B26:C26"/>
    <mergeCell ref="D26:E26"/>
    <mergeCell ref="F26:I26"/>
    <mergeCell ref="B27:C27"/>
    <mergeCell ref="D27:E27"/>
    <mergeCell ref="F27:I27"/>
    <mergeCell ref="B30:C30"/>
    <mergeCell ref="D30:E30"/>
    <mergeCell ref="F30:I30"/>
    <mergeCell ref="N28:N30"/>
    <mergeCell ref="N25:N27"/>
    <mergeCell ref="A23:A24"/>
    <mergeCell ref="B23:C23"/>
    <mergeCell ref="D23:E23"/>
    <mergeCell ref="F23:I23"/>
    <mergeCell ref="K23:K24"/>
    <mergeCell ref="M23:M24"/>
    <mergeCell ref="R23:T24"/>
    <mergeCell ref="B24:C24"/>
    <mergeCell ref="D24:E24"/>
    <mergeCell ref="F24:I24"/>
    <mergeCell ref="N23:N24"/>
    <mergeCell ref="F22:I22"/>
    <mergeCell ref="N21:N22"/>
    <mergeCell ref="D20:E20"/>
    <mergeCell ref="B20:C20"/>
    <mergeCell ref="F20:I20"/>
    <mergeCell ref="M19:M20"/>
    <mergeCell ref="K19:K20"/>
    <mergeCell ref="R19:T20"/>
    <mergeCell ref="N19:N20"/>
    <mergeCell ref="P19:P20"/>
    <mergeCell ref="B19:C19"/>
    <mergeCell ref="D19:E19"/>
    <mergeCell ref="F19:I19"/>
    <mergeCell ref="A21:A22"/>
    <mergeCell ref="B21:C21"/>
    <mergeCell ref="D21:E21"/>
    <mergeCell ref="F21:I21"/>
    <mergeCell ref="K21:K22"/>
    <mergeCell ref="M21:M22"/>
    <mergeCell ref="R16:T18"/>
    <mergeCell ref="B17:C17"/>
    <mergeCell ref="D17:E17"/>
    <mergeCell ref="F17:I17"/>
    <mergeCell ref="B18:C18"/>
    <mergeCell ref="D18:E18"/>
    <mergeCell ref="F18:I18"/>
    <mergeCell ref="A16:A18"/>
    <mergeCell ref="B16:C16"/>
    <mergeCell ref="D16:E16"/>
    <mergeCell ref="F16:I16"/>
    <mergeCell ref="K16:K18"/>
    <mergeCell ref="M16:M18"/>
    <mergeCell ref="N16:N18"/>
    <mergeCell ref="A19:A20"/>
    <mergeCell ref="R21:T22"/>
    <mergeCell ref="B22:C22"/>
    <mergeCell ref="D22:E22"/>
    <mergeCell ref="D14:E14"/>
    <mergeCell ref="F14:I14"/>
    <mergeCell ref="B15:C15"/>
    <mergeCell ref="D15:E15"/>
    <mergeCell ref="F15:I15"/>
    <mergeCell ref="R15:T15"/>
    <mergeCell ref="R11:T12"/>
    <mergeCell ref="B12:C12"/>
    <mergeCell ref="D12:E12"/>
    <mergeCell ref="F12:I12"/>
    <mergeCell ref="N13:N14"/>
    <mergeCell ref="N11:N12"/>
    <mergeCell ref="A13:A14"/>
    <mergeCell ref="B13:C13"/>
    <mergeCell ref="D13:E13"/>
    <mergeCell ref="F13:I13"/>
    <mergeCell ref="K13:K14"/>
    <mergeCell ref="M13:M14"/>
    <mergeCell ref="R9:T10"/>
    <mergeCell ref="B10:C10"/>
    <mergeCell ref="D10:E10"/>
    <mergeCell ref="F10:I10"/>
    <mergeCell ref="A11:A12"/>
    <mergeCell ref="B11:C11"/>
    <mergeCell ref="D11:E11"/>
    <mergeCell ref="F11:I11"/>
    <mergeCell ref="K11:K12"/>
    <mergeCell ref="M11:M12"/>
    <mergeCell ref="A9:A10"/>
    <mergeCell ref="B9:C9"/>
    <mergeCell ref="D9:E9"/>
    <mergeCell ref="F9:I9"/>
    <mergeCell ref="K9:K10"/>
    <mergeCell ref="M9:M10"/>
    <mergeCell ref="R13:T14"/>
    <mergeCell ref="B14:C14"/>
    <mergeCell ref="R7:T7"/>
    <mergeCell ref="B8:C8"/>
    <mergeCell ref="D8:E8"/>
    <mergeCell ref="F8:I8"/>
    <mergeCell ref="R8:T8"/>
    <mergeCell ref="L4:L5"/>
    <mergeCell ref="M4:M5"/>
    <mergeCell ref="R4:T5"/>
    <mergeCell ref="B6:C6"/>
    <mergeCell ref="D6:E6"/>
    <mergeCell ref="F6:I6"/>
    <mergeCell ref="R6:T6"/>
    <mergeCell ref="O4:O5"/>
    <mergeCell ref="P4:P5"/>
    <mergeCell ref="Q4:Q5"/>
    <mergeCell ref="N9:N10"/>
    <mergeCell ref="A4:A5"/>
    <mergeCell ref="B4:C5"/>
    <mergeCell ref="D4:E5"/>
    <mergeCell ref="F4:I5"/>
    <mergeCell ref="J4:J5"/>
    <mergeCell ref="K4:K5"/>
    <mergeCell ref="B7:C7"/>
    <mergeCell ref="D7:E7"/>
    <mergeCell ref="F7:I7"/>
    <mergeCell ref="A57:A58"/>
    <mergeCell ref="K57:K58"/>
    <mergeCell ref="M57:M58"/>
    <mergeCell ref="N57:N58"/>
    <mergeCell ref="R57:T58"/>
    <mergeCell ref="B56:C56"/>
    <mergeCell ref="D56:E56"/>
    <mergeCell ref="F56:I56"/>
    <mergeCell ref="B57:C57"/>
    <mergeCell ref="D57:E57"/>
    <mergeCell ref="F57:I57"/>
    <mergeCell ref="N55:N56"/>
    <mergeCell ref="R55:T56"/>
    <mergeCell ref="B58:C58"/>
    <mergeCell ref="D58:E58"/>
    <mergeCell ref="F58:I58"/>
    <mergeCell ref="B55:C55"/>
    <mergeCell ref="D55:E55"/>
    <mergeCell ref="F55:I55"/>
    <mergeCell ref="A55:A56"/>
    <mergeCell ref="K55:K56"/>
    <mergeCell ref="M55:M56"/>
    <mergeCell ref="A63:A65"/>
    <mergeCell ref="K63:K65"/>
    <mergeCell ref="M63:M65"/>
    <mergeCell ref="N63:N65"/>
    <mergeCell ref="N59:N60"/>
    <mergeCell ref="R63:T65"/>
    <mergeCell ref="B66:C66"/>
    <mergeCell ref="D66:E66"/>
    <mergeCell ref="F66:I66"/>
    <mergeCell ref="R59:T60"/>
    <mergeCell ref="B59:C59"/>
    <mergeCell ref="D59:E59"/>
    <mergeCell ref="F59:I59"/>
    <mergeCell ref="B60:C60"/>
    <mergeCell ref="A61:A62"/>
    <mergeCell ref="B62:C62"/>
    <mergeCell ref="D62:E62"/>
    <mergeCell ref="K61:K62"/>
    <mergeCell ref="M61:M62"/>
    <mergeCell ref="R61:T62"/>
    <mergeCell ref="F62:I62"/>
    <mergeCell ref="P61:P62"/>
    <mergeCell ref="A59:A60"/>
    <mergeCell ref="B63:C63"/>
    <mergeCell ref="D63:E63"/>
    <mergeCell ref="F63:I63"/>
    <mergeCell ref="B64:C64"/>
    <mergeCell ref="D64:E64"/>
    <mergeCell ref="F64:I64"/>
    <mergeCell ref="B65:C65"/>
    <mergeCell ref="D65:E65"/>
    <mergeCell ref="F65:I65"/>
    <mergeCell ref="R69:T70"/>
    <mergeCell ref="A66:A67"/>
    <mergeCell ref="K66:K67"/>
    <mergeCell ref="M66:M67"/>
    <mergeCell ref="N66:N67"/>
    <mergeCell ref="R66:T67"/>
    <mergeCell ref="B68:C68"/>
    <mergeCell ref="D68:E68"/>
    <mergeCell ref="F68:I68"/>
    <mergeCell ref="R68:T68"/>
    <mergeCell ref="B67:C67"/>
    <mergeCell ref="D67:E67"/>
    <mergeCell ref="A74:A76"/>
    <mergeCell ref="F67:I67"/>
    <mergeCell ref="B69:C69"/>
    <mergeCell ref="D69:E69"/>
    <mergeCell ref="F69:I69"/>
    <mergeCell ref="A71:A73"/>
    <mergeCell ref="K71:K73"/>
    <mergeCell ref="M71:M73"/>
    <mergeCell ref="N71:N73"/>
    <mergeCell ref="B70:C70"/>
    <mergeCell ref="D70:E70"/>
    <mergeCell ref="F70:I70"/>
    <mergeCell ref="B71:C71"/>
    <mergeCell ref="D71:E71"/>
    <mergeCell ref="F71:I71"/>
    <mergeCell ref="A69:A70"/>
    <mergeCell ref="K69:K70"/>
    <mergeCell ref="M69:M70"/>
    <mergeCell ref="N69:N70"/>
    <mergeCell ref="K74:K76"/>
    <mergeCell ref="N74:N76"/>
    <mergeCell ref="B72:C72"/>
    <mergeCell ref="D72:E72"/>
    <mergeCell ref="F72:I72"/>
    <mergeCell ref="R74:T76"/>
    <mergeCell ref="M75:M76"/>
    <mergeCell ref="D73:E73"/>
    <mergeCell ref="F73:I73"/>
    <mergeCell ref="B74:C74"/>
    <mergeCell ref="D74:E74"/>
    <mergeCell ref="F74:I74"/>
    <mergeCell ref="R71:T73"/>
    <mergeCell ref="B75:C75"/>
    <mergeCell ref="D75:E75"/>
    <mergeCell ref="F75:I75"/>
    <mergeCell ref="B76:C76"/>
    <mergeCell ref="D76:E76"/>
    <mergeCell ref="F76:I76"/>
    <mergeCell ref="B73:C73"/>
    <mergeCell ref="N80:N81"/>
    <mergeCell ref="R80:T81"/>
    <mergeCell ref="B78:C78"/>
    <mergeCell ref="D78:E78"/>
    <mergeCell ref="F78:I78"/>
    <mergeCell ref="B79:C79"/>
    <mergeCell ref="D79:E79"/>
    <mergeCell ref="F79:I79"/>
    <mergeCell ref="B80:C80"/>
    <mergeCell ref="D80:E80"/>
    <mergeCell ref="F80:I80"/>
    <mergeCell ref="B81:C81"/>
    <mergeCell ref="D81:E81"/>
    <mergeCell ref="F81:I81"/>
    <mergeCell ref="R77:T79"/>
    <mergeCell ref="K77:K79"/>
    <mergeCell ref="M77:M79"/>
    <mergeCell ref="N77:N79"/>
    <mergeCell ref="K80:K81"/>
    <mergeCell ref="M80:M81"/>
    <mergeCell ref="A84:A85"/>
    <mergeCell ref="K84:K85"/>
    <mergeCell ref="M84:M85"/>
    <mergeCell ref="A82:A83"/>
    <mergeCell ref="B77:C77"/>
    <mergeCell ref="D77:E77"/>
    <mergeCell ref="F77:I77"/>
    <mergeCell ref="A77:A79"/>
    <mergeCell ref="B85:C85"/>
    <mergeCell ref="D85:E85"/>
    <mergeCell ref="F85:I85"/>
    <mergeCell ref="A80:A81"/>
    <mergeCell ref="F52:I52"/>
    <mergeCell ref="R52:T52"/>
    <mergeCell ref="O50:O51"/>
    <mergeCell ref="P50:P51"/>
    <mergeCell ref="Q50:Q51"/>
    <mergeCell ref="N84:N85"/>
    <mergeCell ref="R84:T85"/>
    <mergeCell ref="R86:T86"/>
    <mergeCell ref="B83:C83"/>
    <mergeCell ref="D83:E83"/>
    <mergeCell ref="F83:I83"/>
    <mergeCell ref="B84:C84"/>
    <mergeCell ref="D84:E84"/>
    <mergeCell ref="F84:I84"/>
    <mergeCell ref="K82:K83"/>
    <mergeCell ref="M82:M83"/>
    <mergeCell ref="N82:N83"/>
    <mergeCell ref="R82:T83"/>
    <mergeCell ref="B82:C82"/>
    <mergeCell ref="D82:E82"/>
    <mergeCell ref="F82:I82"/>
    <mergeCell ref="D86:E86"/>
    <mergeCell ref="F86:I86"/>
    <mergeCell ref="B86:C86"/>
    <mergeCell ref="X103:X106"/>
    <mergeCell ref="Y103:Z103"/>
    <mergeCell ref="AA103:AF103"/>
    <mergeCell ref="Y104:Z104"/>
    <mergeCell ref="AA104:AF104"/>
    <mergeCell ref="Y105:Z105"/>
    <mergeCell ref="AA105:AF105"/>
    <mergeCell ref="Y106:Z106"/>
    <mergeCell ref="AA106:AF106"/>
    <mergeCell ref="B87:C87"/>
    <mergeCell ref="D87:E87"/>
    <mergeCell ref="F87:I87"/>
    <mergeCell ref="R87:T87"/>
    <mergeCell ref="A50:A51"/>
    <mergeCell ref="X95:X98"/>
    <mergeCell ref="Y95:Z95"/>
    <mergeCell ref="AA95:AF95"/>
    <mergeCell ref="Y96:Z96"/>
    <mergeCell ref="AA96:AF96"/>
    <mergeCell ref="Y97:Z97"/>
    <mergeCell ref="AA97:AF97"/>
    <mergeCell ref="Y98:Z98"/>
    <mergeCell ref="AA98:AF98"/>
    <mergeCell ref="B50:C51"/>
    <mergeCell ref="D50:E51"/>
    <mergeCell ref="F50:I51"/>
    <mergeCell ref="J50:J51"/>
    <mergeCell ref="K50:K51"/>
    <mergeCell ref="L50:L51"/>
    <mergeCell ref="M50:M51"/>
    <mergeCell ref="R50:T51"/>
    <mergeCell ref="B52:C52"/>
    <mergeCell ref="D52:E52"/>
  </mergeCells>
  <phoneticPr fontId="11"/>
  <printOptions horizontalCentered="1"/>
  <pageMargins left="0.11811023622047245" right="0.19685039370078741" top="0.11811023622047245" bottom="0.11811023622047245" header="0.11811023622047245" footer="0.15748031496062992"/>
  <pageSetup paperSize="9" scale="73" fitToWidth="0" fitToHeight="0" orientation="landscape" horizontalDpi="300" verticalDpi="300" r:id="rId1"/>
  <rowBreaks count="1" manualBreakCount="1">
    <brk id="46" max="16383" man="1"/>
  </rowBreak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5865-4C80-4C36-80D6-91DA64DA8AD5}">
  <sheetPr>
    <tabColor rgb="FF00B050"/>
  </sheetPr>
  <dimension ref="A1:AH151"/>
  <sheetViews>
    <sheetView view="pageBreakPreview" topLeftCell="A7" zoomScaleNormal="100" zoomScaleSheetLayoutView="100" workbookViewId="0">
      <selection activeCell="N8" sqref="N8"/>
    </sheetView>
  </sheetViews>
  <sheetFormatPr defaultColWidth="9" defaultRowHeight="18"/>
  <cols>
    <col min="1" max="1" width="5.69921875" style="1" customWidth="1"/>
    <col min="2" max="3" width="7.59765625" style="1" customWidth="1"/>
    <col min="4" max="5" width="5.5" style="1" customWidth="1"/>
    <col min="6" max="8" width="7.59765625" style="1" customWidth="1"/>
    <col min="9" max="9" width="4" style="1" customWidth="1"/>
    <col min="10" max="10" width="4.09765625" style="1" hidden="1" customWidth="1"/>
    <col min="11" max="11" width="34.09765625" style="1" customWidth="1"/>
    <col min="12" max="12" width="3.59765625" style="1" hidden="1" customWidth="1"/>
    <col min="13" max="13" width="25.69921875" style="1" customWidth="1"/>
    <col min="14" max="14" width="7.59765625" style="1" customWidth="1"/>
    <col min="15" max="17" width="5.69921875" style="1" customWidth="1"/>
    <col min="18" max="18" width="7.59765625" style="1" customWidth="1"/>
    <col min="19" max="19" width="7.69921875" style="1" customWidth="1"/>
    <col min="20" max="20" width="7.59765625" style="1" customWidth="1"/>
    <col min="21" max="16384" width="9" style="1"/>
  </cols>
  <sheetData>
    <row r="1" spans="1:20" ht="19.2" customHeight="1">
      <c r="A1" s="262" t="s">
        <v>102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18"/>
      <c r="S1" s="39"/>
      <c r="T1" s="39"/>
    </row>
    <row r="2" spans="1:20" ht="19.2" customHeight="1">
      <c r="A2" s="486" t="s">
        <v>1420</v>
      </c>
      <c r="B2" s="464"/>
      <c r="C2" s="464"/>
      <c r="D2" s="464"/>
      <c r="E2" s="464"/>
      <c r="F2" s="533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1:20" ht="15" customHeight="1">
      <c r="A3" s="49" t="s">
        <v>366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 t="s">
        <v>983</v>
      </c>
      <c r="T3" s="39"/>
    </row>
    <row r="4" spans="1:20" ht="15" customHeight="1">
      <c r="A4" s="710" t="s">
        <v>2</v>
      </c>
      <c r="B4" s="712" t="s">
        <v>3</v>
      </c>
      <c r="C4" s="712"/>
      <c r="D4" s="650" t="s">
        <v>4</v>
      </c>
      <c r="E4" s="650"/>
      <c r="F4" s="712" t="s">
        <v>5</v>
      </c>
      <c r="G4" s="712"/>
      <c r="H4" s="712"/>
      <c r="I4" s="712"/>
      <c r="J4" s="650" t="s">
        <v>103</v>
      </c>
      <c r="K4" s="715" t="s">
        <v>6</v>
      </c>
      <c r="L4" s="715" t="s">
        <v>104</v>
      </c>
      <c r="M4" s="766" t="s">
        <v>105</v>
      </c>
      <c r="N4" s="185" t="s">
        <v>407</v>
      </c>
      <c r="O4" s="696" t="s">
        <v>1095</v>
      </c>
      <c r="P4" s="716" t="s">
        <v>1096</v>
      </c>
      <c r="Q4" s="715" t="s">
        <v>1097</v>
      </c>
      <c r="R4" s="674" t="s">
        <v>8</v>
      </c>
      <c r="S4" s="675"/>
      <c r="T4" s="676"/>
    </row>
    <row r="5" spans="1:20" ht="15" customHeight="1">
      <c r="A5" s="711"/>
      <c r="B5" s="712"/>
      <c r="C5" s="712"/>
      <c r="D5" s="650"/>
      <c r="E5" s="650"/>
      <c r="F5" s="712"/>
      <c r="G5" s="712"/>
      <c r="H5" s="712"/>
      <c r="I5" s="712"/>
      <c r="J5" s="650"/>
      <c r="K5" s="715"/>
      <c r="L5" s="715"/>
      <c r="M5" s="767"/>
      <c r="N5" s="186" t="s">
        <v>410</v>
      </c>
      <c r="O5" s="706"/>
      <c r="P5" s="717"/>
      <c r="Q5" s="715"/>
      <c r="R5" s="674"/>
      <c r="S5" s="675"/>
      <c r="T5" s="676"/>
    </row>
    <row r="6" spans="1:20">
      <c r="A6" s="60" t="s">
        <v>106</v>
      </c>
      <c r="B6" s="650" t="s">
        <v>48</v>
      </c>
      <c r="C6" s="650"/>
      <c r="D6" s="650" t="s">
        <v>49</v>
      </c>
      <c r="E6" s="650"/>
      <c r="F6" s="858" t="s">
        <v>50</v>
      </c>
      <c r="G6" s="859"/>
      <c r="H6" s="859"/>
      <c r="I6" s="859"/>
      <c r="J6" s="860"/>
      <c r="K6" s="32" t="s">
        <v>1426</v>
      </c>
      <c r="L6" s="32"/>
      <c r="M6" s="546" t="s">
        <v>1345</v>
      </c>
      <c r="N6" s="97" t="s">
        <v>425</v>
      </c>
      <c r="O6" s="341">
        <v>130</v>
      </c>
      <c r="P6" s="341">
        <v>1</v>
      </c>
      <c r="Q6" s="341">
        <v>4130</v>
      </c>
      <c r="R6" s="652" t="s">
        <v>51</v>
      </c>
      <c r="S6" s="623"/>
      <c r="T6" s="624"/>
    </row>
    <row r="7" spans="1:20" ht="30" customHeight="1">
      <c r="A7" s="60" t="s">
        <v>16</v>
      </c>
      <c r="B7" s="650" t="s">
        <v>42</v>
      </c>
      <c r="C7" s="650"/>
      <c r="D7" s="650" t="s">
        <v>43</v>
      </c>
      <c r="E7" s="650"/>
      <c r="F7" s="858" t="s">
        <v>44</v>
      </c>
      <c r="G7" s="859"/>
      <c r="H7" s="859"/>
      <c r="I7" s="859"/>
      <c r="J7" s="860"/>
      <c r="K7" s="291" t="s">
        <v>1346</v>
      </c>
      <c r="L7" s="32"/>
      <c r="M7" s="546" t="s">
        <v>1347</v>
      </c>
      <c r="N7" s="97" t="s">
        <v>425</v>
      </c>
      <c r="O7" s="341">
        <v>130</v>
      </c>
      <c r="P7" s="341">
        <v>1</v>
      </c>
      <c r="Q7" s="341">
        <v>7130</v>
      </c>
      <c r="R7" s="652" t="s">
        <v>46</v>
      </c>
      <c r="S7" s="623"/>
      <c r="T7" s="624"/>
    </row>
    <row r="8" spans="1:20" ht="18" customHeight="1">
      <c r="A8" s="60" t="s">
        <v>22</v>
      </c>
      <c r="B8" s="650" t="s">
        <v>48</v>
      </c>
      <c r="C8" s="650"/>
      <c r="D8" s="650" t="s">
        <v>53</v>
      </c>
      <c r="E8" s="650"/>
      <c r="F8" s="858" t="s">
        <v>54</v>
      </c>
      <c r="G8" s="859"/>
      <c r="H8" s="859"/>
      <c r="I8" s="859"/>
      <c r="J8" s="860"/>
      <c r="K8" s="32" t="s">
        <v>1338</v>
      </c>
      <c r="L8" s="32"/>
      <c r="M8" s="3" t="s">
        <v>55</v>
      </c>
      <c r="N8" s="97" t="s">
        <v>436</v>
      </c>
      <c r="O8" s="341">
        <v>130</v>
      </c>
      <c r="P8" s="341">
        <v>1</v>
      </c>
      <c r="Q8" s="341">
        <v>5130</v>
      </c>
      <c r="R8" s="652" t="s">
        <v>56</v>
      </c>
      <c r="S8" s="623"/>
      <c r="T8" s="624"/>
    </row>
    <row r="9" spans="1:20" ht="18" customHeight="1">
      <c r="A9" s="973" t="s">
        <v>110</v>
      </c>
      <c r="B9" s="661" t="s">
        <v>10</v>
      </c>
      <c r="C9" s="661"/>
      <c r="D9" s="919" t="s">
        <v>17</v>
      </c>
      <c r="E9" s="919"/>
      <c r="F9" s="893" t="s">
        <v>816</v>
      </c>
      <c r="G9" s="894"/>
      <c r="H9" s="894"/>
      <c r="I9" s="894"/>
      <c r="J9" s="895"/>
      <c r="K9" s="1165" t="s">
        <v>1332</v>
      </c>
      <c r="L9" s="124"/>
      <c r="M9" s="802" t="s">
        <v>112</v>
      </c>
      <c r="N9" s="1114"/>
      <c r="O9" s="345">
        <v>130</v>
      </c>
      <c r="P9" s="345">
        <v>1</v>
      </c>
      <c r="Q9" s="345">
        <v>8130</v>
      </c>
      <c r="R9" s="656" t="s">
        <v>25</v>
      </c>
      <c r="S9" s="657"/>
      <c r="T9" s="658"/>
    </row>
    <row r="10" spans="1:20" ht="18" customHeight="1">
      <c r="A10" s="973"/>
      <c r="B10" s="661" t="s">
        <v>13</v>
      </c>
      <c r="C10" s="661"/>
      <c r="D10" s="919" t="s">
        <v>11</v>
      </c>
      <c r="E10" s="919"/>
      <c r="F10" s="893" t="s">
        <v>26</v>
      </c>
      <c r="G10" s="894"/>
      <c r="H10" s="894"/>
      <c r="I10" s="894"/>
      <c r="J10" s="895"/>
      <c r="K10" s="1166"/>
      <c r="L10" s="124"/>
      <c r="M10" s="803"/>
      <c r="N10" s="1115"/>
      <c r="O10" s="368"/>
      <c r="P10" s="368"/>
      <c r="Q10" s="368"/>
      <c r="R10" s="631"/>
      <c r="S10" s="632"/>
      <c r="T10" s="633"/>
    </row>
    <row r="11" spans="1:20" ht="18" customHeight="1">
      <c r="A11" s="973" t="s">
        <v>113</v>
      </c>
      <c r="B11" s="661" t="s">
        <v>10</v>
      </c>
      <c r="C11" s="661"/>
      <c r="D11" s="661" t="s">
        <v>17</v>
      </c>
      <c r="E11" s="661"/>
      <c r="F11" s="659" t="s">
        <v>114</v>
      </c>
      <c r="G11" s="659"/>
      <c r="H11" s="659"/>
      <c r="I11" s="659"/>
      <c r="J11" s="8">
        <v>3000</v>
      </c>
      <c r="K11" s="654" t="s">
        <v>1335</v>
      </c>
      <c r="L11" s="124"/>
      <c r="M11" s="802" t="s">
        <v>1015</v>
      </c>
      <c r="N11" s="1114"/>
      <c r="O11" s="345">
        <v>130</v>
      </c>
      <c r="P11" s="345">
        <v>1</v>
      </c>
      <c r="Q11" s="345">
        <v>2130</v>
      </c>
      <c r="R11" s="870" t="s">
        <v>856</v>
      </c>
      <c r="S11" s="657"/>
      <c r="T11" s="658"/>
    </row>
    <row r="12" spans="1:20" ht="18" customHeight="1">
      <c r="A12" s="973"/>
      <c r="B12" s="661" t="s">
        <v>13</v>
      </c>
      <c r="C12" s="661"/>
      <c r="D12" s="661" t="s">
        <v>11</v>
      </c>
      <c r="E12" s="661"/>
      <c r="F12" s="659" t="s">
        <v>21</v>
      </c>
      <c r="G12" s="659"/>
      <c r="H12" s="659"/>
      <c r="I12" s="659"/>
      <c r="J12" s="8"/>
      <c r="K12" s="655"/>
      <c r="L12" s="124"/>
      <c r="M12" s="803"/>
      <c r="N12" s="1115"/>
      <c r="O12" s="335"/>
      <c r="P12" s="335"/>
      <c r="Q12" s="335"/>
      <c r="R12" s="634"/>
      <c r="S12" s="635"/>
      <c r="T12" s="636"/>
    </row>
    <row r="13" spans="1:20" ht="18" customHeight="1">
      <c r="A13" s="973" t="s">
        <v>117</v>
      </c>
      <c r="B13" s="661" t="s">
        <v>35</v>
      </c>
      <c r="C13" s="661"/>
      <c r="D13" s="661" t="s">
        <v>11</v>
      </c>
      <c r="E13" s="661"/>
      <c r="F13" s="699" t="s">
        <v>118</v>
      </c>
      <c r="G13" s="699"/>
      <c r="H13" s="699"/>
      <c r="I13" s="699"/>
      <c r="J13" s="8">
        <v>900</v>
      </c>
      <c r="K13" s="654"/>
      <c r="L13" s="124"/>
      <c r="M13" s="702" t="s">
        <v>37</v>
      </c>
      <c r="N13" s="913"/>
      <c r="O13" s="479">
        <v>130</v>
      </c>
      <c r="P13" s="479">
        <v>1</v>
      </c>
      <c r="Q13" s="479">
        <v>3130</v>
      </c>
      <c r="R13" s="660" t="s">
        <v>38</v>
      </c>
      <c r="S13" s="660"/>
      <c r="T13" s="660"/>
    </row>
    <row r="14" spans="1:20" ht="18" customHeight="1">
      <c r="A14" s="973"/>
      <c r="B14" s="661" t="s">
        <v>119</v>
      </c>
      <c r="C14" s="661"/>
      <c r="D14" s="661" t="s">
        <v>11</v>
      </c>
      <c r="E14" s="661"/>
      <c r="F14" s="699" t="s">
        <v>120</v>
      </c>
      <c r="G14" s="699"/>
      <c r="H14" s="699"/>
      <c r="I14" s="699"/>
      <c r="J14" s="8"/>
      <c r="K14" s="655"/>
      <c r="L14" s="124"/>
      <c r="M14" s="691"/>
      <c r="N14" s="914"/>
      <c r="O14" s="435"/>
      <c r="P14" s="435"/>
      <c r="Q14" s="435"/>
      <c r="R14" s="660"/>
      <c r="S14" s="660"/>
      <c r="T14" s="660"/>
    </row>
    <row r="15" spans="1:20" ht="18" customHeight="1">
      <c r="A15" s="60" t="s">
        <v>61</v>
      </c>
      <c r="B15" s="650" t="s">
        <v>62</v>
      </c>
      <c r="C15" s="650"/>
      <c r="D15" s="650" t="s">
        <v>63</v>
      </c>
      <c r="E15" s="650"/>
      <c r="F15" s="858" t="s">
        <v>64</v>
      </c>
      <c r="G15" s="859"/>
      <c r="H15" s="859"/>
      <c r="I15" s="859"/>
      <c r="J15" s="860"/>
      <c r="K15" s="547" t="s">
        <v>1340</v>
      </c>
      <c r="L15" s="32"/>
      <c r="M15" s="36"/>
      <c r="N15" s="97" t="s">
        <v>425</v>
      </c>
      <c r="O15" s="97">
        <v>130</v>
      </c>
      <c r="P15" s="97">
        <v>1</v>
      </c>
      <c r="Q15" s="97">
        <v>25130</v>
      </c>
      <c r="R15" s="660" t="s">
        <v>121</v>
      </c>
      <c r="S15" s="660"/>
      <c r="T15" s="660"/>
    </row>
    <row r="16" spans="1:20" ht="18" customHeight="1">
      <c r="A16" s="60" t="s">
        <v>122</v>
      </c>
      <c r="B16" s="650" t="s">
        <v>58</v>
      </c>
      <c r="C16" s="650"/>
      <c r="D16" s="650" t="s">
        <v>43</v>
      </c>
      <c r="E16" s="650"/>
      <c r="F16" s="858" t="s">
        <v>59</v>
      </c>
      <c r="G16" s="859"/>
      <c r="H16" s="859"/>
      <c r="I16" s="859"/>
      <c r="J16" s="860"/>
      <c r="K16" s="32" t="s">
        <v>1252</v>
      </c>
      <c r="L16" s="32"/>
      <c r="M16" s="36"/>
      <c r="N16" s="97" t="s">
        <v>425</v>
      </c>
      <c r="O16" s="97">
        <v>130</v>
      </c>
      <c r="P16" s="97">
        <v>1</v>
      </c>
      <c r="Q16" s="97">
        <v>20130</v>
      </c>
      <c r="R16" s="660" t="s">
        <v>124</v>
      </c>
      <c r="S16" s="660"/>
      <c r="T16" s="660"/>
    </row>
    <row r="17" spans="1:20" ht="18" customHeight="1">
      <c r="A17" s="665" t="s">
        <v>809</v>
      </c>
      <c r="B17" s="661" t="s">
        <v>28</v>
      </c>
      <c r="C17" s="661"/>
      <c r="D17" s="661" t="s">
        <v>29</v>
      </c>
      <c r="E17" s="661"/>
      <c r="F17" s="662" t="s">
        <v>815</v>
      </c>
      <c r="G17" s="663"/>
      <c r="H17" s="663"/>
      <c r="I17" s="663"/>
      <c r="J17" s="750"/>
      <c r="K17" s="654"/>
      <c r="L17" s="51"/>
      <c r="M17" s="702" t="s">
        <v>30</v>
      </c>
      <c r="N17" s="913"/>
      <c r="O17" s="485">
        <v>130</v>
      </c>
      <c r="P17" s="485">
        <v>1</v>
      </c>
      <c r="Q17" s="485">
        <v>1630</v>
      </c>
      <c r="R17" s="708" t="s">
        <v>126</v>
      </c>
      <c r="S17" s="708"/>
      <c r="T17" s="708"/>
    </row>
    <row r="18" spans="1:20" ht="18" customHeight="1">
      <c r="A18" s="718"/>
      <c r="B18" s="661" t="s">
        <v>32</v>
      </c>
      <c r="C18" s="661"/>
      <c r="D18" s="661" t="s">
        <v>29</v>
      </c>
      <c r="E18" s="661"/>
      <c r="F18" s="662" t="s">
        <v>33</v>
      </c>
      <c r="G18" s="663"/>
      <c r="H18" s="663"/>
      <c r="I18" s="663"/>
      <c r="J18" s="750"/>
      <c r="K18" s="655"/>
      <c r="L18" s="50"/>
      <c r="M18" s="691"/>
      <c r="N18" s="914"/>
      <c r="O18" s="387"/>
      <c r="P18" s="387"/>
      <c r="Q18" s="485"/>
      <c r="R18" s="698"/>
      <c r="S18" s="698"/>
      <c r="T18" s="698"/>
    </row>
    <row r="19" spans="1:20" ht="18" customHeight="1">
      <c r="A19" s="1160" t="s">
        <v>127</v>
      </c>
      <c r="B19" s="919" t="s">
        <v>10</v>
      </c>
      <c r="C19" s="919"/>
      <c r="D19" s="919" t="s">
        <v>49</v>
      </c>
      <c r="E19" s="919"/>
      <c r="F19" s="893" t="s">
        <v>853</v>
      </c>
      <c r="G19" s="894"/>
      <c r="H19" s="894"/>
      <c r="I19" s="894"/>
      <c r="J19" s="895"/>
      <c r="K19" s="654"/>
      <c r="L19" s="124"/>
      <c r="M19" s="1162" t="s">
        <v>1334</v>
      </c>
      <c r="N19" s="1114"/>
      <c r="O19" s="348">
        <v>130</v>
      </c>
      <c r="P19" s="348">
        <v>1</v>
      </c>
      <c r="Q19" s="479">
        <v>1630</v>
      </c>
      <c r="R19" s="660" t="s">
        <v>12</v>
      </c>
      <c r="S19" s="660"/>
      <c r="T19" s="660"/>
    </row>
    <row r="20" spans="1:20" ht="18" customHeight="1" thickBot="1">
      <c r="A20" s="1161"/>
      <c r="B20" s="1164" t="s">
        <v>13</v>
      </c>
      <c r="C20" s="1164"/>
      <c r="D20" s="1164" t="s">
        <v>14</v>
      </c>
      <c r="E20" s="1164"/>
      <c r="F20" s="940" t="s">
        <v>15</v>
      </c>
      <c r="G20" s="941"/>
      <c r="H20" s="941"/>
      <c r="I20" s="941"/>
      <c r="J20" s="942"/>
      <c r="K20" s="1128"/>
      <c r="L20" s="363"/>
      <c r="M20" s="1163"/>
      <c r="N20" s="1129"/>
      <c r="O20" s="354"/>
      <c r="P20" s="354"/>
      <c r="Q20" s="354"/>
      <c r="R20" s="692"/>
      <c r="S20" s="692"/>
      <c r="T20" s="692"/>
    </row>
    <row r="21" spans="1:20" ht="30" customHeight="1" thickTop="1">
      <c r="A21" s="175" t="s">
        <v>66</v>
      </c>
      <c r="B21" s="650" t="s">
        <v>62</v>
      </c>
      <c r="C21" s="650"/>
      <c r="D21" s="650" t="s">
        <v>63</v>
      </c>
      <c r="E21" s="650"/>
      <c r="F21" s="858" t="s">
        <v>128</v>
      </c>
      <c r="G21" s="859"/>
      <c r="H21" s="859"/>
      <c r="I21" s="859"/>
      <c r="J21" s="860"/>
      <c r="K21" s="293" t="s">
        <v>1348</v>
      </c>
      <c r="L21" s="43"/>
      <c r="M21" s="44"/>
      <c r="N21" s="97" t="s">
        <v>425</v>
      </c>
      <c r="O21" s="343">
        <v>130</v>
      </c>
      <c r="P21" s="343">
        <v>1</v>
      </c>
      <c r="Q21" s="343">
        <v>6130</v>
      </c>
      <c r="R21" s="1155" t="s">
        <v>1424</v>
      </c>
      <c r="S21" s="816"/>
      <c r="T21" s="817"/>
    </row>
    <row r="22" spans="1:20" ht="18" customHeight="1">
      <c r="A22" s="60" t="s">
        <v>269</v>
      </c>
      <c r="B22" s="618" t="s">
        <v>58</v>
      </c>
      <c r="C22" s="619"/>
      <c r="D22" s="1156" t="s">
        <v>43</v>
      </c>
      <c r="E22" s="1157"/>
      <c r="F22" s="858" t="s">
        <v>765</v>
      </c>
      <c r="G22" s="859"/>
      <c r="H22" s="859"/>
      <c r="I22" s="859"/>
      <c r="J22" s="182"/>
      <c r="K22" s="122"/>
      <c r="L22" s="32"/>
      <c r="M22" s="36" t="s">
        <v>766</v>
      </c>
      <c r="N22" s="97" t="s">
        <v>425</v>
      </c>
      <c r="O22" s="341">
        <v>130</v>
      </c>
      <c r="P22" s="341">
        <v>1</v>
      </c>
      <c r="Q22" s="341">
        <v>30130</v>
      </c>
      <c r="R22" s="652" t="s">
        <v>151</v>
      </c>
      <c r="S22" s="623"/>
      <c r="T22" s="624"/>
    </row>
    <row r="23" spans="1:20" ht="18" customHeight="1">
      <c r="A23" s="718" t="s">
        <v>133</v>
      </c>
      <c r="B23" s="637" t="s">
        <v>134</v>
      </c>
      <c r="C23" s="637"/>
      <c r="D23" s="637" t="s">
        <v>11</v>
      </c>
      <c r="E23" s="637"/>
      <c r="F23" s="653" t="s">
        <v>135</v>
      </c>
      <c r="G23" s="653"/>
      <c r="H23" s="653"/>
      <c r="I23" s="653"/>
      <c r="J23" s="14">
        <v>1000</v>
      </c>
      <c r="K23" s="1131" t="s">
        <v>1425</v>
      </c>
      <c r="L23" s="51"/>
      <c r="M23" s="1158" t="s">
        <v>1351</v>
      </c>
      <c r="N23" s="867"/>
      <c r="O23" s="388">
        <v>130</v>
      </c>
      <c r="P23" s="388">
        <v>1</v>
      </c>
      <c r="Q23" s="388">
        <v>530</v>
      </c>
      <c r="R23" s="631" t="s">
        <v>136</v>
      </c>
      <c r="S23" s="632"/>
      <c r="T23" s="633"/>
    </row>
    <row r="24" spans="1:20" ht="18" customHeight="1">
      <c r="A24" s="664"/>
      <c r="B24" s="661" t="s">
        <v>137</v>
      </c>
      <c r="C24" s="661"/>
      <c r="D24" s="661" t="s">
        <v>11</v>
      </c>
      <c r="E24" s="661"/>
      <c r="F24" s="659" t="s">
        <v>138</v>
      </c>
      <c r="G24" s="659"/>
      <c r="H24" s="659"/>
      <c r="I24" s="659"/>
      <c r="J24" s="8"/>
      <c r="K24" s="1131"/>
      <c r="L24" s="124"/>
      <c r="M24" s="1158"/>
      <c r="N24" s="868"/>
      <c r="O24" s="388"/>
      <c r="P24" s="388"/>
      <c r="Q24" s="388"/>
      <c r="R24" s="631"/>
      <c r="S24" s="632"/>
      <c r="T24" s="633"/>
    </row>
    <row r="25" spans="1:20" ht="18" customHeight="1">
      <c r="A25" s="665"/>
      <c r="B25" s="661" t="s">
        <v>1316</v>
      </c>
      <c r="C25" s="661"/>
      <c r="D25" s="661" t="s">
        <v>139</v>
      </c>
      <c r="E25" s="661"/>
      <c r="F25" s="659" t="s">
        <v>140</v>
      </c>
      <c r="G25" s="659"/>
      <c r="H25" s="659"/>
      <c r="I25" s="659"/>
      <c r="J25" s="8"/>
      <c r="K25" s="1132"/>
      <c r="L25" s="124"/>
      <c r="M25" s="1159"/>
      <c r="N25" s="869"/>
      <c r="O25" s="389"/>
      <c r="P25" s="389"/>
      <c r="Q25" s="389"/>
      <c r="R25" s="634"/>
      <c r="S25" s="635"/>
      <c r="T25" s="636"/>
    </row>
    <row r="26" spans="1:20" ht="18" customHeight="1">
      <c r="A26" s="718" t="s">
        <v>767</v>
      </c>
      <c r="B26" s="637" t="s">
        <v>10</v>
      </c>
      <c r="C26" s="637"/>
      <c r="D26" s="638" t="s">
        <v>14</v>
      </c>
      <c r="E26" s="639"/>
      <c r="F26" s="662" t="s">
        <v>80</v>
      </c>
      <c r="G26" s="663"/>
      <c r="H26" s="663"/>
      <c r="I26" s="663"/>
      <c r="J26" s="13"/>
      <c r="K26" s="1146" t="s">
        <v>1341</v>
      </c>
      <c r="L26" s="124"/>
      <c r="M26" s="1149"/>
      <c r="N26" s="1152"/>
      <c r="O26" s="345">
        <v>130</v>
      </c>
      <c r="P26" s="345">
        <v>1</v>
      </c>
      <c r="Q26" s="345">
        <v>2630</v>
      </c>
      <c r="R26" s="870" t="s">
        <v>855</v>
      </c>
      <c r="S26" s="657"/>
      <c r="T26" s="658"/>
    </row>
    <row r="27" spans="1:20" ht="18" customHeight="1">
      <c r="A27" s="664"/>
      <c r="B27" s="637" t="s">
        <v>81</v>
      </c>
      <c r="C27" s="637"/>
      <c r="D27" s="638" t="s">
        <v>14</v>
      </c>
      <c r="E27" s="639"/>
      <c r="F27" s="662" t="s">
        <v>82</v>
      </c>
      <c r="G27" s="663"/>
      <c r="H27" s="663"/>
      <c r="I27" s="663"/>
      <c r="J27" s="13"/>
      <c r="K27" s="1147"/>
      <c r="L27" s="124"/>
      <c r="M27" s="1150"/>
      <c r="N27" s="1153"/>
      <c r="O27" s="368"/>
      <c r="P27" s="368"/>
      <c r="Q27" s="368"/>
      <c r="R27" s="631"/>
      <c r="S27" s="632"/>
      <c r="T27" s="633"/>
    </row>
    <row r="28" spans="1:20" ht="18" customHeight="1">
      <c r="A28" s="665"/>
      <c r="B28" s="661" t="s">
        <v>131</v>
      </c>
      <c r="C28" s="661"/>
      <c r="D28" s="661" t="s">
        <v>11</v>
      </c>
      <c r="E28" s="661"/>
      <c r="F28" s="699" t="s">
        <v>132</v>
      </c>
      <c r="G28" s="699"/>
      <c r="H28" s="699"/>
      <c r="I28" s="699"/>
      <c r="J28" s="13"/>
      <c r="K28" s="1148"/>
      <c r="L28" s="124"/>
      <c r="M28" s="1151"/>
      <c r="N28" s="1154"/>
      <c r="O28" s="335"/>
      <c r="P28" s="335"/>
      <c r="Q28" s="335"/>
      <c r="R28" s="634"/>
      <c r="S28" s="635"/>
      <c r="T28" s="636"/>
    </row>
    <row r="29" spans="1:20" ht="30" customHeight="1">
      <c r="A29" s="60" t="s">
        <v>768</v>
      </c>
      <c r="B29" s="618" t="s">
        <v>147</v>
      </c>
      <c r="C29" s="619"/>
      <c r="D29" s="618" t="s">
        <v>49</v>
      </c>
      <c r="E29" s="619"/>
      <c r="F29" s="620" t="s">
        <v>769</v>
      </c>
      <c r="G29" s="621"/>
      <c r="H29" s="621"/>
      <c r="I29" s="622"/>
      <c r="J29" s="15">
        <v>5000</v>
      </c>
      <c r="K29" s="520" t="s">
        <v>1422</v>
      </c>
      <c r="L29" s="32"/>
      <c r="M29" s="551" t="s">
        <v>1349</v>
      </c>
      <c r="N29" s="97" t="s">
        <v>704</v>
      </c>
      <c r="O29" s="341">
        <v>130</v>
      </c>
      <c r="P29" s="341">
        <v>1</v>
      </c>
      <c r="Q29" s="341">
        <v>2130</v>
      </c>
      <c r="R29" s="652" t="s">
        <v>98</v>
      </c>
      <c r="S29" s="623"/>
      <c r="T29" s="624"/>
    </row>
    <row r="30" spans="1:20" ht="30" customHeight="1">
      <c r="A30" s="60" t="s">
        <v>352</v>
      </c>
      <c r="B30" s="618" t="s">
        <v>147</v>
      </c>
      <c r="C30" s="619"/>
      <c r="D30" s="618" t="s">
        <v>49</v>
      </c>
      <c r="E30" s="619"/>
      <c r="F30" s="620" t="s">
        <v>770</v>
      </c>
      <c r="G30" s="621"/>
      <c r="H30" s="621"/>
      <c r="I30" s="622"/>
      <c r="J30" s="15">
        <v>1000</v>
      </c>
      <c r="K30" s="520" t="s">
        <v>1423</v>
      </c>
      <c r="L30" s="32"/>
      <c r="M30" s="550" t="s">
        <v>1350</v>
      </c>
      <c r="N30" s="97" t="s">
        <v>425</v>
      </c>
      <c r="O30" s="341">
        <v>130</v>
      </c>
      <c r="P30" s="341">
        <v>1</v>
      </c>
      <c r="Q30" s="341">
        <v>5130</v>
      </c>
      <c r="R30" s="652" t="s">
        <v>149</v>
      </c>
      <c r="S30" s="623"/>
      <c r="T30" s="624"/>
    </row>
    <row r="31" spans="1:20" ht="18" customHeight="1">
      <c r="A31" s="1135" t="s">
        <v>75</v>
      </c>
      <c r="B31" s="700" t="s">
        <v>10</v>
      </c>
      <c r="C31" s="701"/>
      <c r="D31" s="700" t="s">
        <v>43</v>
      </c>
      <c r="E31" s="701"/>
      <c r="F31" s="769" t="s">
        <v>142</v>
      </c>
      <c r="G31" s="770"/>
      <c r="H31" s="770"/>
      <c r="I31" s="771"/>
      <c r="J31" s="8">
        <v>698</v>
      </c>
      <c r="K31" s="654" t="s">
        <v>1421</v>
      </c>
      <c r="L31" s="124"/>
      <c r="M31" s="802"/>
      <c r="N31" s="1114"/>
      <c r="O31" s="350">
        <v>130</v>
      </c>
      <c r="P31" s="350">
        <v>1</v>
      </c>
      <c r="Q31" s="350">
        <v>1630</v>
      </c>
      <c r="R31" s="656" t="s">
        <v>144</v>
      </c>
      <c r="S31" s="657"/>
      <c r="T31" s="658"/>
    </row>
    <row r="32" spans="1:20" ht="18" customHeight="1">
      <c r="A32" s="1137"/>
      <c r="B32" s="700" t="s">
        <v>145</v>
      </c>
      <c r="C32" s="701"/>
      <c r="D32" s="700" t="s">
        <v>43</v>
      </c>
      <c r="E32" s="701"/>
      <c r="F32" s="769" t="s">
        <v>146</v>
      </c>
      <c r="G32" s="770"/>
      <c r="H32" s="770"/>
      <c r="I32" s="771"/>
      <c r="J32" s="8">
        <v>699</v>
      </c>
      <c r="K32" s="655"/>
      <c r="L32" s="124"/>
      <c r="M32" s="803"/>
      <c r="N32" s="1115"/>
      <c r="O32" s="352"/>
      <c r="P32" s="352"/>
      <c r="Q32" s="352"/>
      <c r="R32" s="634"/>
      <c r="S32" s="635"/>
      <c r="T32" s="636"/>
    </row>
    <row r="33" spans="1:20" ht="18" customHeight="1">
      <c r="A33" s="278" t="s">
        <v>1376</v>
      </c>
      <c r="B33" s="16"/>
      <c r="C33" s="16"/>
      <c r="D33" s="16"/>
      <c r="E33" s="16"/>
      <c r="F33" s="17"/>
      <c r="G33" s="17"/>
      <c r="H33" s="17"/>
      <c r="I33" s="17"/>
      <c r="J33" s="18"/>
      <c r="K33" s="45"/>
      <c r="L33" s="46"/>
      <c r="M33" s="47"/>
      <c r="N33" s="47"/>
      <c r="O33" s="47"/>
      <c r="P33" s="47"/>
      <c r="Q33" s="47"/>
      <c r="R33" s="20"/>
      <c r="S33" s="20"/>
      <c r="T33" s="20"/>
    </row>
    <row r="34" spans="1:20" ht="18" customHeight="1">
      <c r="A34" s="279" t="s">
        <v>1393</v>
      </c>
      <c r="B34" s="16"/>
      <c r="C34" s="16"/>
      <c r="D34" s="16"/>
      <c r="E34" s="16"/>
      <c r="F34" s="17"/>
      <c r="G34" s="17"/>
      <c r="H34" s="17"/>
      <c r="I34" s="17"/>
      <c r="J34" s="18"/>
      <c r="K34" s="45"/>
      <c r="L34" s="46"/>
      <c r="M34" s="47"/>
      <c r="N34" s="47"/>
      <c r="O34" s="47"/>
      <c r="P34" s="47"/>
      <c r="Q34" s="47"/>
      <c r="R34" s="20"/>
      <c r="S34" s="20"/>
      <c r="T34" s="20"/>
    </row>
    <row r="35" spans="1:20" ht="18" customHeight="1">
      <c r="A35" s="279"/>
      <c r="B35" s="16"/>
      <c r="C35" s="16"/>
      <c r="D35" s="16"/>
      <c r="E35" s="16"/>
      <c r="F35" s="17"/>
      <c r="G35" s="17"/>
      <c r="H35" s="17"/>
      <c r="I35" s="17"/>
      <c r="J35" s="18"/>
      <c r="K35" s="45"/>
      <c r="L35" s="46"/>
      <c r="M35" s="47"/>
      <c r="N35" s="47"/>
      <c r="O35" s="47"/>
      <c r="P35" s="47"/>
      <c r="Q35" s="47"/>
      <c r="R35" s="20"/>
      <c r="S35" s="20"/>
      <c r="T35" s="20"/>
    </row>
    <row r="36" spans="1:20" ht="15" customHeight="1">
      <c r="A36" s="279"/>
      <c r="B36" s="16"/>
      <c r="C36" s="16"/>
      <c r="D36" s="16"/>
      <c r="E36" s="16"/>
      <c r="F36" s="17"/>
      <c r="G36" s="17"/>
      <c r="H36" s="17"/>
      <c r="I36" s="17"/>
      <c r="J36" s="18"/>
      <c r="K36" s="45"/>
      <c r="L36" s="46"/>
      <c r="M36" s="47"/>
      <c r="N36" s="47"/>
      <c r="O36" s="47"/>
      <c r="P36" s="47"/>
      <c r="Q36" s="47"/>
      <c r="R36" s="20"/>
      <c r="S36" s="20"/>
      <c r="T36" s="20"/>
    </row>
    <row r="37" spans="1:20" ht="18" customHeight="1">
      <c r="A37" s="279"/>
      <c r="B37" s="16"/>
      <c r="C37" s="16"/>
      <c r="D37" s="16"/>
      <c r="E37" s="16"/>
      <c r="F37" s="17"/>
      <c r="G37" s="17"/>
      <c r="H37" s="17"/>
      <c r="I37" s="17"/>
      <c r="J37" s="18"/>
      <c r="K37" s="45"/>
      <c r="L37" s="46"/>
      <c r="M37" s="47"/>
      <c r="N37" s="47"/>
      <c r="O37" s="47"/>
      <c r="P37" s="47"/>
      <c r="Q37" s="47"/>
      <c r="R37" s="20"/>
      <c r="S37" s="20"/>
      <c r="T37" s="20"/>
    </row>
    <row r="38" spans="1:20" ht="18.75" customHeight="1">
      <c r="A38" s="262" t="s">
        <v>102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418"/>
      <c r="S38" s="39"/>
      <c r="T38" s="39"/>
    </row>
    <row r="39" spans="1:20" ht="18.75" customHeight="1">
      <c r="A39" s="486" t="s">
        <v>1007</v>
      </c>
      <c r="B39" s="464"/>
      <c r="C39" s="464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</row>
    <row r="40" spans="1:20" ht="15" customHeight="1">
      <c r="A40" s="49" t="s">
        <v>366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 t="s">
        <v>983</v>
      </c>
      <c r="T40" s="39"/>
    </row>
    <row r="41" spans="1:20" ht="15" customHeight="1">
      <c r="A41" s="710" t="s">
        <v>2</v>
      </c>
      <c r="B41" s="712" t="s">
        <v>3</v>
      </c>
      <c r="C41" s="712"/>
      <c r="D41" s="650" t="s">
        <v>4</v>
      </c>
      <c r="E41" s="650"/>
      <c r="F41" s="712" t="s">
        <v>5</v>
      </c>
      <c r="G41" s="712"/>
      <c r="H41" s="712"/>
      <c r="I41" s="712"/>
      <c r="J41" s="650" t="s">
        <v>103</v>
      </c>
      <c r="K41" s="715" t="s">
        <v>6</v>
      </c>
      <c r="L41" s="715" t="s">
        <v>104</v>
      </c>
      <c r="M41" s="766" t="s">
        <v>105</v>
      </c>
      <c r="N41" s="185" t="s">
        <v>407</v>
      </c>
      <c r="O41" s="696" t="s">
        <v>1095</v>
      </c>
      <c r="P41" s="716" t="s">
        <v>1096</v>
      </c>
      <c r="Q41" s="715" t="s">
        <v>1097</v>
      </c>
      <c r="R41" s="674" t="s">
        <v>8</v>
      </c>
      <c r="S41" s="675"/>
      <c r="T41" s="676"/>
    </row>
    <row r="42" spans="1:20" ht="15" customHeight="1">
      <c r="A42" s="711"/>
      <c r="B42" s="712"/>
      <c r="C42" s="712"/>
      <c r="D42" s="650"/>
      <c r="E42" s="650"/>
      <c r="F42" s="712"/>
      <c r="G42" s="712"/>
      <c r="H42" s="712"/>
      <c r="I42" s="712"/>
      <c r="J42" s="650"/>
      <c r="K42" s="715"/>
      <c r="L42" s="715"/>
      <c r="M42" s="767"/>
      <c r="N42" s="186" t="s">
        <v>410</v>
      </c>
      <c r="O42" s="706"/>
      <c r="P42" s="717"/>
      <c r="Q42" s="715"/>
      <c r="R42" s="674"/>
      <c r="S42" s="675"/>
      <c r="T42" s="676"/>
    </row>
    <row r="43" spans="1:20" ht="30" customHeight="1">
      <c r="A43" s="60" t="s">
        <v>106</v>
      </c>
      <c r="B43" s="650" t="s">
        <v>48</v>
      </c>
      <c r="C43" s="650"/>
      <c r="D43" s="650" t="s">
        <v>49</v>
      </c>
      <c r="E43" s="650"/>
      <c r="F43" s="858" t="s">
        <v>50</v>
      </c>
      <c r="G43" s="859"/>
      <c r="H43" s="859"/>
      <c r="I43" s="859"/>
      <c r="J43" s="860"/>
      <c r="K43" s="32" t="s">
        <v>1012</v>
      </c>
      <c r="L43" s="33"/>
      <c r="M43" s="281" t="s">
        <v>1009</v>
      </c>
      <c r="N43" s="97" t="s">
        <v>425</v>
      </c>
      <c r="O43" s="341"/>
      <c r="P43" s="341"/>
      <c r="Q43" s="341"/>
      <c r="R43" s="652" t="s">
        <v>51</v>
      </c>
      <c r="S43" s="623"/>
      <c r="T43" s="624"/>
    </row>
    <row r="44" spans="1:20" ht="30" customHeight="1">
      <c r="A44" s="60" t="s">
        <v>16</v>
      </c>
      <c r="B44" s="650" t="s">
        <v>42</v>
      </c>
      <c r="C44" s="650"/>
      <c r="D44" s="650" t="s">
        <v>43</v>
      </c>
      <c r="E44" s="650"/>
      <c r="F44" s="858" t="s">
        <v>44</v>
      </c>
      <c r="G44" s="859"/>
      <c r="H44" s="859"/>
      <c r="I44" s="859"/>
      <c r="J44" s="860"/>
      <c r="K44" s="291" t="s">
        <v>1017</v>
      </c>
      <c r="L44" s="33"/>
      <c r="M44" s="281" t="s">
        <v>1008</v>
      </c>
      <c r="N44" s="97" t="s">
        <v>425</v>
      </c>
      <c r="O44" s="341"/>
      <c r="P44" s="341"/>
      <c r="Q44" s="341"/>
      <c r="R44" s="652" t="s">
        <v>46</v>
      </c>
      <c r="S44" s="623"/>
      <c r="T44" s="624"/>
    </row>
    <row r="45" spans="1:20" ht="16.95" customHeight="1">
      <c r="A45" s="60" t="s">
        <v>22</v>
      </c>
      <c r="B45" s="650" t="s">
        <v>48</v>
      </c>
      <c r="C45" s="650"/>
      <c r="D45" s="650" t="s">
        <v>53</v>
      </c>
      <c r="E45" s="650"/>
      <c r="F45" s="858" t="s">
        <v>54</v>
      </c>
      <c r="G45" s="859"/>
      <c r="H45" s="859"/>
      <c r="I45" s="859"/>
      <c r="J45" s="860"/>
      <c r="K45" s="32" t="s">
        <v>1011</v>
      </c>
      <c r="L45" s="33"/>
      <c r="M45" s="3" t="s">
        <v>55</v>
      </c>
      <c r="N45" s="97" t="s">
        <v>436</v>
      </c>
      <c r="O45" s="341"/>
      <c r="P45" s="341"/>
      <c r="Q45" s="341"/>
      <c r="R45" s="652" t="s">
        <v>56</v>
      </c>
      <c r="S45" s="623"/>
      <c r="T45" s="624"/>
    </row>
    <row r="46" spans="1:20" ht="19.95" customHeight="1">
      <c r="A46" s="973" t="s">
        <v>110</v>
      </c>
      <c r="B46" s="661" t="s">
        <v>10</v>
      </c>
      <c r="C46" s="661"/>
      <c r="D46" s="919" t="s">
        <v>17</v>
      </c>
      <c r="E46" s="919"/>
      <c r="F46" s="893" t="s">
        <v>816</v>
      </c>
      <c r="G46" s="894"/>
      <c r="H46" s="894"/>
      <c r="I46" s="894"/>
      <c r="J46" s="895"/>
      <c r="K46" s="1181" t="s">
        <v>1021</v>
      </c>
      <c r="L46" s="41"/>
      <c r="M46" s="802" t="s">
        <v>112</v>
      </c>
      <c r="N46" s="1114"/>
      <c r="O46" s="350"/>
      <c r="P46" s="350"/>
      <c r="Q46" s="350"/>
      <c r="R46" s="656" t="s">
        <v>25</v>
      </c>
      <c r="S46" s="657"/>
      <c r="T46" s="658"/>
    </row>
    <row r="47" spans="1:20" ht="19.95" customHeight="1">
      <c r="A47" s="973"/>
      <c r="B47" s="661" t="s">
        <v>13</v>
      </c>
      <c r="C47" s="661"/>
      <c r="D47" s="919" t="s">
        <v>11</v>
      </c>
      <c r="E47" s="919"/>
      <c r="F47" s="893" t="s">
        <v>26</v>
      </c>
      <c r="G47" s="894"/>
      <c r="H47" s="894"/>
      <c r="I47" s="894"/>
      <c r="J47" s="895"/>
      <c r="K47" s="1123"/>
      <c r="L47" s="41"/>
      <c r="M47" s="803"/>
      <c r="N47" s="1115"/>
      <c r="O47" s="351"/>
      <c r="P47" s="351"/>
      <c r="Q47" s="351"/>
      <c r="R47" s="631"/>
      <c r="S47" s="632"/>
      <c r="T47" s="633"/>
    </row>
    <row r="48" spans="1:20" ht="16.95" customHeight="1">
      <c r="A48" s="973" t="s">
        <v>113</v>
      </c>
      <c r="B48" s="661" t="s">
        <v>10</v>
      </c>
      <c r="C48" s="661"/>
      <c r="D48" s="661" t="s">
        <v>17</v>
      </c>
      <c r="E48" s="661"/>
      <c r="F48" s="659" t="s">
        <v>114</v>
      </c>
      <c r="G48" s="659"/>
      <c r="H48" s="659"/>
      <c r="I48" s="659"/>
      <c r="J48" s="8">
        <v>3000</v>
      </c>
      <c r="K48" s="654" t="s">
        <v>1013</v>
      </c>
      <c r="L48" s="41"/>
      <c r="M48" s="802" t="s">
        <v>1015</v>
      </c>
      <c r="N48" s="1114"/>
      <c r="O48" s="350"/>
      <c r="P48" s="350"/>
      <c r="Q48" s="350"/>
      <c r="R48" s="870" t="s">
        <v>856</v>
      </c>
      <c r="S48" s="657"/>
      <c r="T48" s="658"/>
    </row>
    <row r="49" spans="1:20" ht="16.95" customHeight="1">
      <c r="A49" s="973"/>
      <c r="B49" s="661" t="s">
        <v>13</v>
      </c>
      <c r="C49" s="661"/>
      <c r="D49" s="661" t="s">
        <v>11</v>
      </c>
      <c r="E49" s="661"/>
      <c r="F49" s="659" t="s">
        <v>21</v>
      </c>
      <c r="G49" s="659"/>
      <c r="H49" s="659"/>
      <c r="I49" s="659"/>
      <c r="J49" s="8"/>
      <c r="K49" s="655"/>
      <c r="L49" s="41"/>
      <c r="M49" s="803"/>
      <c r="N49" s="1115"/>
      <c r="O49" s="352"/>
      <c r="P49" s="352"/>
      <c r="Q49" s="352"/>
      <c r="R49" s="634"/>
      <c r="S49" s="635"/>
      <c r="T49" s="636"/>
    </row>
    <row r="50" spans="1:20" ht="16.95" customHeight="1">
      <c r="A50" s="973" t="s">
        <v>117</v>
      </c>
      <c r="B50" s="661" t="s">
        <v>35</v>
      </c>
      <c r="C50" s="661"/>
      <c r="D50" s="661" t="s">
        <v>11</v>
      </c>
      <c r="E50" s="661"/>
      <c r="F50" s="699" t="s">
        <v>118</v>
      </c>
      <c r="G50" s="699"/>
      <c r="H50" s="699"/>
      <c r="I50" s="699"/>
      <c r="J50" s="8">
        <v>900</v>
      </c>
      <c r="K50" s="654"/>
      <c r="L50" s="41"/>
      <c r="M50" s="702" t="s">
        <v>37</v>
      </c>
      <c r="N50" s="913"/>
      <c r="O50" s="385"/>
      <c r="P50" s="385"/>
      <c r="Q50" s="385"/>
      <c r="R50" s="660" t="s">
        <v>38</v>
      </c>
      <c r="S50" s="660"/>
      <c r="T50" s="660"/>
    </row>
    <row r="51" spans="1:20" ht="16.95" customHeight="1">
      <c r="A51" s="973"/>
      <c r="B51" s="661" t="s">
        <v>119</v>
      </c>
      <c r="C51" s="661"/>
      <c r="D51" s="661" t="s">
        <v>11</v>
      </c>
      <c r="E51" s="661"/>
      <c r="F51" s="699" t="s">
        <v>120</v>
      </c>
      <c r="G51" s="699"/>
      <c r="H51" s="699"/>
      <c r="I51" s="699"/>
      <c r="J51" s="8"/>
      <c r="K51" s="655"/>
      <c r="L51" s="41"/>
      <c r="M51" s="691"/>
      <c r="N51" s="914"/>
      <c r="O51" s="386"/>
      <c r="P51" s="386"/>
      <c r="Q51" s="386"/>
      <c r="R51" s="660"/>
      <c r="S51" s="660"/>
      <c r="T51" s="660"/>
    </row>
    <row r="52" spans="1:20" ht="16.95" customHeight="1">
      <c r="A52" s="60" t="s">
        <v>155</v>
      </c>
      <c r="B52" s="650" t="s">
        <v>62</v>
      </c>
      <c r="C52" s="650"/>
      <c r="D52" s="650" t="s">
        <v>63</v>
      </c>
      <c r="E52" s="650"/>
      <c r="F52" s="858" t="s">
        <v>64</v>
      </c>
      <c r="G52" s="859"/>
      <c r="H52" s="859"/>
      <c r="I52" s="859"/>
      <c r="J52" s="860"/>
      <c r="K52" s="66" t="s">
        <v>1005</v>
      </c>
      <c r="L52" s="33"/>
      <c r="M52" s="36"/>
      <c r="N52" s="97" t="s">
        <v>425</v>
      </c>
      <c r="O52" s="97"/>
      <c r="P52" s="97"/>
      <c r="Q52" s="97"/>
      <c r="R52" s="660" t="s">
        <v>121</v>
      </c>
      <c r="S52" s="660"/>
      <c r="T52" s="660"/>
    </row>
    <row r="53" spans="1:20" ht="16.95" customHeight="1">
      <c r="A53" s="60" t="s">
        <v>122</v>
      </c>
      <c r="B53" s="650" t="s">
        <v>58</v>
      </c>
      <c r="C53" s="650"/>
      <c r="D53" s="650" t="s">
        <v>43</v>
      </c>
      <c r="E53" s="650"/>
      <c r="F53" s="858" t="s">
        <v>59</v>
      </c>
      <c r="G53" s="859"/>
      <c r="H53" s="859"/>
      <c r="I53" s="859"/>
      <c r="J53" s="860"/>
      <c r="K53" s="32" t="s">
        <v>1014</v>
      </c>
      <c r="L53" s="33"/>
      <c r="M53" s="36"/>
      <c r="N53" s="97" t="s">
        <v>425</v>
      </c>
      <c r="O53" s="97"/>
      <c r="P53" s="97"/>
      <c r="Q53" s="97"/>
      <c r="R53" s="660" t="s">
        <v>124</v>
      </c>
      <c r="S53" s="660"/>
      <c r="T53" s="660"/>
    </row>
    <row r="54" spans="1:20" ht="16.95" customHeight="1">
      <c r="A54" s="665" t="s">
        <v>125</v>
      </c>
      <c r="B54" s="661" t="s">
        <v>28</v>
      </c>
      <c r="C54" s="661"/>
      <c r="D54" s="661" t="s">
        <v>29</v>
      </c>
      <c r="E54" s="661"/>
      <c r="F54" s="662" t="s">
        <v>815</v>
      </c>
      <c r="G54" s="663"/>
      <c r="H54" s="663"/>
      <c r="I54" s="663"/>
      <c r="J54" s="750"/>
      <c r="K54" s="654"/>
      <c r="L54" s="35"/>
      <c r="M54" s="702" t="s">
        <v>30</v>
      </c>
      <c r="N54" s="913"/>
      <c r="O54" s="387"/>
      <c r="P54" s="387"/>
      <c r="Q54" s="387"/>
      <c r="R54" s="708" t="s">
        <v>126</v>
      </c>
      <c r="S54" s="708"/>
      <c r="T54" s="708"/>
    </row>
    <row r="55" spans="1:20" ht="16.95" customHeight="1">
      <c r="A55" s="718"/>
      <c r="B55" s="661" t="s">
        <v>32</v>
      </c>
      <c r="C55" s="661"/>
      <c r="D55" s="661" t="s">
        <v>29</v>
      </c>
      <c r="E55" s="661"/>
      <c r="F55" s="662" t="s">
        <v>33</v>
      </c>
      <c r="G55" s="663"/>
      <c r="H55" s="663"/>
      <c r="I55" s="663"/>
      <c r="J55" s="750"/>
      <c r="K55" s="655"/>
      <c r="L55" s="34"/>
      <c r="M55" s="691"/>
      <c r="N55" s="914"/>
      <c r="O55" s="387"/>
      <c r="P55" s="387"/>
      <c r="Q55" s="387"/>
      <c r="R55" s="698"/>
      <c r="S55" s="698"/>
      <c r="T55" s="698"/>
    </row>
    <row r="56" spans="1:20" ht="16.95" customHeight="1">
      <c r="A56" s="1160" t="s">
        <v>127</v>
      </c>
      <c r="B56" s="919" t="s">
        <v>10</v>
      </c>
      <c r="C56" s="919"/>
      <c r="D56" s="919" t="s">
        <v>49</v>
      </c>
      <c r="E56" s="919"/>
      <c r="F56" s="893" t="s">
        <v>853</v>
      </c>
      <c r="G56" s="894"/>
      <c r="H56" s="894"/>
      <c r="I56" s="894"/>
      <c r="J56" s="895"/>
      <c r="K56" s="654"/>
      <c r="L56" s="41"/>
      <c r="M56" s="1174" t="s">
        <v>854</v>
      </c>
      <c r="N56" s="1114"/>
      <c r="O56" s="348"/>
      <c r="P56" s="348"/>
      <c r="Q56" s="348"/>
      <c r="R56" s="660" t="s">
        <v>12</v>
      </c>
      <c r="S56" s="660"/>
      <c r="T56" s="660"/>
    </row>
    <row r="57" spans="1:20" ht="16.95" customHeight="1" thickBot="1">
      <c r="A57" s="1161"/>
      <c r="B57" s="1164" t="s">
        <v>13</v>
      </c>
      <c r="C57" s="1164"/>
      <c r="D57" s="1164" t="s">
        <v>14</v>
      </c>
      <c r="E57" s="1164"/>
      <c r="F57" s="940" t="s">
        <v>15</v>
      </c>
      <c r="G57" s="941"/>
      <c r="H57" s="941"/>
      <c r="I57" s="941"/>
      <c r="J57" s="942"/>
      <c r="K57" s="1128"/>
      <c r="L57" s="42"/>
      <c r="M57" s="1175"/>
      <c r="N57" s="1129"/>
      <c r="O57" s="354"/>
      <c r="P57" s="354"/>
      <c r="Q57" s="354"/>
      <c r="R57" s="692"/>
      <c r="S57" s="692"/>
      <c r="T57" s="692"/>
    </row>
    <row r="58" spans="1:20" ht="30" customHeight="1" thickTop="1">
      <c r="A58" s="175" t="s">
        <v>66</v>
      </c>
      <c r="B58" s="650" t="s">
        <v>62</v>
      </c>
      <c r="C58" s="650"/>
      <c r="D58" s="650" t="s">
        <v>63</v>
      </c>
      <c r="E58" s="650"/>
      <c r="F58" s="858" t="s">
        <v>128</v>
      </c>
      <c r="G58" s="859"/>
      <c r="H58" s="859"/>
      <c r="I58" s="859"/>
      <c r="J58" s="860"/>
      <c r="K58" s="293" t="s">
        <v>1023</v>
      </c>
      <c r="L58" s="38"/>
      <c r="M58" s="44"/>
      <c r="N58" s="97" t="s">
        <v>425</v>
      </c>
      <c r="O58" s="343"/>
      <c r="P58" s="343"/>
      <c r="Q58" s="343"/>
      <c r="R58" s="815" t="s">
        <v>129</v>
      </c>
      <c r="S58" s="816"/>
      <c r="T58" s="817"/>
    </row>
    <row r="59" spans="1:20" ht="16.95" customHeight="1" thickBot="1">
      <c r="A59" s="60" t="s">
        <v>269</v>
      </c>
      <c r="B59" s="618" t="s">
        <v>58</v>
      </c>
      <c r="C59" s="619"/>
      <c r="D59" s="1156" t="s">
        <v>43</v>
      </c>
      <c r="E59" s="1157"/>
      <c r="F59" s="858" t="s">
        <v>765</v>
      </c>
      <c r="G59" s="859"/>
      <c r="H59" s="859"/>
      <c r="I59" s="859"/>
      <c r="J59" s="182"/>
      <c r="K59" s="183"/>
      <c r="L59" s="38"/>
      <c r="M59" s="165" t="s">
        <v>766</v>
      </c>
      <c r="N59" s="97" t="s">
        <v>425</v>
      </c>
      <c r="O59" s="341"/>
      <c r="P59" s="341"/>
      <c r="Q59" s="341"/>
      <c r="R59" s="652" t="s">
        <v>151</v>
      </c>
      <c r="S59" s="623"/>
      <c r="T59" s="624"/>
    </row>
    <row r="60" spans="1:20" ht="16.95" customHeight="1" thickTop="1">
      <c r="A60" s="718" t="s">
        <v>133</v>
      </c>
      <c r="B60" s="637" t="s">
        <v>134</v>
      </c>
      <c r="C60" s="637"/>
      <c r="D60" s="637" t="s">
        <v>11</v>
      </c>
      <c r="E60" s="637"/>
      <c r="F60" s="653" t="s">
        <v>135</v>
      </c>
      <c r="G60" s="653"/>
      <c r="H60" s="653"/>
      <c r="I60" s="653"/>
      <c r="J60" s="14">
        <v>1000</v>
      </c>
      <c r="K60" s="1121" t="s">
        <v>1016</v>
      </c>
      <c r="L60" s="35"/>
      <c r="M60" s="1167" t="s">
        <v>88</v>
      </c>
      <c r="N60" s="867"/>
      <c r="O60" s="388"/>
      <c r="P60" s="388"/>
      <c r="Q60" s="388"/>
      <c r="R60" s="631" t="s">
        <v>136</v>
      </c>
      <c r="S60" s="632"/>
      <c r="T60" s="633"/>
    </row>
    <row r="61" spans="1:20" ht="16.95" customHeight="1">
      <c r="A61" s="664"/>
      <c r="B61" s="661" t="s">
        <v>137</v>
      </c>
      <c r="C61" s="661"/>
      <c r="D61" s="661" t="s">
        <v>11</v>
      </c>
      <c r="E61" s="661"/>
      <c r="F61" s="659" t="s">
        <v>138</v>
      </c>
      <c r="G61" s="659"/>
      <c r="H61" s="659"/>
      <c r="I61" s="659"/>
      <c r="J61" s="8"/>
      <c r="K61" s="1122"/>
      <c r="L61" s="41"/>
      <c r="M61" s="896"/>
      <c r="N61" s="868"/>
      <c r="O61" s="388"/>
      <c r="P61" s="388"/>
      <c r="Q61" s="388"/>
      <c r="R61" s="631"/>
      <c r="S61" s="632"/>
      <c r="T61" s="633"/>
    </row>
    <row r="62" spans="1:20" ht="16.95" customHeight="1">
      <c r="A62" s="665"/>
      <c r="B62" s="661" t="s">
        <v>92</v>
      </c>
      <c r="C62" s="661"/>
      <c r="D62" s="661" t="s">
        <v>139</v>
      </c>
      <c r="E62" s="661"/>
      <c r="F62" s="659" t="s">
        <v>140</v>
      </c>
      <c r="G62" s="659"/>
      <c r="H62" s="659"/>
      <c r="I62" s="659"/>
      <c r="J62" s="8"/>
      <c r="K62" s="1123"/>
      <c r="L62" s="41"/>
      <c r="M62" s="892"/>
      <c r="N62" s="869"/>
      <c r="O62" s="389"/>
      <c r="P62" s="389"/>
      <c r="Q62" s="389"/>
      <c r="R62" s="634"/>
      <c r="S62" s="635"/>
      <c r="T62" s="636"/>
    </row>
    <row r="63" spans="1:20" ht="16.95" customHeight="1">
      <c r="A63" s="718" t="s">
        <v>767</v>
      </c>
      <c r="B63" s="637" t="s">
        <v>10</v>
      </c>
      <c r="C63" s="637"/>
      <c r="D63" s="638" t="s">
        <v>14</v>
      </c>
      <c r="E63" s="639"/>
      <c r="F63" s="662" t="s">
        <v>80</v>
      </c>
      <c r="G63" s="663"/>
      <c r="H63" s="663"/>
      <c r="I63" s="663"/>
      <c r="J63" s="13"/>
      <c r="K63" s="1168" t="s">
        <v>1018</v>
      </c>
      <c r="L63" s="41"/>
      <c r="M63" s="1149"/>
      <c r="N63" s="1152"/>
      <c r="O63" s="345"/>
      <c r="P63" s="345"/>
      <c r="Q63" s="345"/>
      <c r="R63" s="870" t="s">
        <v>855</v>
      </c>
      <c r="S63" s="657"/>
      <c r="T63" s="658"/>
    </row>
    <row r="64" spans="1:20" ht="16.95" customHeight="1">
      <c r="A64" s="664"/>
      <c r="B64" s="637" t="s">
        <v>81</v>
      </c>
      <c r="C64" s="637"/>
      <c r="D64" s="638" t="s">
        <v>14</v>
      </c>
      <c r="E64" s="639"/>
      <c r="F64" s="662" t="s">
        <v>82</v>
      </c>
      <c r="G64" s="663"/>
      <c r="H64" s="663"/>
      <c r="I64" s="663"/>
      <c r="J64" s="13"/>
      <c r="K64" s="1169"/>
      <c r="L64" s="41"/>
      <c r="M64" s="1150"/>
      <c r="N64" s="1153"/>
      <c r="O64" s="368"/>
      <c r="P64" s="368"/>
      <c r="Q64" s="368"/>
      <c r="R64" s="631"/>
      <c r="S64" s="632"/>
      <c r="T64" s="633"/>
    </row>
    <row r="65" spans="1:20" ht="16.95" customHeight="1">
      <c r="A65" s="665"/>
      <c r="B65" s="661" t="s">
        <v>131</v>
      </c>
      <c r="C65" s="661"/>
      <c r="D65" s="661" t="s">
        <v>11</v>
      </c>
      <c r="E65" s="661"/>
      <c r="F65" s="699" t="s">
        <v>132</v>
      </c>
      <c r="G65" s="699"/>
      <c r="H65" s="699"/>
      <c r="I65" s="699"/>
      <c r="J65" s="13"/>
      <c r="K65" s="1170"/>
      <c r="L65" s="41"/>
      <c r="M65" s="1151"/>
      <c r="N65" s="1154"/>
      <c r="O65" s="335"/>
      <c r="P65" s="335"/>
      <c r="Q65" s="335"/>
      <c r="R65" s="634"/>
      <c r="S65" s="635"/>
      <c r="T65" s="636"/>
    </row>
    <row r="66" spans="1:20" ht="30" customHeight="1">
      <c r="A66" s="60" t="s">
        <v>768</v>
      </c>
      <c r="B66" s="618" t="s">
        <v>147</v>
      </c>
      <c r="C66" s="619"/>
      <c r="D66" s="618" t="s">
        <v>49</v>
      </c>
      <c r="E66" s="619"/>
      <c r="F66" s="620" t="s">
        <v>769</v>
      </c>
      <c r="G66" s="621"/>
      <c r="H66" s="621"/>
      <c r="I66" s="622"/>
      <c r="J66" s="15">
        <v>5000</v>
      </c>
      <c r="K66" s="292" t="s">
        <v>1020</v>
      </c>
      <c r="L66" s="33"/>
      <c r="M66" s="281" t="s">
        <v>1022</v>
      </c>
      <c r="N66" s="97" t="s">
        <v>704</v>
      </c>
      <c r="O66" s="341"/>
      <c r="P66" s="341"/>
      <c r="Q66" s="341"/>
      <c r="R66" s="652" t="s">
        <v>98</v>
      </c>
      <c r="S66" s="623"/>
      <c r="T66" s="624"/>
    </row>
    <row r="67" spans="1:20" ht="30" customHeight="1">
      <c r="A67" s="60" t="s">
        <v>352</v>
      </c>
      <c r="B67" s="618" t="s">
        <v>147</v>
      </c>
      <c r="C67" s="619"/>
      <c r="D67" s="618" t="s">
        <v>49</v>
      </c>
      <c r="E67" s="619"/>
      <c r="F67" s="620" t="s">
        <v>770</v>
      </c>
      <c r="G67" s="621"/>
      <c r="H67" s="621"/>
      <c r="I67" s="622"/>
      <c r="J67" s="15">
        <v>1000</v>
      </c>
      <c r="K67" s="292" t="s">
        <v>1024</v>
      </c>
      <c r="L67" s="33"/>
      <c r="M67" s="281" t="s">
        <v>1025</v>
      </c>
      <c r="N67" s="97" t="s">
        <v>470</v>
      </c>
      <c r="O67" s="341"/>
      <c r="P67" s="341"/>
      <c r="Q67" s="341"/>
      <c r="R67" s="652" t="s">
        <v>149</v>
      </c>
      <c r="S67" s="623"/>
      <c r="T67" s="624"/>
    </row>
    <row r="68" spans="1:20" ht="16.95" customHeight="1">
      <c r="A68" s="1135" t="s">
        <v>75</v>
      </c>
      <c r="B68" s="700" t="s">
        <v>10</v>
      </c>
      <c r="C68" s="701"/>
      <c r="D68" s="700" t="s">
        <v>43</v>
      </c>
      <c r="E68" s="701"/>
      <c r="F68" s="769" t="s">
        <v>142</v>
      </c>
      <c r="G68" s="770"/>
      <c r="H68" s="770"/>
      <c r="I68" s="771"/>
      <c r="J68" s="8">
        <v>698</v>
      </c>
      <c r="K68" s="654" t="s">
        <v>1019</v>
      </c>
      <c r="L68" s="41"/>
      <c r="M68" s="802"/>
      <c r="N68" s="1114"/>
      <c r="O68" s="350"/>
      <c r="P68" s="350"/>
      <c r="Q68" s="350"/>
      <c r="R68" s="656" t="s">
        <v>144</v>
      </c>
      <c r="S68" s="657"/>
      <c r="T68" s="658"/>
    </row>
    <row r="69" spans="1:20" ht="16.95" customHeight="1">
      <c r="A69" s="1137"/>
      <c r="B69" s="700" t="s">
        <v>145</v>
      </c>
      <c r="C69" s="701"/>
      <c r="D69" s="700" t="s">
        <v>43</v>
      </c>
      <c r="E69" s="701"/>
      <c r="F69" s="769" t="s">
        <v>146</v>
      </c>
      <c r="G69" s="770"/>
      <c r="H69" s="770"/>
      <c r="I69" s="771"/>
      <c r="J69" s="8">
        <v>699</v>
      </c>
      <c r="K69" s="655"/>
      <c r="L69" s="41"/>
      <c r="M69" s="803"/>
      <c r="N69" s="1115"/>
      <c r="O69" s="352"/>
      <c r="P69" s="352"/>
      <c r="Q69" s="352"/>
      <c r="R69" s="634"/>
      <c r="S69" s="635"/>
      <c r="T69" s="636"/>
    </row>
    <row r="70" spans="1:20" ht="18" customHeight="1">
      <c r="A70" s="278" t="s">
        <v>1376</v>
      </c>
      <c r="B70" s="16"/>
      <c r="C70" s="16"/>
      <c r="D70" s="16"/>
      <c r="E70" s="16"/>
      <c r="F70" s="17"/>
      <c r="G70" s="17"/>
      <c r="H70" s="17"/>
      <c r="I70" s="17"/>
      <c r="J70" s="18"/>
      <c r="K70" s="45"/>
      <c r="L70" s="46"/>
      <c r="M70" s="47"/>
      <c r="N70" s="47"/>
      <c r="O70" s="47"/>
      <c r="P70" s="47"/>
      <c r="Q70" s="47"/>
      <c r="R70" s="20"/>
      <c r="S70" s="20"/>
      <c r="T70" s="20"/>
    </row>
    <row r="71" spans="1:20" ht="18" customHeight="1">
      <c r="A71" s="279" t="s">
        <v>1393</v>
      </c>
      <c r="B71" s="16"/>
      <c r="C71" s="16"/>
      <c r="D71" s="16"/>
      <c r="E71" s="16"/>
      <c r="F71" s="17"/>
      <c r="G71" s="17"/>
      <c r="H71" s="17"/>
      <c r="I71" s="17"/>
      <c r="J71" s="18"/>
      <c r="K71" s="45"/>
      <c r="L71" s="46"/>
      <c r="M71" s="47"/>
      <c r="N71" s="47"/>
      <c r="O71" s="47"/>
      <c r="P71" s="47"/>
      <c r="Q71" s="47"/>
      <c r="R71" s="20"/>
      <c r="S71" s="20"/>
      <c r="T71" s="20"/>
    </row>
    <row r="72" spans="1:20" ht="18" customHeight="1">
      <c r="A72" s="279"/>
      <c r="B72" s="16"/>
      <c r="C72" s="16"/>
      <c r="D72" s="16"/>
      <c r="E72" s="16"/>
      <c r="F72" s="17"/>
      <c r="G72" s="17"/>
      <c r="H72" s="17"/>
      <c r="I72" s="17"/>
      <c r="J72" s="18"/>
      <c r="K72" s="45"/>
      <c r="L72" s="46"/>
      <c r="M72" s="47"/>
      <c r="N72" s="47"/>
      <c r="O72" s="47"/>
      <c r="P72" s="47"/>
      <c r="Q72" s="47"/>
      <c r="R72" s="20"/>
      <c r="S72" s="20"/>
      <c r="T72" s="20"/>
    </row>
    <row r="73" spans="1:20" ht="18" customHeight="1">
      <c r="A73" s="279"/>
      <c r="B73" s="16"/>
      <c r="C73" s="16"/>
      <c r="D73" s="16"/>
      <c r="E73" s="16"/>
      <c r="F73" s="17"/>
      <c r="G73" s="17"/>
      <c r="H73" s="17"/>
      <c r="I73" s="17"/>
      <c r="J73" s="18"/>
      <c r="K73" s="45"/>
      <c r="L73" s="46"/>
      <c r="M73" s="47"/>
      <c r="N73" s="47"/>
      <c r="O73" s="47"/>
      <c r="P73" s="47"/>
      <c r="Q73" s="47"/>
      <c r="R73" s="20"/>
      <c r="S73" s="20"/>
      <c r="T73" s="20"/>
    </row>
    <row r="74" spans="1:20" ht="18.75" customHeight="1">
      <c r="A74" s="262" t="s">
        <v>102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559"/>
      <c r="S74" s="39"/>
      <c r="T74" s="39"/>
    </row>
    <row r="75" spans="1:20" ht="18.75" customHeight="1">
      <c r="A75" s="486" t="s">
        <v>1006</v>
      </c>
      <c r="B75" s="464"/>
      <c r="C75" s="464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</row>
    <row r="76" spans="1:20" ht="15" customHeight="1">
      <c r="A76" s="49" t="s">
        <v>366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 t="s">
        <v>983</v>
      </c>
      <c r="T76" s="39"/>
    </row>
    <row r="77" spans="1:20" ht="15" customHeight="1">
      <c r="A77" s="710" t="s">
        <v>2</v>
      </c>
      <c r="B77" s="712" t="s">
        <v>3</v>
      </c>
      <c r="C77" s="712"/>
      <c r="D77" s="650" t="s">
        <v>4</v>
      </c>
      <c r="E77" s="650"/>
      <c r="F77" s="712" t="s">
        <v>5</v>
      </c>
      <c r="G77" s="712"/>
      <c r="H77" s="712"/>
      <c r="I77" s="712"/>
      <c r="J77" s="650" t="s">
        <v>103</v>
      </c>
      <c r="K77" s="715" t="s">
        <v>6</v>
      </c>
      <c r="L77" s="715" t="s">
        <v>104</v>
      </c>
      <c r="M77" s="766" t="s">
        <v>105</v>
      </c>
      <c r="N77" s="185" t="s">
        <v>407</v>
      </c>
      <c r="O77" s="696" t="s">
        <v>1095</v>
      </c>
      <c r="P77" s="716" t="s">
        <v>1096</v>
      </c>
      <c r="Q77" s="715" t="s">
        <v>1097</v>
      </c>
      <c r="R77" s="674" t="s">
        <v>8</v>
      </c>
      <c r="S77" s="675"/>
      <c r="T77" s="676"/>
    </row>
    <row r="78" spans="1:20" ht="15" customHeight="1">
      <c r="A78" s="711"/>
      <c r="B78" s="712"/>
      <c r="C78" s="712"/>
      <c r="D78" s="650"/>
      <c r="E78" s="650"/>
      <c r="F78" s="712"/>
      <c r="G78" s="712"/>
      <c r="H78" s="712"/>
      <c r="I78" s="712"/>
      <c r="J78" s="650"/>
      <c r="K78" s="715"/>
      <c r="L78" s="715"/>
      <c r="M78" s="767"/>
      <c r="N78" s="186" t="s">
        <v>410</v>
      </c>
      <c r="O78" s="706"/>
      <c r="P78" s="717"/>
      <c r="Q78" s="715"/>
      <c r="R78" s="674"/>
      <c r="S78" s="675"/>
      <c r="T78" s="676"/>
    </row>
    <row r="79" spans="1:20" ht="30" customHeight="1">
      <c r="A79" s="60" t="s">
        <v>106</v>
      </c>
      <c r="B79" s="650" t="s">
        <v>42</v>
      </c>
      <c r="C79" s="650"/>
      <c r="D79" s="650" t="s">
        <v>43</v>
      </c>
      <c r="E79" s="650"/>
      <c r="F79" s="858" t="s">
        <v>44</v>
      </c>
      <c r="G79" s="859"/>
      <c r="H79" s="859"/>
      <c r="I79" s="859"/>
      <c r="J79" s="860"/>
      <c r="K79" s="291" t="s">
        <v>1110</v>
      </c>
      <c r="L79" s="33"/>
      <c r="M79" s="281" t="s">
        <v>1108</v>
      </c>
      <c r="N79" s="97" t="s">
        <v>425</v>
      </c>
      <c r="O79" s="341"/>
      <c r="P79" s="341"/>
      <c r="Q79" s="341"/>
      <c r="R79" s="652" t="s">
        <v>46</v>
      </c>
      <c r="S79" s="623"/>
      <c r="T79" s="624"/>
    </row>
    <row r="80" spans="1:20" ht="18" customHeight="1">
      <c r="A80" s="60" t="s">
        <v>16</v>
      </c>
      <c r="B80" s="650" t="s">
        <v>71</v>
      </c>
      <c r="C80" s="650"/>
      <c r="D80" s="650" t="s">
        <v>152</v>
      </c>
      <c r="E80" s="650"/>
      <c r="F80" s="858" t="s">
        <v>73</v>
      </c>
      <c r="G80" s="859"/>
      <c r="H80" s="859"/>
      <c r="I80" s="859"/>
      <c r="J80" s="860"/>
      <c r="K80" s="32" t="s">
        <v>1010</v>
      </c>
      <c r="L80" s="33"/>
      <c r="M80" s="32"/>
      <c r="N80" s="97" t="s">
        <v>436</v>
      </c>
      <c r="O80" s="341"/>
      <c r="P80" s="341"/>
      <c r="Q80" s="341"/>
      <c r="R80" s="652" t="s">
        <v>153</v>
      </c>
      <c r="S80" s="623"/>
      <c r="T80" s="624"/>
    </row>
    <row r="81" spans="1:20" ht="18" customHeight="1">
      <c r="A81" s="60" t="s">
        <v>22</v>
      </c>
      <c r="B81" s="650" t="s">
        <v>48</v>
      </c>
      <c r="C81" s="650"/>
      <c r="D81" s="650" t="s">
        <v>53</v>
      </c>
      <c r="E81" s="650"/>
      <c r="F81" s="858" t="s">
        <v>54</v>
      </c>
      <c r="G81" s="859"/>
      <c r="H81" s="859"/>
      <c r="I81" s="859"/>
      <c r="J81" s="860"/>
      <c r="K81" s="32" t="s">
        <v>1011</v>
      </c>
      <c r="L81" s="33"/>
      <c r="M81" s="3" t="s">
        <v>55</v>
      </c>
      <c r="N81" s="97" t="s">
        <v>436</v>
      </c>
      <c r="O81" s="341"/>
      <c r="P81" s="341"/>
      <c r="Q81" s="341"/>
      <c r="R81" s="652" t="s">
        <v>56</v>
      </c>
      <c r="S81" s="623"/>
      <c r="T81" s="624"/>
    </row>
    <row r="82" spans="1:20" ht="30" customHeight="1">
      <c r="A82" s="60" t="s">
        <v>27</v>
      </c>
      <c r="B82" s="650" t="s">
        <v>48</v>
      </c>
      <c r="C82" s="650"/>
      <c r="D82" s="650" t="s">
        <v>49</v>
      </c>
      <c r="E82" s="650"/>
      <c r="F82" s="858" t="s">
        <v>50</v>
      </c>
      <c r="G82" s="859"/>
      <c r="H82" s="859"/>
      <c r="I82" s="859"/>
      <c r="J82" s="860"/>
      <c r="K82" s="32" t="s">
        <v>1012</v>
      </c>
      <c r="L82" s="33"/>
      <c r="M82" s="281" t="s">
        <v>1109</v>
      </c>
      <c r="N82" s="97" t="s">
        <v>425</v>
      </c>
      <c r="O82" s="341"/>
      <c r="P82" s="341"/>
      <c r="Q82" s="341"/>
      <c r="R82" s="652" t="s">
        <v>51</v>
      </c>
      <c r="S82" s="623"/>
      <c r="T82" s="624"/>
    </row>
    <row r="83" spans="1:20" ht="18" customHeight="1">
      <c r="A83" s="973" t="s">
        <v>154</v>
      </c>
      <c r="B83" s="661" t="s">
        <v>10</v>
      </c>
      <c r="C83" s="661"/>
      <c r="D83" s="919" t="s">
        <v>17</v>
      </c>
      <c r="E83" s="919"/>
      <c r="F83" s="893" t="s">
        <v>816</v>
      </c>
      <c r="G83" s="894"/>
      <c r="H83" s="894"/>
      <c r="I83" s="894"/>
      <c r="J83" s="895"/>
      <c r="K83" s="1181" t="s">
        <v>1021</v>
      </c>
      <c r="L83" s="41"/>
      <c r="M83" s="802" t="s">
        <v>112</v>
      </c>
      <c r="N83" s="1114"/>
      <c r="O83" s="350"/>
      <c r="P83" s="350"/>
      <c r="Q83" s="350"/>
      <c r="R83" s="656" t="s">
        <v>25</v>
      </c>
      <c r="S83" s="657"/>
      <c r="T83" s="658"/>
    </row>
    <row r="84" spans="1:20" ht="30" customHeight="1">
      <c r="A84" s="973"/>
      <c r="B84" s="661" t="s">
        <v>13</v>
      </c>
      <c r="C84" s="661"/>
      <c r="D84" s="919" t="s">
        <v>11</v>
      </c>
      <c r="E84" s="919"/>
      <c r="F84" s="893" t="s">
        <v>26</v>
      </c>
      <c r="G84" s="894"/>
      <c r="H84" s="894"/>
      <c r="I84" s="894"/>
      <c r="J84" s="895"/>
      <c r="K84" s="1123"/>
      <c r="L84" s="41"/>
      <c r="M84" s="803"/>
      <c r="N84" s="1115"/>
      <c r="O84" s="351"/>
      <c r="P84" s="351"/>
      <c r="Q84" s="351"/>
      <c r="R84" s="631"/>
      <c r="S84" s="632"/>
      <c r="T84" s="633"/>
    </row>
    <row r="85" spans="1:20" ht="18" customHeight="1">
      <c r="A85" s="973" t="s">
        <v>113</v>
      </c>
      <c r="B85" s="661" t="s">
        <v>10</v>
      </c>
      <c r="C85" s="661"/>
      <c r="D85" s="661" t="s">
        <v>17</v>
      </c>
      <c r="E85" s="661"/>
      <c r="F85" s="659" t="s">
        <v>114</v>
      </c>
      <c r="G85" s="659"/>
      <c r="H85" s="659"/>
      <c r="I85" s="659"/>
      <c r="J85" s="8">
        <v>3000</v>
      </c>
      <c r="K85" s="654" t="s">
        <v>1013</v>
      </c>
      <c r="L85" s="41"/>
      <c r="M85" s="802" t="s">
        <v>1015</v>
      </c>
      <c r="N85" s="1114"/>
      <c r="O85" s="350"/>
      <c r="P85" s="350"/>
      <c r="Q85" s="350"/>
      <c r="R85" s="870" t="s">
        <v>856</v>
      </c>
      <c r="S85" s="657"/>
      <c r="T85" s="658"/>
    </row>
    <row r="86" spans="1:20" ht="18" customHeight="1">
      <c r="A86" s="973"/>
      <c r="B86" s="661" t="s">
        <v>13</v>
      </c>
      <c r="C86" s="661"/>
      <c r="D86" s="661" t="s">
        <v>11</v>
      </c>
      <c r="E86" s="661"/>
      <c r="F86" s="659" t="s">
        <v>21</v>
      </c>
      <c r="G86" s="659"/>
      <c r="H86" s="659"/>
      <c r="I86" s="659"/>
      <c r="J86" s="8"/>
      <c r="K86" s="655"/>
      <c r="L86" s="41"/>
      <c r="M86" s="803"/>
      <c r="N86" s="1115"/>
      <c r="O86" s="352"/>
      <c r="P86" s="352"/>
      <c r="Q86" s="352"/>
      <c r="R86" s="634"/>
      <c r="S86" s="635"/>
      <c r="T86" s="636"/>
    </row>
    <row r="87" spans="1:20" ht="18" customHeight="1">
      <c r="A87" s="973" t="s">
        <v>117</v>
      </c>
      <c r="B87" s="661" t="s">
        <v>35</v>
      </c>
      <c r="C87" s="661"/>
      <c r="D87" s="661" t="s">
        <v>11</v>
      </c>
      <c r="E87" s="661"/>
      <c r="F87" s="699" t="s">
        <v>118</v>
      </c>
      <c r="G87" s="699"/>
      <c r="H87" s="699"/>
      <c r="I87" s="699"/>
      <c r="J87" s="8">
        <v>900</v>
      </c>
      <c r="K87" s="654"/>
      <c r="L87" s="41"/>
      <c r="M87" s="1177" t="s">
        <v>37</v>
      </c>
      <c r="N87" s="913"/>
      <c r="O87" s="385"/>
      <c r="P87" s="385"/>
      <c r="Q87" s="385"/>
      <c r="R87" s="660" t="s">
        <v>38</v>
      </c>
      <c r="S87" s="660"/>
      <c r="T87" s="660"/>
    </row>
    <row r="88" spans="1:20" ht="18" customHeight="1">
      <c r="A88" s="973"/>
      <c r="B88" s="661" t="s">
        <v>119</v>
      </c>
      <c r="C88" s="661"/>
      <c r="D88" s="661" t="s">
        <v>11</v>
      </c>
      <c r="E88" s="661"/>
      <c r="F88" s="699" t="s">
        <v>120</v>
      </c>
      <c r="G88" s="699"/>
      <c r="H88" s="699"/>
      <c r="I88" s="699"/>
      <c r="J88" s="8"/>
      <c r="K88" s="655"/>
      <c r="L88" s="41"/>
      <c r="M88" s="1178"/>
      <c r="N88" s="914"/>
      <c r="O88" s="386"/>
      <c r="P88" s="386"/>
      <c r="Q88" s="386"/>
      <c r="R88" s="660"/>
      <c r="S88" s="660"/>
      <c r="T88" s="660"/>
    </row>
    <row r="89" spans="1:20" ht="18" customHeight="1">
      <c r="A89" s="60" t="s">
        <v>155</v>
      </c>
      <c r="B89" s="650" t="s">
        <v>62</v>
      </c>
      <c r="C89" s="650"/>
      <c r="D89" s="650" t="s">
        <v>63</v>
      </c>
      <c r="E89" s="650"/>
      <c r="F89" s="858" t="s">
        <v>64</v>
      </c>
      <c r="G89" s="859"/>
      <c r="H89" s="859"/>
      <c r="I89" s="859"/>
      <c r="J89" s="860"/>
      <c r="K89" s="66" t="s">
        <v>1005</v>
      </c>
      <c r="L89" s="33"/>
      <c r="M89" s="36"/>
      <c r="N89" s="97" t="s">
        <v>425</v>
      </c>
      <c r="O89" s="97"/>
      <c r="P89" s="97"/>
      <c r="Q89" s="97"/>
      <c r="R89" s="660" t="s">
        <v>121</v>
      </c>
      <c r="S89" s="660"/>
      <c r="T89" s="660"/>
    </row>
    <row r="90" spans="1:20" ht="18" customHeight="1">
      <c r="A90" s="60" t="s">
        <v>122</v>
      </c>
      <c r="B90" s="650" t="s">
        <v>58</v>
      </c>
      <c r="C90" s="650"/>
      <c r="D90" s="650" t="s">
        <v>43</v>
      </c>
      <c r="E90" s="650"/>
      <c r="F90" s="858" t="s">
        <v>59</v>
      </c>
      <c r="G90" s="859"/>
      <c r="H90" s="859"/>
      <c r="I90" s="859"/>
      <c r="J90" s="860"/>
      <c r="K90" s="32" t="s">
        <v>1014</v>
      </c>
      <c r="L90" s="33"/>
      <c r="M90" s="36"/>
      <c r="N90" s="97" t="s">
        <v>425</v>
      </c>
      <c r="O90" s="97"/>
      <c r="P90" s="97"/>
      <c r="Q90" s="97"/>
      <c r="R90" s="660" t="s">
        <v>124</v>
      </c>
      <c r="S90" s="660"/>
      <c r="T90" s="660"/>
    </row>
    <row r="91" spans="1:20" ht="18" customHeight="1">
      <c r="A91" s="665" t="s">
        <v>125</v>
      </c>
      <c r="B91" s="661" t="s">
        <v>28</v>
      </c>
      <c r="C91" s="661"/>
      <c r="D91" s="661" t="s">
        <v>29</v>
      </c>
      <c r="E91" s="661"/>
      <c r="F91" s="662" t="s">
        <v>815</v>
      </c>
      <c r="G91" s="663"/>
      <c r="H91" s="663"/>
      <c r="I91" s="663"/>
      <c r="J91" s="750"/>
      <c r="K91" s="654"/>
      <c r="L91" s="35"/>
      <c r="M91" s="1177" t="s">
        <v>30</v>
      </c>
      <c r="N91" s="913"/>
      <c r="O91" s="387"/>
      <c r="P91" s="387"/>
      <c r="Q91" s="387"/>
      <c r="R91" s="708" t="s">
        <v>126</v>
      </c>
      <c r="S91" s="708"/>
      <c r="T91" s="708"/>
    </row>
    <row r="92" spans="1:20" ht="18" customHeight="1">
      <c r="A92" s="718"/>
      <c r="B92" s="661" t="s">
        <v>32</v>
      </c>
      <c r="C92" s="661"/>
      <c r="D92" s="661" t="s">
        <v>29</v>
      </c>
      <c r="E92" s="661"/>
      <c r="F92" s="662" t="s">
        <v>33</v>
      </c>
      <c r="G92" s="663"/>
      <c r="H92" s="663"/>
      <c r="I92" s="663"/>
      <c r="J92" s="750"/>
      <c r="K92" s="655"/>
      <c r="L92" s="34"/>
      <c r="M92" s="1178"/>
      <c r="N92" s="914"/>
      <c r="O92" s="387"/>
      <c r="P92" s="387"/>
      <c r="Q92" s="387"/>
      <c r="R92" s="698"/>
      <c r="S92" s="698"/>
      <c r="T92" s="698"/>
    </row>
    <row r="93" spans="1:20" ht="18" customHeight="1">
      <c r="A93" s="1160" t="s">
        <v>127</v>
      </c>
      <c r="B93" s="919" t="s">
        <v>10</v>
      </c>
      <c r="C93" s="919"/>
      <c r="D93" s="919" t="s">
        <v>49</v>
      </c>
      <c r="E93" s="919"/>
      <c r="F93" s="893" t="s">
        <v>853</v>
      </c>
      <c r="G93" s="894"/>
      <c r="H93" s="894"/>
      <c r="I93" s="894"/>
      <c r="J93" s="895"/>
      <c r="K93" s="654"/>
      <c r="L93" s="41"/>
      <c r="M93" s="1179" t="s">
        <v>993</v>
      </c>
      <c r="N93" s="1114"/>
      <c r="O93" s="348"/>
      <c r="P93" s="348"/>
      <c r="Q93" s="348"/>
      <c r="R93" s="660" t="s">
        <v>12</v>
      </c>
      <c r="S93" s="660"/>
      <c r="T93" s="660"/>
    </row>
    <row r="94" spans="1:20" ht="18" customHeight="1" thickBot="1">
      <c r="A94" s="1161"/>
      <c r="B94" s="1164" t="s">
        <v>13</v>
      </c>
      <c r="C94" s="1164"/>
      <c r="D94" s="1164" t="s">
        <v>14</v>
      </c>
      <c r="E94" s="1164"/>
      <c r="F94" s="940" t="s">
        <v>15</v>
      </c>
      <c r="G94" s="941"/>
      <c r="H94" s="941"/>
      <c r="I94" s="941"/>
      <c r="J94" s="942"/>
      <c r="K94" s="1128"/>
      <c r="L94" s="42"/>
      <c r="M94" s="1180"/>
      <c r="N94" s="1129"/>
      <c r="O94" s="354"/>
      <c r="P94" s="354"/>
      <c r="Q94" s="354"/>
      <c r="R94" s="692"/>
      <c r="S94" s="692"/>
      <c r="T94" s="692"/>
    </row>
    <row r="95" spans="1:20" ht="18" customHeight="1" thickTop="1">
      <c r="A95" s="772" t="s">
        <v>66</v>
      </c>
      <c r="B95" s="773" t="s">
        <v>134</v>
      </c>
      <c r="C95" s="774"/>
      <c r="D95" s="773" t="s">
        <v>11</v>
      </c>
      <c r="E95" s="774"/>
      <c r="F95" s="775" t="s">
        <v>135</v>
      </c>
      <c r="G95" s="776"/>
      <c r="H95" s="776"/>
      <c r="I95" s="777"/>
      <c r="J95" s="14">
        <v>1000</v>
      </c>
      <c r="K95" s="1121" t="s">
        <v>1016</v>
      </c>
      <c r="L95" s="35"/>
      <c r="M95" s="1167" t="s">
        <v>88</v>
      </c>
      <c r="N95" s="1176"/>
      <c r="O95" s="390"/>
      <c r="P95" s="390"/>
      <c r="Q95" s="390"/>
      <c r="R95" s="732" t="s">
        <v>136</v>
      </c>
      <c r="S95" s="733"/>
      <c r="T95" s="734"/>
    </row>
    <row r="96" spans="1:20" ht="18" customHeight="1">
      <c r="A96" s="664"/>
      <c r="B96" s="700" t="s">
        <v>137</v>
      </c>
      <c r="C96" s="701"/>
      <c r="D96" s="700" t="s">
        <v>11</v>
      </c>
      <c r="E96" s="701"/>
      <c r="F96" s="769" t="s">
        <v>138</v>
      </c>
      <c r="G96" s="770"/>
      <c r="H96" s="770"/>
      <c r="I96" s="771"/>
      <c r="J96" s="8"/>
      <c r="K96" s="1122"/>
      <c r="L96" s="41"/>
      <c r="M96" s="896"/>
      <c r="N96" s="868"/>
      <c r="O96" s="388"/>
      <c r="P96" s="388"/>
      <c r="Q96" s="388"/>
      <c r="R96" s="631"/>
      <c r="S96" s="632"/>
      <c r="T96" s="633"/>
    </row>
    <row r="97" spans="1:20" ht="18" customHeight="1">
      <c r="A97" s="665"/>
      <c r="B97" s="700" t="s">
        <v>92</v>
      </c>
      <c r="C97" s="701"/>
      <c r="D97" s="700" t="s">
        <v>139</v>
      </c>
      <c r="E97" s="701"/>
      <c r="F97" s="769" t="s">
        <v>140</v>
      </c>
      <c r="G97" s="770"/>
      <c r="H97" s="770"/>
      <c r="I97" s="771"/>
      <c r="J97" s="8"/>
      <c r="K97" s="1123"/>
      <c r="L97" s="41"/>
      <c r="M97" s="892"/>
      <c r="N97" s="869"/>
      <c r="O97" s="389"/>
      <c r="P97" s="389"/>
      <c r="Q97" s="389"/>
      <c r="R97" s="634"/>
      <c r="S97" s="635"/>
      <c r="T97" s="636"/>
    </row>
    <row r="98" spans="1:20" ht="18" customHeight="1">
      <c r="A98" s="718" t="s">
        <v>130</v>
      </c>
      <c r="B98" s="700" t="s">
        <v>10</v>
      </c>
      <c r="C98" s="701"/>
      <c r="D98" s="700" t="s">
        <v>14</v>
      </c>
      <c r="E98" s="701"/>
      <c r="F98" s="662" t="s">
        <v>80</v>
      </c>
      <c r="G98" s="663"/>
      <c r="H98" s="663"/>
      <c r="I98" s="663"/>
      <c r="J98" s="13"/>
      <c r="K98" s="1168" t="s">
        <v>1018</v>
      </c>
      <c r="L98" s="41"/>
      <c r="M98" s="1149"/>
      <c r="N98" s="1152"/>
      <c r="O98" s="345"/>
      <c r="P98" s="345"/>
      <c r="Q98" s="345"/>
      <c r="R98" s="870" t="s">
        <v>855</v>
      </c>
      <c r="S98" s="657"/>
      <c r="T98" s="658"/>
    </row>
    <row r="99" spans="1:20" ht="18" customHeight="1">
      <c r="A99" s="664"/>
      <c r="B99" s="700" t="s">
        <v>81</v>
      </c>
      <c r="C99" s="701"/>
      <c r="D99" s="700" t="s">
        <v>14</v>
      </c>
      <c r="E99" s="701"/>
      <c r="F99" s="662" t="s">
        <v>82</v>
      </c>
      <c r="G99" s="663"/>
      <c r="H99" s="663"/>
      <c r="I99" s="663"/>
      <c r="J99" s="13"/>
      <c r="K99" s="1169"/>
      <c r="L99" s="41"/>
      <c r="M99" s="1150"/>
      <c r="N99" s="1153"/>
      <c r="O99" s="368"/>
      <c r="P99" s="368"/>
      <c r="Q99" s="368"/>
      <c r="R99" s="631"/>
      <c r="S99" s="632"/>
      <c r="T99" s="633"/>
    </row>
    <row r="100" spans="1:20" ht="18" customHeight="1">
      <c r="A100" s="665"/>
      <c r="B100" s="700" t="s">
        <v>131</v>
      </c>
      <c r="C100" s="701"/>
      <c r="D100" s="700" t="s">
        <v>11</v>
      </c>
      <c r="E100" s="701"/>
      <c r="F100" s="662" t="s">
        <v>132</v>
      </c>
      <c r="G100" s="663"/>
      <c r="H100" s="663"/>
      <c r="I100" s="750"/>
      <c r="J100" s="13"/>
      <c r="K100" s="1170"/>
      <c r="L100" s="41"/>
      <c r="M100" s="1151"/>
      <c r="N100" s="1154"/>
      <c r="O100" s="335"/>
      <c r="P100" s="335"/>
      <c r="Q100" s="335"/>
      <c r="R100" s="634"/>
      <c r="S100" s="635"/>
      <c r="T100" s="636"/>
    </row>
    <row r="101" spans="1:20" ht="30" customHeight="1">
      <c r="A101" s="60" t="s">
        <v>156</v>
      </c>
      <c r="B101" s="618" t="s">
        <v>147</v>
      </c>
      <c r="C101" s="619"/>
      <c r="D101" s="618" t="s">
        <v>49</v>
      </c>
      <c r="E101" s="619"/>
      <c r="F101" s="620" t="s">
        <v>148</v>
      </c>
      <c r="G101" s="621"/>
      <c r="H101" s="621"/>
      <c r="I101" s="622"/>
      <c r="J101" s="15">
        <v>1000</v>
      </c>
      <c r="K101" s="394" t="s">
        <v>1113</v>
      </c>
      <c r="L101" s="33"/>
      <c r="M101" s="281" t="s">
        <v>1022</v>
      </c>
      <c r="N101" s="97" t="s">
        <v>704</v>
      </c>
      <c r="O101" s="341"/>
      <c r="P101" s="341"/>
      <c r="Q101" s="341"/>
      <c r="R101" s="652" t="s">
        <v>149</v>
      </c>
      <c r="S101" s="623"/>
      <c r="T101" s="624"/>
    </row>
    <row r="102" spans="1:20" ht="18" customHeight="1">
      <c r="A102" s="60" t="s">
        <v>99</v>
      </c>
      <c r="B102" s="618" t="s">
        <v>62</v>
      </c>
      <c r="C102" s="619"/>
      <c r="D102" s="618" t="s">
        <v>63</v>
      </c>
      <c r="E102" s="619"/>
      <c r="F102" s="858" t="s">
        <v>819</v>
      </c>
      <c r="G102" s="859"/>
      <c r="H102" s="859"/>
      <c r="I102" s="859"/>
      <c r="J102" s="860"/>
      <c r="K102" s="66" t="s">
        <v>1005</v>
      </c>
      <c r="L102" s="38"/>
      <c r="M102" s="43"/>
      <c r="N102" s="97" t="s">
        <v>425</v>
      </c>
      <c r="O102" s="341"/>
      <c r="P102" s="341"/>
      <c r="Q102" s="341"/>
      <c r="R102" s="652" t="s">
        <v>157</v>
      </c>
      <c r="S102" s="623"/>
      <c r="T102" s="624"/>
    </row>
    <row r="103" spans="1:20" ht="18" customHeight="1">
      <c r="A103" s="60" t="s">
        <v>818</v>
      </c>
      <c r="B103" s="618" t="s">
        <v>147</v>
      </c>
      <c r="C103" s="619"/>
      <c r="D103" s="618" t="s">
        <v>49</v>
      </c>
      <c r="E103" s="619"/>
      <c r="F103" s="620" t="s">
        <v>150</v>
      </c>
      <c r="G103" s="621"/>
      <c r="H103" s="621"/>
      <c r="I103" s="622"/>
      <c r="J103" s="15">
        <v>1001</v>
      </c>
      <c r="K103" s="32"/>
      <c r="L103" s="33"/>
      <c r="M103" s="32"/>
      <c r="N103" s="97" t="s">
        <v>470</v>
      </c>
      <c r="O103" s="341"/>
      <c r="P103" s="341"/>
      <c r="Q103" s="341"/>
      <c r="R103" s="652" t="s">
        <v>151</v>
      </c>
      <c r="S103" s="623"/>
      <c r="T103" s="624"/>
    </row>
    <row r="104" spans="1:20" ht="18" customHeight="1">
      <c r="A104" s="1135" t="s">
        <v>158</v>
      </c>
      <c r="B104" s="700" t="s">
        <v>10</v>
      </c>
      <c r="C104" s="701"/>
      <c r="D104" s="700" t="s">
        <v>43</v>
      </c>
      <c r="E104" s="701"/>
      <c r="F104" s="769" t="s">
        <v>142</v>
      </c>
      <c r="G104" s="770"/>
      <c r="H104" s="770"/>
      <c r="I104" s="771"/>
      <c r="J104" s="8">
        <v>698</v>
      </c>
      <c r="K104" s="654" t="s">
        <v>1019</v>
      </c>
      <c r="L104" s="41"/>
      <c r="M104" s="802"/>
      <c r="N104" s="1114"/>
      <c r="O104" s="350"/>
      <c r="P104" s="350"/>
      <c r="Q104" s="350"/>
      <c r="R104" s="656" t="s">
        <v>144</v>
      </c>
      <c r="S104" s="657"/>
      <c r="T104" s="658"/>
    </row>
    <row r="105" spans="1:20" ht="18" customHeight="1">
      <c r="A105" s="1137"/>
      <c r="B105" s="700" t="s">
        <v>145</v>
      </c>
      <c r="C105" s="701"/>
      <c r="D105" s="700" t="s">
        <v>43</v>
      </c>
      <c r="E105" s="701"/>
      <c r="F105" s="769" t="s">
        <v>146</v>
      </c>
      <c r="G105" s="770"/>
      <c r="H105" s="770"/>
      <c r="I105" s="771"/>
      <c r="J105" s="8">
        <v>699</v>
      </c>
      <c r="K105" s="655"/>
      <c r="L105" s="41"/>
      <c r="M105" s="803"/>
      <c r="N105" s="1115"/>
      <c r="O105" s="352"/>
      <c r="P105" s="352"/>
      <c r="Q105" s="352"/>
      <c r="R105" s="634"/>
      <c r="S105" s="635"/>
      <c r="T105" s="636"/>
    </row>
    <row r="106" spans="1:20" ht="18" customHeight="1">
      <c r="A106" s="278" t="s">
        <v>1376</v>
      </c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</row>
    <row r="107" spans="1:20" ht="18" customHeight="1">
      <c r="A107" s="279" t="s">
        <v>1393</v>
      </c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</row>
    <row r="108" spans="1:20" ht="18" customHeight="1">
      <c r="A108" s="27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</row>
    <row r="109" spans="1:20" ht="18" customHeight="1">
      <c r="A109" s="27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</row>
    <row r="110" spans="1:20" ht="18.75" customHeight="1">
      <c r="A110" s="262" t="s">
        <v>102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418"/>
      <c r="S110" s="39"/>
      <c r="T110" s="39"/>
    </row>
    <row r="111" spans="1:20" ht="18.75" customHeight="1">
      <c r="A111" s="262" t="s">
        <v>159</v>
      </c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</row>
    <row r="112" spans="1:20" ht="15" customHeight="1">
      <c r="A112" s="49" t="s">
        <v>366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 t="s">
        <v>983</v>
      </c>
      <c r="T112" s="39"/>
    </row>
    <row r="113" spans="1:20" ht="15" customHeight="1">
      <c r="A113" s="710" t="s">
        <v>2</v>
      </c>
      <c r="B113" s="712" t="s">
        <v>3</v>
      </c>
      <c r="C113" s="712"/>
      <c r="D113" s="650" t="s">
        <v>4</v>
      </c>
      <c r="E113" s="650"/>
      <c r="F113" s="712" t="s">
        <v>5</v>
      </c>
      <c r="G113" s="712"/>
      <c r="H113" s="712"/>
      <c r="I113" s="712"/>
      <c r="J113" s="650" t="s">
        <v>103</v>
      </c>
      <c r="K113" s="715" t="s">
        <v>6</v>
      </c>
      <c r="L113" s="715" t="s">
        <v>104</v>
      </c>
      <c r="M113" s="766" t="s">
        <v>105</v>
      </c>
      <c r="N113" s="185" t="s">
        <v>407</v>
      </c>
      <c r="O113" s="696" t="s">
        <v>1095</v>
      </c>
      <c r="P113" s="716" t="s">
        <v>1096</v>
      </c>
      <c r="Q113" s="715" t="s">
        <v>1097</v>
      </c>
      <c r="R113" s="674" t="s">
        <v>8</v>
      </c>
      <c r="S113" s="675"/>
      <c r="T113" s="676"/>
    </row>
    <row r="114" spans="1:20" ht="15" customHeight="1">
      <c r="A114" s="711"/>
      <c r="B114" s="712"/>
      <c r="C114" s="712"/>
      <c r="D114" s="650"/>
      <c r="E114" s="650"/>
      <c r="F114" s="712"/>
      <c r="G114" s="712"/>
      <c r="H114" s="712"/>
      <c r="I114" s="712"/>
      <c r="J114" s="650"/>
      <c r="K114" s="715"/>
      <c r="L114" s="715"/>
      <c r="M114" s="767"/>
      <c r="N114" s="186" t="s">
        <v>410</v>
      </c>
      <c r="O114" s="706"/>
      <c r="P114" s="717"/>
      <c r="Q114" s="715"/>
      <c r="R114" s="674"/>
      <c r="S114" s="675"/>
      <c r="T114" s="676"/>
    </row>
    <row r="115" spans="1:20" ht="18" customHeight="1">
      <c r="A115" s="60" t="s">
        <v>106</v>
      </c>
      <c r="B115" s="650" t="s">
        <v>48</v>
      </c>
      <c r="C115" s="650"/>
      <c r="D115" s="650" t="s">
        <v>49</v>
      </c>
      <c r="E115" s="650"/>
      <c r="F115" s="858" t="s">
        <v>50</v>
      </c>
      <c r="G115" s="859"/>
      <c r="H115" s="859"/>
      <c r="I115" s="859"/>
      <c r="J115" s="860"/>
      <c r="K115" s="32" t="s">
        <v>107</v>
      </c>
      <c r="L115" s="33"/>
      <c r="M115" s="3" t="s">
        <v>805</v>
      </c>
      <c r="N115" s="97" t="s">
        <v>425</v>
      </c>
      <c r="O115" s="341"/>
      <c r="P115" s="341"/>
      <c r="Q115" s="341"/>
      <c r="R115" s="652" t="s">
        <v>51</v>
      </c>
      <c r="S115" s="623"/>
      <c r="T115" s="624"/>
    </row>
    <row r="116" spans="1:20" ht="18" customHeight="1">
      <c r="A116" s="60" t="s">
        <v>16</v>
      </c>
      <c r="B116" s="650" t="s">
        <v>42</v>
      </c>
      <c r="C116" s="650"/>
      <c r="D116" s="650" t="s">
        <v>43</v>
      </c>
      <c r="E116" s="650"/>
      <c r="F116" s="858" t="s">
        <v>44</v>
      </c>
      <c r="G116" s="859"/>
      <c r="H116" s="859"/>
      <c r="I116" s="859"/>
      <c r="J116" s="860"/>
      <c r="K116" s="32" t="s">
        <v>108</v>
      </c>
      <c r="L116" s="33"/>
      <c r="M116" s="3" t="s">
        <v>45</v>
      </c>
      <c r="N116" s="97" t="s">
        <v>425</v>
      </c>
      <c r="O116" s="341"/>
      <c r="P116" s="341"/>
      <c r="Q116" s="341"/>
      <c r="R116" s="652" t="s">
        <v>46</v>
      </c>
      <c r="S116" s="623"/>
      <c r="T116" s="624"/>
    </row>
    <row r="117" spans="1:20" ht="18" customHeight="1">
      <c r="A117" s="60" t="s">
        <v>22</v>
      </c>
      <c r="B117" s="650" t="s">
        <v>48</v>
      </c>
      <c r="C117" s="650"/>
      <c r="D117" s="650" t="s">
        <v>53</v>
      </c>
      <c r="E117" s="650"/>
      <c r="F117" s="858" t="s">
        <v>54</v>
      </c>
      <c r="G117" s="859"/>
      <c r="H117" s="859"/>
      <c r="I117" s="859"/>
      <c r="J117" s="860"/>
      <c r="K117" s="32" t="s">
        <v>109</v>
      </c>
      <c r="L117" s="33"/>
      <c r="M117" s="3" t="s">
        <v>55</v>
      </c>
      <c r="N117" s="97" t="s">
        <v>436</v>
      </c>
      <c r="O117" s="341"/>
      <c r="P117" s="341"/>
      <c r="Q117" s="341"/>
      <c r="R117" s="652" t="s">
        <v>56</v>
      </c>
      <c r="S117" s="623"/>
      <c r="T117" s="624"/>
    </row>
    <row r="118" spans="1:20" ht="18" customHeight="1">
      <c r="A118" s="973" t="s">
        <v>110</v>
      </c>
      <c r="B118" s="661" t="s">
        <v>10</v>
      </c>
      <c r="C118" s="661"/>
      <c r="D118" s="919" t="s">
        <v>17</v>
      </c>
      <c r="E118" s="919"/>
      <c r="F118" s="893" t="s">
        <v>816</v>
      </c>
      <c r="G118" s="894"/>
      <c r="H118" s="894"/>
      <c r="I118" s="894"/>
      <c r="J118" s="895"/>
      <c r="K118" s="654" t="s">
        <v>111</v>
      </c>
      <c r="L118" s="41"/>
      <c r="M118" s="802" t="s">
        <v>112</v>
      </c>
      <c r="N118" s="1114"/>
      <c r="O118" s="350"/>
      <c r="P118" s="350"/>
      <c r="Q118" s="350"/>
      <c r="R118" s="656" t="s">
        <v>25</v>
      </c>
      <c r="S118" s="657"/>
      <c r="T118" s="658"/>
    </row>
    <row r="119" spans="1:20" ht="18" customHeight="1">
      <c r="A119" s="973"/>
      <c r="B119" s="661" t="s">
        <v>13</v>
      </c>
      <c r="C119" s="661"/>
      <c r="D119" s="919" t="s">
        <v>11</v>
      </c>
      <c r="E119" s="919"/>
      <c r="F119" s="893" t="s">
        <v>26</v>
      </c>
      <c r="G119" s="894"/>
      <c r="H119" s="894"/>
      <c r="I119" s="894"/>
      <c r="J119" s="895"/>
      <c r="K119" s="655"/>
      <c r="L119" s="41"/>
      <c r="M119" s="803"/>
      <c r="N119" s="1115"/>
      <c r="O119" s="351"/>
      <c r="P119" s="351"/>
      <c r="Q119" s="351"/>
      <c r="R119" s="631"/>
      <c r="S119" s="632"/>
      <c r="T119" s="633"/>
    </row>
    <row r="120" spans="1:20" ht="18" customHeight="1">
      <c r="A120" s="973" t="s">
        <v>113</v>
      </c>
      <c r="B120" s="661" t="s">
        <v>10</v>
      </c>
      <c r="C120" s="661"/>
      <c r="D120" s="661" t="s">
        <v>17</v>
      </c>
      <c r="E120" s="661"/>
      <c r="F120" s="659" t="s">
        <v>114</v>
      </c>
      <c r="G120" s="659"/>
      <c r="H120" s="659"/>
      <c r="I120" s="659"/>
      <c r="J120" s="8">
        <v>3000</v>
      </c>
      <c r="K120" s="654" t="s">
        <v>115</v>
      </c>
      <c r="L120" s="41"/>
      <c r="M120" s="802" t="s">
        <v>116</v>
      </c>
      <c r="N120" s="1114"/>
      <c r="O120" s="350"/>
      <c r="P120" s="350"/>
      <c r="Q120" s="350"/>
      <c r="R120" s="870" t="s">
        <v>856</v>
      </c>
      <c r="S120" s="657"/>
      <c r="T120" s="658"/>
    </row>
    <row r="121" spans="1:20" ht="18" customHeight="1">
      <c r="A121" s="973"/>
      <c r="B121" s="661" t="s">
        <v>13</v>
      </c>
      <c r="C121" s="661"/>
      <c r="D121" s="661" t="s">
        <v>11</v>
      </c>
      <c r="E121" s="661"/>
      <c r="F121" s="659" t="s">
        <v>21</v>
      </c>
      <c r="G121" s="659"/>
      <c r="H121" s="659"/>
      <c r="I121" s="659"/>
      <c r="J121" s="8"/>
      <c r="K121" s="655"/>
      <c r="L121" s="41"/>
      <c r="M121" s="803"/>
      <c r="N121" s="1115"/>
      <c r="O121" s="352"/>
      <c r="P121" s="352"/>
      <c r="Q121" s="352"/>
      <c r="R121" s="634"/>
      <c r="S121" s="635"/>
      <c r="T121" s="636"/>
    </row>
    <row r="122" spans="1:20" ht="18" customHeight="1">
      <c r="A122" s="973" t="s">
        <v>117</v>
      </c>
      <c r="B122" s="661" t="s">
        <v>35</v>
      </c>
      <c r="C122" s="661"/>
      <c r="D122" s="661" t="s">
        <v>11</v>
      </c>
      <c r="E122" s="661"/>
      <c r="F122" s="699" t="s">
        <v>118</v>
      </c>
      <c r="G122" s="699"/>
      <c r="H122" s="699"/>
      <c r="I122" s="699"/>
      <c r="J122" s="8">
        <v>900</v>
      </c>
      <c r="K122" s="654"/>
      <c r="L122" s="41"/>
      <c r="M122" s="702" t="s">
        <v>37</v>
      </c>
      <c r="N122" s="913"/>
      <c r="O122" s="385"/>
      <c r="P122" s="385"/>
      <c r="Q122" s="385"/>
      <c r="R122" s="660" t="s">
        <v>38</v>
      </c>
      <c r="S122" s="660"/>
      <c r="T122" s="660"/>
    </row>
    <row r="123" spans="1:20" ht="18" customHeight="1">
      <c r="A123" s="973"/>
      <c r="B123" s="661" t="s">
        <v>119</v>
      </c>
      <c r="C123" s="661"/>
      <c r="D123" s="661" t="s">
        <v>11</v>
      </c>
      <c r="E123" s="661"/>
      <c r="F123" s="699" t="s">
        <v>120</v>
      </c>
      <c r="G123" s="699"/>
      <c r="H123" s="699"/>
      <c r="I123" s="699"/>
      <c r="J123" s="8"/>
      <c r="K123" s="655"/>
      <c r="L123" s="41"/>
      <c r="M123" s="691"/>
      <c r="N123" s="914"/>
      <c r="O123" s="386"/>
      <c r="P123" s="386"/>
      <c r="Q123" s="386"/>
      <c r="R123" s="660"/>
      <c r="S123" s="660"/>
      <c r="T123" s="660"/>
    </row>
    <row r="124" spans="1:20" ht="18" customHeight="1">
      <c r="A124" s="60" t="s">
        <v>57</v>
      </c>
      <c r="B124" s="650" t="s">
        <v>62</v>
      </c>
      <c r="C124" s="650"/>
      <c r="D124" s="650" t="s">
        <v>63</v>
      </c>
      <c r="E124" s="650"/>
      <c r="F124" s="858" t="s">
        <v>64</v>
      </c>
      <c r="G124" s="859"/>
      <c r="H124" s="859"/>
      <c r="I124" s="859"/>
      <c r="J124" s="860"/>
      <c r="K124" s="32"/>
      <c r="L124" s="33"/>
      <c r="M124" s="36"/>
      <c r="N124" s="97" t="s">
        <v>425</v>
      </c>
      <c r="O124" s="97"/>
      <c r="P124" s="97"/>
      <c r="Q124" s="97"/>
      <c r="R124" s="660" t="s">
        <v>121</v>
      </c>
      <c r="S124" s="660"/>
      <c r="T124" s="660"/>
    </row>
    <row r="125" spans="1:20" ht="18" customHeight="1">
      <c r="A125" s="60" t="s">
        <v>122</v>
      </c>
      <c r="B125" s="650" t="s">
        <v>58</v>
      </c>
      <c r="C125" s="650"/>
      <c r="D125" s="650" t="s">
        <v>43</v>
      </c>
      <c r="E125" s="650"/>
      <c r="F125" s="858" t="s">
        <v>59</v>
      </c>
      <c r="G125" s="859"/>
      <c r="H125" s="859"/>
      <c r="I125" s="859"/>
      <c r="J125" s="860"/>
      <c r="K125" s="32" t="s">
        <v>123</v>
      </c>
      <c r="L125" s="33"/>
      <c r="M125" s="36"/>
      <c r="N125" s="97" t="s">
        <v>425</v>
      </c>
      <c r="O125" s="97"/>
      <c r="P125" s="97"/>
      <c r="Q125" s="97"/>
      <c r="R125" s="660" t="s">
        <v>124</v>
      </c>
      <c r="S125" s="660"/>
      <c r="T125" s="660"/>
    </row>
    <row r="126" spans="1:20" ht="18" customHeight="1">
      <c r="A126" s="665" t="s">
        <v>125</v>
      </c>
      <c r="B126" s="661" t="s">
        <v>28</v>
      </c>
      <c r="C126" s="661"/>
      <c r="D126" s="661" t="s">
        <v>29</v>
      </c>
      <c r="E126" s="661"/>
      <c r="F126" s="662" t="s">
        <v>815</v>
      </c>
      <c r="G126" s="663"/>
      <c r="H126" s="663"/>
      <c r="I126" s="663"/>
      <c r="J126" s="750"/>
      <c r="K126" s="654"/>
      <c r="L126" s="35"/>
      <c r="M126" s="702" t="s">
        <v>30</v>
      </c>
      <c r="N126" s="913"/>
      <c r="O126" s="387"/>
      <c r="P126" s="387"/>
      <c r="Q126" s="387"/>
      <c r="R126" s="708" t="s">
        <v>126</v>
      </c>
      <c r="S126" s="708"/>
      <c r="T126" s="708"/>
    </row>
    <row r="127" spans="1:20" ht="18" customHeight="1">
      <c r="A127" s="718"/>
      <c r="B127" s="661" t="s">
        <v>32</v>
      </c>
      <c r="C127" s="661"/>
      <c r="D127" s="661" t="s">
        <v>29</v>
      </c>
      <c r="E127" s="661"/>
      <c r="F127" s="662" t="s">
        <v>33</v>
      </c>
      <c r="G127" s="663"/>
      <c r="H127" s="663"/>
      <c r="I127" s="663"/>
      <c r="J127" s="750"/>
      <c r="K127" s="655"/>
      <c r="L127" s="34"/>
      <c r="M127" s="691"/>
      <c r="N127" s="914"/>
      <c r="O127" s="387"/>
      <c r="P127" s="387"/>
      <c r="Q127" s="387"/>
      <c r="R127" s="698"/>
      <c r="S127" s="698"/>
      <c r="T127" s="698"/>
    </row>
    <row r="128" spans="1:20" ht="18" customHeight="1">
      <c r="A128" s="1160" t="s">
        <v>127</v>
      </c>
      <c r="B128" s="919" t="s">
        <v>10</v>
      </c>
      <c r="C128" s="919"/>
      <c r="D128" s="919" t="s">
        <v>49</v>
      </c>
      <c r="E128" s="919"/>
      <c r="F128" s="893" t="s">
        <v>853</v>
      </c>
      <c r="G128" s="894"/>
      <c r="H128" s="894"/>
      <c r="I128" s="894"/>
      <c r="J128" s="895"/>
      <c r="K128" s="654"/>
      <c r="L128" s="41"/>
      <c r="M128" s="1174" t="s">
        <v>854</v>
      </c>
      <c r="N128" s="1114"/>
      <c r="O128" s="348"/>
      <c r="P128" s="348"/>
      <c r="Q128" s="348"/>
      <c r="R128" s="660" t="s">
        <v>12</v>
      </c>
      <c r="S128" s="660"/>
      <c r="T128" s="660"/>
    </row>
    <row r="129" spans="1:20" ht="18" customHeight="1" thickBot="1">
      <c r="A129" s="1161"/>
      <c r="B129" s="1164" t="s">
        <v>13</v>
      </c>
      <c r="C129" s="1164"/>
      <c r="D129" s="1164" t="s">
        <v>14</v>
      </c>
      <c r="E129" s="1164"/>
      <c r="F129" s="940" t="s">
        <v>15</v>
      </c>
      <c r="G129" s="941"/>
      <c r="H129" s="941"/>
      <c r="I129" s="941"/>
      <c r="J129" s="942"/>
      <c r="K129" s="1128"/>
      <c r="L129" s="42"/>
      <c r="M129" s="1175"/>
      <c r="N129" s="1129"/>
      <c r="O129" s="354"/>
      <c r="P129" s="354"/>
      <c r="Q129" s="354"/>
      <c r="R129" s="692"/>
      <c r="S129" s="692"/>
      <c r="T129" s="692"/>
    </row>
    <row r="130" spans="1:20" ht="18" customHeight="1" thickTop="1">
      <c r="A130" s="61" t="s">
        <v>66</v>
      </c>
      <c r="B130" s="650" t="s">
        <v>62</v>
      </c>
      <c r="C130" s="650"/>
      <c r="D130" s="650" t="s">
        <v>63</v>
      </c>
      <c r="E130" s="650"/>
      <c r="F130" s="858" t="s">
        <v>128</v>
      </c>
      <c r="G130" s="859"/>
      <c r="H130" s="859"/>
      <c r="I130" s="859"/>
      <c r="J130" s="860"/>
      <c r="K130" s="43"/>
      <c r="L130" s="38"/>
      <c r="M130" s="44"/>
      <c r="N130" s="97" t="s">
        <v>425</v>
      </c>
      <c r="O130" s="343"/>
      <c r="P130" s="343"/>
      <c r="Q130" s="343"/>
      <c r="R130" s="815" t="s">
        <v>129</v>
      </c>
      <c r="S130" s="816"/>
      <c r="T130" s="817"/>
    </row>
    <row r="131" spans="1:20" ht="18" customHeight="1">
      <c r="A131" s="718" t="s">
        <v>130</v>
      </c>
      <c r="B131" s="637" t="s">
        <v>10</v>
      </c>
      <c r="C131" s="637"/>
      <c r="D131" s="638" t="s">
        <v>14</v>
      </c>
      <c r="E131" s="639"/>
      <c r="F131" s="662" t="s">
        <v>80</v>
      </c>
      <c r="G131" s="663"/>
      <c r="H131" s="663"/>
      <c r="I131" s="663"/>
      <c r="J131" s="13"/>
      <c r="K131" s="1171" t="s">
        <v>722</v>
      </c>
      <c r="L131" s="41"/>
      <c r="M131" s="1149"/>
      <c r="N131" s="1152"/>
      <c r="O131" s="345"/>
      <c r="P131" s="345"/>
      <c r="Q131" s="345"/>
      <c r="R131" s="870" t="s">
        <v>855</v>
      </c>
      <c r="S131" s="657"/>
      <c r="T131" s="658"/>
    </row>
    <row r="132" spans="1:20" ht="18" customHeight="1">
      <c r="A132" s="664"/>
      <c r="B132" s="637" t="s">
        <v>81</v>
      </c>
      <c r="C132" s="637"/>
      <c r="D132" s="638" t="s">
        <v>14</v>
      </c>
      <c r="E132" s="639"/>
      <c r="F132" s="662" t="s">
        <v>82</v>
      </c>
      <c r="G132" s="663"/>
      <c r="H132" s="663"/>
      <c r="I132" s="663"/>
      <c r="J132" s="13"/>
      <c r="K132" s="1172"/>
      <c r="L132" s="41"/>
      <c r="M132" s="1150"/>
      <c r="N132" s="1153"/>
      <c r="O132" s="368"/>
      <c r="P132" s="368"/>
      <c r="Q132" s="368"/>
      <c r="R132" s="631"/>
      <c r="S132" s="632"/>
      <c r="T132" s="633"/>
    </row>
    <row r="133" spans="1:20" ht="18" customHeight="1">
      <c r="A133" s="665"/>
      <c r="B133" s="661" t="s">
        <v>131</v>
      </c>
      <c r="C133" s="661"/>
      <c r="D133" s="661" t="s">
        <v>11</v>
      </c>
      <c r="E133" s="661"/>
      <c r="F133" s="699" t="s">
        <v>132</v>
      </c>
      <c r="G133" s="699"/>
      <c r="H133" s="699"/>
      <c r="I133" s="699"/>
      <c r="J133" s="13"/>
      <c r="K133" s="1173"/>
      <c r="L133" s="41"/>
      <c r="M133" s="1151"/>
      <c r="N133" s="1154"/>
      <c r="O133" s="335"/>
      <c r="P133" s="335"/>
      <c r="Q133" s="335"/>
      <c r="R133" s="634"/>
      <c r="S133" s="635"/>
      <c r="T133" s="636"/>
    </row>
    <row r="134" spans="1:20" ht="18" customHeight="1">
      <c r="A134" s="718" t="s">
        <v>133</v>
      </c>
      <c r="B134" s="637" t="s">
        <v>134</v>
      </c>
      <c r="C134" s="637"/>
      <c r="D134" s="637" t="s">
        <v>11</v>
      </c>
      <c r="E134" s="637"/>
      <c r="F134" s="653" t="s">
        <v>135</v>
      </c>
      <c r="G134" s="653"/>
      <c r="H134" s="653"/>
      <c r="I134" s="653"/>
      <c r="J134" s="14">
        <v>1000</v>
      </c>
      <c r="K134" s="654" t="s">
        <v>160</v>
      </c>
      <c r="L134" s="35"/>
      <c r="M134" s="891" t="s">
        <v>88</v>
      </c>
      <c r="N134" s="867"/>
      <c r="O134" s="388"/>
      <c r="P134" s="388"/>
      <c r="Q134" s="388"/>
      <c r="R134" s="631" t="s">
        <v>136</v>
      </c>
      <c r="S134" s="632"/>
      <c r="T134" s="633"/>
    </row>
    <row r="135" spans="1:20" ht="18" customHeight="1">
      <c r="A135" s="664"/>
      <c r="B135" s="661" t="s">
        <v>137</v>
      </c>
      <c r="C135" s="661"/>
      <c r="D135" s="661" t="s">
        <v>11</v>
      </c>
      <c r="E135" s="661"/>
      <c r="F135" s="659" t="s">
        <v>138</v>
      </c>
      <c r="G135" s="659"/>
      <c r="H135" s="659"/>
      <c r="I135" s="659"/>
      <c r="J135" s="8"/>
      <c r="K135" s="1116"/>
      <c r="L135" s="41"/>
      <c r="M135" s="896"/>
      <c r="N135" s="868"/>
      <c r="O135" s="388"/>
      <c r="P135" s="388"/>
      <c r="Q135" s="388"/>
      <c r="R135" s="631"/>
      <c r="S135" s="632"/>
      <c r="T135" s="633"/>
    </row>
    <row r="136" spans="1:20" ht="18" customHeight="1">
      <c r="A136" s="665"/>
      <c r="B136" s="661" t="s">
        <v>92</v>
      </c>
      <c r="C136" s="661"/>
      <c r="D136" s="661" t="s">
        <v>139</v>
      </c>
      <c r="E136" s="661"/>
      <c r="F136" s="659" t="s">
        <v>140</v>
      </c>
      <c r="G136" s="659"/>
      <c r="H136" s="659"/>
      <c r="I136" s="659"/>
      <c r="J136" s="8"/>
      <c r="K136" s="655"/>
      <c r="L136" s="41"/>
      <c r="M136" s="892"/>
      <c r="N136" s="869"/>
      <c r="O136" s="389"/>
      <c r="P136" s="389"/>
      <c r="Q136" s="389"/>
      <c r="R136" s="634"/>
      <c r="S136" s="635"/>
      <c r="T136" s="636"/>
    </row>
    <row r="137" spans="1:20" ht="18" customHeight="1">
      <c r="A137" s="1160" t="s">
        <v>141</v>
      </c>
      <c r="B137" s="661" t="s">
        <v>10</v>
      </c>
      <c r="C137" s="661"/>
      <c r="D137" s="661" t="s">
        <v>43</v>
      </c>
      <c r="E137" s="661"/>
      <c r="F137" s="659" t="s">
        <v>142</v>
      </c>
      <c r="G137" s="659"/>
      <c r="H137" s="659"/>
      <c r="I137" s="659"/>
      <c r="J137" s="8">
        <v>698</v>
      </c>
      <c r="K137" s="654" t="s">
        <v>143</v>
      </c>
      <c r="L137" s="41"/>
      <c r="M137" s="802"/>
      <c r="N137" s="1114"/>
      <c r="O137" s="348"/>
      <c r="P137" s="348"/>
      <c r="Q137" s="348"/>
      <c r="R137" s="660" t="s">
        <v>144</v>
      </c>
      <c r="S137" s="660"/>
      <c r="T137" s="660"/>
    </row>
    <row r="138" spans="1:20" ht="18" customHeight="1">
      <c r="A138" s="1160"/>
      <c r="B138" s="661" t="s">
        <v>145</v>
      </c>
      <c r="C138" s="661"/>
      <c r="D138" s="661" t="s">
        <v>43</v>
      </c>
      <c r="E138" s="661"/>
      <c r="F138" s="659" t="s">
        <v>146</v>
      </c>
      <c r="G138" s="659"/>
      <c r="H138" s="659"/>
      <c r="I138" s="659"/>
      <c r="J138" s="8">
        <v>699</v>
      </c>
      <c r="K138" s="655"/>
      <c r="L138" s="41"/>
      <c r="M138" s="803"/>
      <c r="N138" s="1115"/>
      <c r="O138" s="349"/>
      <c r="P138" s="349"/>
      <c r="Q138" s="349"/>
      <c r="R138" s="660"/>
      <c r="S138" s="660"/>
      <c r="T138" s="660"/>
    </row>
    <row r="139" spans="1:20" ht="18" customHeight="1">
      <c r="A139" s="60" t="s">
        <v>100</v>
      </c>
      <c r="B139" s="650" t="s">
        <v>147</v>
      </c>
      <c r="C139" s="650"/>
      <c r="D139" s="650" t="s">
        <v>49</v>
      </c>
      <c r="E139" s="650"/>
      <c r="F139" s="651" t="s">
        <v>148</v>
      </c>
      <c r="G139" s="651"/>
      <c r="H139" s="651"/>
      <c r="I139" s="651"/>
      <c r="J139" s="15">
        <v>1000</v>
      </c>
      <c r="K139" s="32"/>
      <c r="L139" s="33"/>
      <c r="M139" s="9" t="s">
        <v>97</v>
      </c>
      <c r="N139" s="97" t="s">
        <v>704</v>
      </c>
      <c r="O139" s="341"/>
      <c r="P139" s="341"/>
      <c r="Q139" s="341"/>
      <c r="R139" s="652" t="s">
        <v>149</v>
      </c>
      <c r="S139" s="623"/>
      <c r="T139" s="624"/>
    </row>
    <row r="140" spans="1:20" ht="18" customHeight="1">
      <c r="A140" s="60" t="s">
        <v>101</v>
      </c>
      <c r="B140" s="650" t="s">
        <v>147</v>
      </c>
      <c r="C140" s="650"/>
      <c r="D140" s="650" t="s">
        <v>49</v>
      </c>
      <c r="E140" s="650"/>
      <c r="F140" s="651" t="s">
        <v>150</v>
      </c>
      <c r="G140" s="651"/>
      <c r="H140" s="651"/>
      <c r="I140" s="651"/>
      <c r="J140" s="15">
        <v>1001</v>
      </c>
      <c r="K140" s="32"/>
      <c r="L140" s="33"/>
      <c r="M140" s="32"/>
      <c r="N140" s="97" t="s">
        <v>470</v>
      </c>
      <c r="O140" s="341"/>
      <c r="P140" s="341"/>
      <c r="Q140" s="341"/>
      <c r="R140" s="652" t="s">
        <v>151</v>
      </c>
      <c r="S140" s="623"/>
      <c r="T140" s="624"/>
    </row>
    <row r="141" spans="1:20" ht="18" customHeight="1">
      <c r="A141" s="16"/>
      <c r="B141" s="16"/>
      <c r="C141" s="16"/>
      <c r="D141" s="16"/>
      <c r="E141" s="16"/>
      <c r="F141" s="17"/>
      <c r="G141" s="17"/>
      <c r="H141" s="17"/>
      <c r="I141" s="17"/>
      <c r="J141" s="18"/>
      <c r="K141" s="45"/>
      <c r="L141" s="46"/>
      <c r="M141" s="47"/>
      <c r="N141" s="47"/>
      <c r="O141" s="47"/>
      <c r="P141" s="47"/>
      <c r="Q141" s="47"/>
      <c r="R141" s="20"/>
      <c r="S141" s="20"/>
      <c r="T141" s="20"/>
    </row>
    <row r="142" spans="1:20" ht="18" customHeight="1">
      <c r="A142" s="40" t="s">
        <v>288</v>
      </c>
      <c r="B142" s="16"/>
      <c r="C142" s="16"/>
      <c r="D142" s="16"/>
      <c r="E142" s="16"/>
      <c r="F142" s="17"/>
      <c r="G142" s="17"/>
      <c r="H142" s="17"/>
      <c r="I142" s="17"/>
      <c r="J142" s="18"/>
      <c r="K142" s="45"/>
      <c r="L142" s="46"/>
      <c r="M142" s="47"/>
      <c r="N142" s="47"/>
      <c r="O142" s="47"/>
      <c r="P142" s="47"/>
      <c r="Q142" s="47"/>
      <c r="R142" s="20"/>
      <c r="S142" s="20"/>
      <c r="T142" s="20"/>
    </row>
    <row r="143" spans="1:20" ht="1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</row>
    <row r="144" spans="1:20" ht="15" customHeight="1"/>
    <row r="145" spans="22:34" ht="6" customHeight="1"/>
    <row r="146" spans="22:34" ht="15" customHeight="1"/>
    <row r="147" spans="22:34" ht="18.600000000000001" thickBot="1"/>
    <row r="148" spans="22:34">
      <c r="W148" s="832" t="s">
        <v>1356</v>
      </c>
      <c r="X148" s="644" t="s">
        <v>1357</v>
      </c>
      <c r="Y148" s="644"/>
      <c r="Z148" s="644" t="s">
        <v>1358</v>
      </c>
      <c r="AA148" s="644"/>
      <c r="AB148" s="644"/>
      <c r="AC148" s="644"/>
      <c r="AD148" s="644"/>
      <c r="AE148" s="644"/>
      <c r="AF148" s="553" t="s">
        <v>1359</v>
      </c>
      <c r="AG148" s="553" t="s">
        <v>1360</v>
      </c>
      <c r="AH148" s="554" t="s">
        <v>1361</v>
      </c>
    </row>
    <row r="149" spans="22:34">
      <c r="V149" s="1" t="s">
        <v>1394</v>
      </c>
      <c r="W149" s="833"/>
      <c r="X149" s="645"/>
      <c r="Y149" s="646"/>
      <c r="Z149" s="646"/>
      <c r="AA149" s="646"/>
      <c r="AB149" s="646"/>
      <c r="AC149" s="646"/>
      <c r="AD149" s="646"/>
      <c r="AE149" s="646"/>
      <c r="AF149" s="555"/>
      <c r="AG149" s="555"/>
      <c r="AH149" s="556"/>
    </row>
    <row r="150" spans="22:34">
      <c r="W150" s="833"/>
      <c r="X150" s="645"/>
      <c r="Y150" s="646"/>
      <c r="Z150" s="646"/>
      <c r="AA150" s="646"/>
      <c r="AB150" s="646"/>
      <c r="AC150" s="646"/>
      <c r="AD150" s="646"/>
      <c r="AE150" s="646"/>
      <c r="AF150" s="555"/>
      <c r="AG150" s="555"/>
      <c r="AH150" s="556"/>
    </row>
    <row r="151" spans="22:34" ht="18.600000000000001" thickBot="1">
      <c r="W151" s="834"/>
      <c r="X151" s="647" t="s">
        <v>1395</v>
      </c>
      <c r="Y151" s="617"/>
      <c r="Z151" s="617" t="s">
        <v>1363</v>
      </c>
      <c r="AA151" s="617"/>
      <c r="AB151" s="617"/>
      <c r="AC151" s="617"/>
      <c r="AD151" s="617"/>
      <c r="AE151" s="617"/>
      <c r="AF151" s="557" t="s">
        <v>1364</v>
      </c>
      <c r="AG151" s="557" t="s">
        <v>1365</v>
      </c>
      <c r="AH151" s="558" t="s">
        <v>1366</v>
      </c>
    </row>
  </sheetData>
  <mergeCells count="573">
    <mergeCell ref="W148:W151"/>
    <mergeCell ref="X148:Y148"/>
    <mergeCell ref="Z148:AE148"/>
    <mergeCell ref="X149:Y149"/>
    <mergeCell ref="Z149:AE149"/>
    <mergeCell ref="X150:Y150"/>
    <mergeCell ref="Z150:AE150"/>
    <mergeCell ref="X151:Y151"/>
    <mergeCell ref="Z151:AE151"/>
    <mergeCell ref="B103:C103"/>
    <mergeCell ref="D103:E103"/>
    <mergeCell ref="F103:I103"/>
    <mergeCell ref="R103:T103"/>
    <mergeCell ref="A41:A42"/>
    <mergeCell ref="B41:C42"/>
    <mergeCell ref="D41:E42"/>
    <mergeCell ref="F41:I42"/>
    <mergeCell ref="J41:J42"/>
    <mergeCell ref="K41:K42"/>
    <mergeCell ref="B44:C44"/>
    <mergeCell ref="D44:E44"/>
    <mergeCell ref="F44:J44"/>
    <mergeCell ref="R44:T44"/>
    <mergeCell ref="B45:C45"/>
    <mergeCell ref="D45:E45"/>
    <mergeCell ref="F45:J45"/>
    <mergeCell ref="R45:T45"/>
    <mergeCell ref="L41:L42"/>
    <mergeCell ref="M41:M42"/>
    <mergeCell ref="A46:A47"/>
    <mergeCell ref="B46:C46"/>
    <mergeCell ref="D46:E46"/>
    <mergeCell ref="F46:J46"/>
    <mergeCell ref="K46:K47"/>
    <mergeCell ref="R41:T42"/>
    <mergeCell ref="B43:C43"/>
    <mergeCell ref="D43:E43"/>
    <mergeCell ref="F43:J43"/>
    <mergeCell ref="R43:T43"/>
    <mergeCell ref="N46:N47"/>
    <mergeCell ref="R46:T47"/>
    <mergeCell ref="B47:C47"/>
    <mergeCell ref="D47:E47"/>
    <mergeCell ref="F47:J47"/>
    <mergeCell ref="M46:M47"/>
    <mergeCell ref="O41:O42"/>
    <mergeCell ref="P41:P42"/>
    <mergeCell ref="Q41:Q42"/>
    <mergeCell ref="A50:A51"/>
    <mergeCell ref="B50:C50"/>
    <mergeCell ref="D50:E50"/>
    <mergeCell ref="F50:I50"/>
    <mergeCell ref="K50:K51"/>
    <mergeCell ref="M50:M51"/>
    <mergeCell ref="M48:M49"/>
    <mergeCell ref="N48:N49"/>
    <mergeCell ref="R48:T49"/>
    <mergeCell ref="B49:C49"/>
    <mergeCell ref="D49:E49"/>
    <mergeCell ref="F49:I49"/>
    <mergeCell ref="N50:N51"/>
    <mergeCell ref="R50:T51"/>
    <mergeCell ref="B51:C51"/>
    <mergeCell ref="D51:E51"/>
    <mergeCell ref="F51:I51"/>
    <mergeCell ref="A48:A49"/>
    <mergeCell ref="B48:C48"/>
    <mergeCell ref="D48:E48"/>
    <mergeCell ref="F48:I48"/>
    <mergeCell ref="K48:K49"/>
    <mergeCell ref="R52:T52"/>
    <mergeCell ref="B53:C53"/>
    <mergeCell ref="D53:E53"/>
    <mergeCell ref="F53:J53"/>
    <mergeCell ref="R53:T53"/>
    <mergeCell ref="A54:A55"/>
    <mergeCell ref="B54:C54"/>
    <mergeCell ref="D54:E54"/>
    <mergeCell ref="F54:J54"/>
    <mergeCell ref="K54:K55"/>
    <mergeCell ref="M54:M55"/>
    <mergeCell ref="N54:N55"/>
    <mergeCell ref="R54:T55"/>
    <mergeCell ref="B55:C55"/>
    <mergeCell ref="D55:E55"/>
    <mergeCell ref="F55:J55"/>
    <mergeCell ref="A56:A57"/>
    <mergeCell ref="B56:C56"/>
    <mergeCell ref="D56:E56"/>
    <mergeCell ref="F56:J56"/>
    <mergeCell ref="K56:K57"/>
    <mergeCell ref="B59:C59"/>
    <mergeCell ref="D59:E59"/>
    <mergeCell ref="F59:I59"/>
    <mergeCell ref="B52:C52"/>
    <mergeCell ref="D52:E52"/>
    <mergeCell ref="F52:J52"/>
    <mergeCell ref="M56:M57"/>
    <mergeCell ref="N56:N57"/>
    <mergeCell ref="R56:T57"/>
    <mergeCell ref="B57:C57"/>
    <mergeCell ref="D57:E57"/>
    <mergeCell ref="F57:J57"/>
    <mergeCell ref="B60:C60"/>
    <mergeCell ref="D60:E60"/>
    <mergeCell ref="F60:I60"/>
    <mergeCell ref="B58:C58"/>
    <mergeCell ref="D58:E58"/>
    <mergeCell ref="F58:J58"/>
    <mergeCell ref="R58:T58"/>
    <mergeCell ref="R59:T59"/>
    <mergeCell ref="B66:C66"/>
    <mergeCell ref="D66:E66"/>
    <mergeCell ref="F66:I66"/>
    <mergeCell ref="B67:C67"/>
    <mergeCell ref="D67:E67"/>
    <mergeCell ref="F67:I67"/>
    <mergeCell ref="R67:T67"/>
    <mergeCell ref="R68:T69"/>
    <mergeCell ref="B65:C65"/>
    <mergeCell ref="D65:E65"/>
    <mergeCell ref="F65:I65"/>
    <mergeCell ref="R66:T66"/>
    <mergeCell ref="K68:K69"/>
    <mergeCell ref="M68:M69"/>
    <mergeCell ref="N68:N69"/>
    <mergeCell ref="A77:A78"/>
    <mergeCell ref="B77:C78"/>
    <mergeCell ref="D77:E78"/>
    <mergeCell ref="F77:I78"/>
    <mergeCell ref="J77:J78"/>
    <mergeCell ref="B68:C68"/>
    <mergeCell ref="D68:E68"/>
    <mergeCell ref="F68:I68"/>
    <mergeCell ref="B69:C69"/>
    <mergeCell ref="D69:E69"/>
    <mergeCell ref="F69:I69"/>
    <mergeCell ref="A68:A69"/>
    <mergeCell ref="B80:C80"/>
    <mergeCell ref="D80:E80"/>
    <mergeCell ref="F80:J80"/>
    <mergeCell ref="R80:T80"/>
    <mergeCell ref="B81:C81"/>
    <mergeCell ref="D81:E81"/>
    <mergeCell ref="F81:J81"/>
    <mergeCell ref="R81:T81"/>
    <mergeCell ref="K77:K78"/>
    <mergeCell ref="L77:L78"/>
    <mergeCell ref="M77:M78"/>
    <mergeCell ref="R77:T78"/>
    <mergeCell ref="B79:C79"/>
    <mergeCell ref="D79:E79"/>
    <mergeCell ref="F79:J79"/>
    <mergeCell ref="R79:T79"/>
    <mergeCell ref="O77:O78"/>
    <mergeCell ref="P77:P78"/>
    <mergeCell ref="Q77:Q78"/>
    <mergeCell ref="B82:C82"/>
    <mergeCell ref="D82:E82"/>
    <mergeCell ref="F82:J82"/>
    <mergeCell ref="R82:T82"/>
    <mergeCell ref="A83:A84"/>
    <mergeCell ref="B83:C83"/>
    <mergeCell ref="D83:E83"/>
    <mergeCell ref="F83:J83"/>
    <mergeCell ref="K83:K84"/>
    <mergeCell ref="M83:M84"/>
    <mergeCell ref="N83:N84"/>
    <mergeCell ref="R83:T84"/>
    <mergeCell ref="B84:C84"/>
    <mergeCell ref="D84:E84"/>
    <mergeCell ref="F84:J84"/>
    <mergeCell ref="A85:A86"/>
    <mergeCell ref="B85:C85"/>
    <mergeCell ref="D85:E85"/>
    <mergeCell ref="F85:I85"/>
    <mergeCell ref="K85:K86"/>
    <mergeCell ref="A87:A88"/>
    <mergeCell ref="B87:C87"/>
    <mergeCell ref="D87:E87"/>
    <mergeCell ref="F87:I87"/>
    <mergeCell ref="K87:K88"/>
    <mergeCell ref="M87:M88"/>
    <mergeCell ref="M85:M86"/>
    <mergeCell ref="N85:N86"/>
    <mergeCell ref="R85:T86"/>
    <mergeCell ref="B86:C86"/>
    <mergeCell ref="D86:E86"/>
    <mergeCell ref="F86:I86"/>
    <mergeCell ref="N87:N88"/>
    <mergeCell ref="R87:T88"/>
    <mergeCell ref="B88:C88"/>
    <mergeCell ref="D88:E88"/>
    <mergeCell ref="F88:I88"/>
    <mergeCell ref="B89:C89"/>
    <mergeCell ref="D89:E89"/>
    <mergeCell ref="F89:J89"/>
    <mergeCell ref="R89:T89"/>
    <mergeCell ref="A93:A94"/>
    <mergeCell ref="B93:C93"/>
    <mergeCell ref="D93:E93"/>
    <mergeCell ref="F93:J93"/>
    <mergeCell ref="K93:K94"/>
    <mergeCell ref="B90:C90"/>
    <mergeCell ref="D90:E90"/>
    <mergeCell ref="F90:J90"/>
    <mergeCell ref="R90:T90"/>
    <mergeCell ref="A91:A92"/>
    <mergeCell ref="B91:C91"/>
    <mergeCell ref="D91:E91"/>
    <mergeCell ref="F91:J91"/>
    <mergeCell ref="K91:K92"/>
    <mergeCell ref="M91:M92"/>
    <mergeCell ref="M93:M94"/>
    <mergeCell ref="N93:N94"/>
    <mergeCell ref="R93:T94"/>
    <mergeCell ref="B94:C94"/>
    <mergeCell ref="D94:E94"/>
    <mergeCell ref="F94:J94"/>
    <mergeCell ref="N91:N92"/>
    <mergeCell ref="R91:T92"/>
    <mergeCell ref="B92:C92"/>
    <mergeCell ref="D92:E92"/>
    <mergeCell ref="F92:J92"/>
    <mergeCell ref="A98:A100"/>
    <mergeCell ref="B98:C98"/>
    <mergeCell ref="D98:E98"/>
    <mergeCell ref="F98:I98"/>
    <mergeCell ref="K98:K100"/>
    <mergeCell ref="M98:M100"/>
    <mergeCell ref="N95:N97"/>
    <mergeCell ref="R95:T97"/>
    <mergeCell ref="B96:C96"/>
    <mergeCell ref="D96:E96"/>
    <mergeCell ref="F96:I96"/>
    <mergeCell ref="B97:C97"/>
    <mergeCell ref="D97:E97"/>
    <mergeCell ref="F97:I97"/>
    <mergeCell ref="A95:A97"/>
    <mergeCell ref="B95:C95"/>
    <mergeCell ref="D95:E95"/>
    <mergeCell ref="F95:I95"/>
    <mergeCell ref="K95:K97"/>
    <mergeCell ref="M95:M97"/>
    <mergeCell ref="B101:C101"/>
    <mergeCell ref="D101:E101"/>
    <mergeCell ref="F101:I101"/>
    <mergeCell ref="R101:T101"/>
    <mergeCell ref="B102:C102"/>
    <mergeCell ref="D102:E102"/>
    <mergeCell ref="F102:J102"/>
    <mergeCell ref="R102:T102"/>
    <mergeCell ref="N98:N100"/>
    <mergeCell ref="R98:T100"/>
    <mergeCell ref="B99:C99"/>
    <mergeCell ref="D99:E99"/>
    <mergeCell ref="F99:I99"/>
    <mergeCell ref="B100:C100"/>
    <mergeCell ref="D100:E100"/>
    <mergeCell ref="F100:I100"/>
    <mergeCell ref="N104:N105"/>
    <mergeCell ref="R104:T105"/>
    <mergeCell ref="B105:C105"/>
    <mergeCell ref="D105:E105"/>
    <mergeCell ref="F105:I105"/>
    <mergeCell ref="A113:A114"/>
    <mergeCell ref="B113:C114"/>
    <mergeCell ref="D113:E114"/>
    <mergeCell ref="F113:I114"/>
    <mergeCell ref="J113:J114"/>
    <mergeCell ref="A104:A105"/>
    <mergeCell ref="B104:C104"/>
    <mergeCell ref="D104:E104"/>
    <mergeCell ref="F104:I104"/>
    <mergeCell ref="K104:K105"/>
    <mergeCell ref="M104:M105"/>
    <mergeCell ref="O113:O114"/>
    <mergeCell ref="P113:P114"/>
    <mergeCell ref="Q113:Q114"/>
    <mergeCell ref="B116:C116"/>
    <mergeCell ref="D116:E116"/>
    <mergeCell ref="F116:J116"/>
    <mergeCell ref="R116:T116"/>
    <mergeCell ref="B117:C117"/>
    <mergeCell ref="D117:E117"/>
    <mergeCell ref="F117:J117"/>
    <mergeCell ref="R117:T117"/>
    <mergeCell ref="K113:K114"/>
    <mergeCell ref="L113:L114"/>
    <mergeCell ref="M113:M114"/>
    <mergeCell ref="R113:T114"/>
    <mergeCell ref="B115:C115"/>
    <mergeCell ref="D115:E115"/>
    <mergeCell ref="F115:J115"/>
    <mergeCell ref="R115:T115"/>
    <mergeCell ref="N118:N119"/>
    <mergeCell ref="R118:T119"/>
    <mergeCell ref="B119:C119"/>
    <mergeCell ref="D119:E119"/>
    <mergeCell ref="F119:J119"/>
    <mergeCell ref="A120:A121"/>
    <mergeCell ref="B120:C120"/>
    <mergeCell ref="D120:E120"/>
    <mergeCell ref="F120:I120"/>
    <mergeCell ref="K120:K121"/>
    <mergeCell ref="A118:A119"/>
    <mergeCell ref="B118:C118"/>
    <mergeCell ref="D118:E118"/>
    <mergeCell ref="F118:J118"/>
    <mergeCell ref="K118:K119"/>
    <mergeCell ref="M118:M119"/>
    <mergeCell ref="A122:A123"/>
    <mergeCell ref="B122:C122"/>
    <mergeCell ref="D122:E122"/>
    <mergeCell ref="F122:I122"/>
    <mergeCell ref="K122:K123"/>
    <mergeCell ref="M122:M123"/>
    <mergeCell ref="M120:M121"/>
    <mergeCell ref="N120:N121"/>
    <mergeCell ref="R120:T121"/>
    <mergeCell ref="B121:C121"/>
    <mergeCell ref="D121:E121"/>
    <mergeCell ref="F121:I121"/>
    <mergeCell ref="N122:N123"/>
    <mergeCell ref="R122:T123"/>
    <mergeCell ref="B123:C123"/>
    <mergeCell ref="D123:E123"/>
    <mergeCell ref="F123:I123"/>
    <mergeCell ref="R125:T125"/>
    <mergeCell ref="A126:A127"/>
    <mergeCell ref="B126:C126"/>
    <mergeCell ref="D126:E126"/>
    <mergeCell ref="F126:J126"/>
    <mergeCell ref="K126:K127"/>
    <mergeCell ref="M126:M127"/>
    <mergeCell ref="M128:M129"/>
    <mergeCell ref="N128:N129"/>
    <mergeCell ref="R128:T129"/>
    <mergeCell ref="B129:C129"/>
    <mergeCell ref="D129:E129"/>
    <mergeCell ref="A137:A138"/>
    <mergeCell ref="B137:C137"/>
    <mergeCell ref="D137:E137"/>
    <mergeCell ref="F137:I137"/>
    <mergeCell ref="K137:K138"/>
    <mergeCell ref="M137:M138"/>
    <mergeCell ref="F129:J129"/>
    <mergeCell ref="N126:N127"/>
    <mergeCell ref="R126:T127"/>
    <mergeCell ref="B127:C127"/>
    <mergeCell ref="D127:E127"/>
    <mergeCell ref="F127:J127"/>
    <mergeCell ref="D130:E130"/>
    <mergeCell ref="F130:J130"/>
    <mergeCell ref="R130:T130"/>
    <mergeCell ref="A134:A136"/>
    <mergeCell ref="B134:C134"/>
    <mergeCell ref="D134:E134"/>
    <mergeCell ref="F134:I134"/>
    <mergeCell ref="K134:K136"/>
    <mergeCell ref="M134:M136"/>
    <mergeCell ref="A131:A133"/>
    <mergeCell ref="B131:C131"/>
    <mergeCell ref="D131:E131"/>
    <mergeCell ref="R124:T124"/>
    <mergeCell ref="A128:A129"/>
    <mergeCell ref="B128:C128"/>
    <mergeCell ref="D128:E128"/>
    <mergeCell ref="F128:J128"/>
    <mergeCell ref="K128:K129"/>
    <mergeCell ref="B125:C125"/>
    <mergeCell ref="D125:E125"/>
    <mergeCell ref="N131:N133"/>
    <mergeCell ref="R131:T133"/>
    <mergeCell ref="B132:C132"/>
    <mergeCell ref="D132:E132"/>
    <mergeCell ref="F131:I131"/>
    <mergeCell ref="K131:K133"/>
    <mergeCell ref="M131:M133"/>
    <mergeCell ref="F132:I132"/>
    <mergeCell ref="B133:C133"/>
    <mergeCell ref="D133:E133"/>
    <mergeCell ref="F133:I133"/>
    <mergeCell ref="B130:C130"/>
    <mergeCell ref="B124:C124"/>
    <mergeCell ref="D124:E124"/>
    <mergeCell ref="F124:J124"/>
    <mergeCell ref="F125:J125"/>
    <mergeCell ref="R134:T136"/>
    <mergeCell ref="B135:C135"/>
    <mergeCell ref="D135:E135"/>
    <mergeCell ref="F135:I135"/>
    <mergeCell ref="B136:C136"/>
    <mergeCell ref="D136:E136"/>
    <mergeCell ref="F136:I136"/>
    <mergeCell ref="N134:N136"/>
    <mergeCell ref="B140:C140"/>
    <mergeCell ref="D140:E140"/>
    <mergeCell ref="F140:I140"/>
    <mergeCell ref="R140:T140"/>
    <mergeCell ref="N137:N138"/>
    <mergeCell ref="R137:T138"/>
    <mergeCell ref="B138:C138"/>
    <mergeCell ref="D138:E138"/>
    <mergeCell ref="F138:I138"/>
    <mergeCell ref="B139:C139"/>
    <mergeCell ref="D139:E139"/>
    <mergeCell ref="F139:I139"/>
    <mergeCell ref="R139:T139"/>
    <mergeCell ref="A60:A62"/>
    <mergeCell ref="K60:K62"/>
    <mergeCell ref="M60:M62"/>
    <mergeCell ref="N60:N62"/>
    <mergeCell ref="R60:T62"/>
    <mergeCell ref="A63:A65"/>
    <mergeCell ref="K63:K65"/>
    <mergeCell ref="M63:M65"/>
    <mergeCell ref="N63:N65"/>
    <mergeCell ref="R63:T65"/>
    <mergeCell ref="B63:C63"/>
    <mergeCell ref="D63:E63"/>
    <mergeCell ref="F63:I63"/>
    <mergeCell ref="B64:C64"/>
    <mergeCell ref="D64:E64"/>
    <mergeCell ref="F64:I64"/>
    <mergeCell ref="B62:C62"/>
    <mergeCell ref="D62:E62"/>
    <mergeCell ref="F62:I62"/>
    <mergeCell ref="B61:C61"/>
    <mergeCell ref="D61:E61"/>
    <mergeCell ref="F61:I61"/>
    <mergeCell ref="A4:A5"/>
    <mergeCell ref="B4:C5"/>
    <mergeCell ref="D4:E5"/>
    <mergeCell ref="F4:I5"/>
    <mergeCell ref="J4:J5"/>
    <mergeCell ref="K4:K5"/>
    <mergeCell ref="L4:L5"/>
    <mergeCell ref="M4:M5"/>
    <mergeCell ref="O4:O5"/>
    <mergeCell ref="P4:P5"/>
    <mergeCell ref="Q4:Q5"/>
    <mergeCell ref="R4:T5"/>
    <mergeCell ref="B6:C6"/>
    <mergeCell ref="D6:E6"/>
    <mergeCell ref="F6:J6"/>
    <mergeCell ref="R6:T6"/>
    <mergeCell ref="B7:C7"/>
    <mergeCell ref="D7:E7"/>
    <mergeCell ref="F7:J7"/>
    <mergeCell ref="R7:T7"/>
    <mergeCell ref="B8:C8"/>
    <mergeCell ref="D8:E8"/>
    <mergeCell ref="F8:J8"/>
    <mergeCell ref="R8:T8"/>
    <mergeCell ref="A9:A10"/>
    <mergeCell ref="B9:C9"/>
    <mergeCell ref="D9:E9"/>
    <mergeCell ref="F9:J9"/>
    <mergeCell ref="K9:K10"/>
    <mergeCell ref="M9:M10"/>
    <mergeCell ref="N9:N10"/>
    <mergeCell ref="R9:T10"/>
    <mergeCell ref="B10:C10"/>
    <mergeCell ref="D10:E10"/>
    <mergeCell ref="F10:J10"/>
    <mergeCell ref="A11:A12"/>
    <mergeCell ref="B11:C11"/>
    <mergeCell ref="D11:E11"/>
    <mergeCell ref="F11:I11"/>
    <mergeCell ref="K11:K12"/>
    <mergeCell ref="M11:M12"/>
    <mergeCell ref="N11:N12"/>
    <mergeCell ref="R11:T12"/>
    <mergeCell ref="B12:C12"/>
    <mergeCell ref="D12:E12"/>
    <mergeCell ref="F12:I12"/>
    <mergeCell ref="A13:A14"/>
    <mergeCell ref="B13:C13"/>
    <mergeCell ref="D13:E13"/>
    <mergeCell ref="F13:I13"/>
    <mergeCell ref="K13:K14"/>
    <mergeCell ref="M13:M14"/>
    <mergeCell ref="N13:N14"/>
    <mergeCell ref="R13:T14"/>
    <mergeCell ref="B14:C14"/>
    <mergeCell ref="D14:E14"/>
    <mergeCell ref="F14:I14"/>
    <mergeCell ref="B15:C15"/>
    <mergeCell ref="D15:E15"/>
    <mergeCell ref="F15:J15"/>
    <mergeCell ref="R15:T15"/>
    <mergeCell ref="B16:C16"/>
    <mergeCell ref="D16:E16"/>
    <mergeCell ref="F16:J16"/>
    <mergeCell ref="R16:T16"/>
    <mergeCell ref="A17:A18"/>
    <mergeCell ref="B17:C17"/>
    <mergeCell ref="D17:E17"/>
    <mergeCell ref="F17:J17"/>
    <mergeCell ref="K17:K18"/>
    <mergeCell ref="M17:M18"/>
    <mergeCell ref="N17:N18"/>
    <mergeCell ref="R17:T18"/>
    <mergeCell ref="B18:C18"/>
    <mergeCell ref="D18:E18"/>
    <mergeCell ref="F18:J18"/>
    <mergeCell ref="A19:A20"/>
    <mergeCell ref="B19:C19"/>
    <mergeCell ref="D19:E19"/>
    <mergeCell ref="F19:J19"/>
    <mergeCell ref="K19:K20"/>
    <mergeCell ref="M19:M20"/>
    <mergeCell ref="N19:N20"/>
    <mergeCell ref="R19:T20"/>
    <mergeCell ref="B20:C20"/>
    <mergeCell ref="D20:E20"/>
    <mergeCell ref="F20:J20"/>
    <mergeCell ref="B21:C21"/>
    <mergeCell ref="D21:E21"/>
    <mergeCell ref="F21:J21"/>
    <mergeCell ref="R21:T21"/>
    <mergeCell ref="B22:C22"/>
    <mergeCell ref="D22:E22"/>
    <mergeCell ref="F22:I22"/>
    <mergeCell ref="R22:T22"/>
    <mergeCell ref="A23:A25"/>
    <mergeCell ref="B23:C23"/>
    <mergeCell ref="D23:E23"/>
    <mergeCell ref="F23:I23"/>
    <mergeCell ref="K23:K25"/>
    <mergeCell ref="M23:M25"/>
    <mergeCell ref="N23:N25"/>
    <mergeCell ref="R23:T25"/>
    <mergeCell ref="B24:C24"/>
    <mergeCell ref="D24:E24"/>
    <mergeCell ref="F24:I24"/>
    <mergeCell ref="B25:C25"/>
    <mergeCell ref="D25:E25"/>
    <mergeCell ref="F25:I25"/>
    <mergeCell ref="A26:A28"/>
    <mergeCell ref="B26:C26"/>
    <mergeCell ref="D26:E26"/>
    <mergeCell ref="F26:I26"/>
    <mergeCell ref="K26:K28"/>
    <mergeCell ref="M26:M28"/>
    <mergeCell ref="N26:N28"/>
    <mergeCell ref="R26:T28"/>
    <mergeCell ref="B27:C27"/>
    <mergeCell ref="D27:E27"/>
    <mergeCell ref="F27:I27"/>
    <mergeCell ref="B28:C28"/>
    <mergeCell ref="D28:E28"/>
    <mergeCell ref="F28:I28"/>
    <mergeCell ref="B29:C29"/>
    <mergeCell ref="D29:E29"/>
    <mergeCell ref="F29:I29"/>
    <mergeCell ref="R29:T29"/>
    <mergeCell ref="B30:C30"/>
    <mergeCell ref="D30:E30"/>
    <mergeCell ref="F30:I30"/>
    <mergeCell ref="R30:T30"/>
    <mergeCell ref="A31:A32"/>
    <mergeCell ref="B31:C31"/>
    <mergeCell ref="D31:E31"/>
    <mergeCell ref="F31:I31"/>
    <mergeCell ref="K31:K32"/>
    <mergeCell ref="M31:M32"/>
    <mergeCell ref="N31:N32"/>
    <mergeCell ref="R31:T32"/>
    <mergeCell ref="B32:C32"/>
    <mergeCell ref="D32:E32"/>
    <mergeCell ref="F32:I32"/>
  </mergeCells>
  <phoneticPr fontId="11"/>
  <printOptions horizontalCentered="1" verticalCentered="1"/>
  <pageMargins left="0.11811023622047245" right="0.11811023622047245" top="0.11811023622047245" bottom="0.11811023622047245" header="0.11811023622047245" footer="0.11811023622047245"/>
  <pageSetup paperSize="9" scale="80" fitToWidth="0" fitToHeight="0" orientation="landscape" r:id="rId1"/>
  <rowBreaks count="3" manualBreakCount="3">
    <brk id="37" max="16383" man="1"/>
    <brk id="73" max="16383" man="1"/>
    <brk id="109" max="16383" man="1"/>
  </rowBreak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CB93-A3D7-4F3C-B0DA-61A3D7910A6C}">
  <sheetPr>
    <tabColor rgb="FF00B050"/>
  </sheetPr>
  <dimension ref="A1:AH60"/>
  <sheetViews>
    <sheetView topLeftCell="A34" zoomScale="70" zoomScaleNormal="70" zoomScaleSheetLayoutView="100" workbookViewId="0">
      <selection activeCell="V43" sqref="V43"/>
    </sheetView>
  </sheetViews>
  <sheetFormatPr defaultColWidth="9" defaultRowHeight="18"/>
  <cols>
    <col min="1" max="1" width="5.69921875" style="1" customWidth="1"/>
    <col min="2" max="3" width="9" style="1"/>
    <col min="4" max="5" width="5.5" style="1" customWidth="1"/>
    <col min="6" max="7" width="9" style="1"/>
    <col min="8" max="8" width="13.8984375" style="1" customWidth="1"/>
    <col min="9" max="9" width="9.765625E-2" style="1" customWidth="1"/>
    <col min="10" max="10" width="9" style="1" hidden="1" customWidth="1"/>
    <col min="11" max="11" width="36.09765625" style="1" customWidth="1"/>
    <col min="12" max="12" width="18.19921875" style="1" customWidth="1"/>
    <col min="13" max="13" width="7.59765625" style="1" customWidth="1"/>
    <col min="14" max="15" width="5.69921875" style="364" customWidth="1"/>
    <col min="16" max="16" width="9" style="364" customWidth="1"/>
    <col min="17" max="17" width="10.69921875" style="1" customWidth="1"/>
    <col min="18" max="18" width="14.59765625" style="1" customWidth="1"/>
    <col min="19" max="16384" width="9" style="1"/>
  </cols>
  <sheetData>
    <row r="1" spans="1:18" ht="18.75" customHeight="1">
      <c r="A1" s="879" t="s">
        <v>1431</v>
      </c>
      <c r="B1" s="879"/>
      <c r="C1" s="879"/>
      <c r="D1" s="879"/>
      <c r="E1" s="879"/>
      <c r="F1" s="879"/>
      <c r="G1" s="879"/>
      <c r="H1" s="879"/>
      <c r="I1" s="879"/>
      <c r="J1" s="879"/>
      <c r="K1" s="879"/>
      <c r="L1" s="39"/>
      <c r="M1" s="39"/>
      <c r="N1" s="517"/>
      <c r="O1" s="517"/>
      <c r="P1" s="517"/>
      <c r="Q1" s="39"/>
      <c r="R1" s="39"/>
    </row>
    <row r="2" spans="1:18" ht="18.75" customHeight="1">
      <c r="A2" s="486" t="s">
        <v>1196</v>
      </c>
      <c r="B2" s="464"/>
      <c r="C2" s="464"/>
      <c r="D2" s="39"/>
      <c r="E2" s="39"/>
      <c r="F2" s="39"/>
      <c r="G2" s="39"/>
      <c r="H2" s="39"/>
      <c r="I2" s="465"/>
      <c r="J2" s="39"/>
      <c r="K2" s="39"/>
      <c r="L2" s="39"/>
      <c r="M2" s="39"/>
      <c r="N2" s="517"/>
      <c r="O2" s="517"/>
      <c r="P2" s="517"/>
      <c r="Q2" s="39"/>
      <c r="R2" s="39"/>
    </row>
    <row r="3" spans="1:18" ht="16.5" customHeight="1">
      <c r="A3" s="49" t="s">
        <v>366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517"/>
      <c r="O3" s="517"/>
      <c r="P3" s="517"/>
      <c r="Q3" s="39"/>
      <c r="R3" s="39" t="s">
        <v>983</v>
      </c>
    </row>
    <row r="4" spans="1:18" ht="16.5" customHeight="1">
      <c r="A4" s="754" t="s">
        <v>2</v>
      </c>
      <c r="B4" s="922" t="s">
        <v>3</v>
      </c>
      <c r="C4" s="923"/>
      <c r="D4" s="926" t="s">
        <v>4</v>
      </c>
      <c r="E4" s="927"/>
      <c r="F4" s="922" t="s">
        <v>5</v>
      </c>
      <c r="G4" s="930"/>
      <c r="H4" s="930"/>
      <c r="I4" s="930"/>
      <c r="J4" s="923"/>
      <c r="K4" s="715" t="s">
        <v>6</v>
      </c>
      <c r="L4" s="932" t="s">
        <v>7</v>
      </c>
      <c r="M4" s="185" t="s">
        <v>407</v>
      </c>
      <c r="N4" s="768" t="s">
        <v>1095</v>
      </c>
      <c r="O4" s="805" t="s">
        <v>1096</v>
      </c>
      <c r="P4" s="650" t="s">
        <v>1097</v>
      </c>
      <c r="Q4" s="915" t="s">
        <v>8</v>
      </c>
      <c r="R4" s="916"/>
    </row>
    <row r="5" spans="1:18" ht="16.5" customHeight="1">
      <c r="A5" s="755"/>
      <c r="B5" s="924"/>
      <c r="C5" s="925"/>
      <c r="D5" s="928"/>
      <c r="E5" s="929"/>
      <c r="F5" s="924"/>
      <c r="G5" s="931"/>
      <c r="H5" s="931"/>
      <c r="I5" s="931"/>
      <c r="J5" s="925"/>
      <c r="K5" s="715"/>
      <c r="L5" s="933"/>
      <c r="M5" s="186" t="s">
        <v>410</v>
      </c>
      <c r="N5" s="717"/>
      <c r="O5" s="706"/>
      <c r="P5" s="650"/>
      <c r="Q5" s="917"/>
      <c r="R5" s="918"/>
    </row>
    <row r="6" spans="1:18" ht="18" customHeight="1">
      <c r="A6" s="614" t="s">
        <v>9</v>
      </c>
      <c r="B6" s="661" t="s">
        <v>35</v>
      </c>
      <c r="C6" s="661"/>
      <c r="D6" s="887" t="s">
        <v>11</v>
      </c>
      <c r="E6" s="888"/>
      <c r="F6" s="893" t="s">
        <v>1200</v>
      </c>
      <c r="G6" s="894"/>
      <c r="H6" s="894"/>
      <c r="I6" s="894"/>
      <c r="J6" s="895"/>
      <c r="K6" s="911"/>
      <c r="L6" s="891"/>
      <c r="M6" s="920"/>
      <c r="N6" s="365">
        <v>100</v>
      </c>
      <c r="O6" s="365">
        <v>1</v>
      </c>
      <c r="P6" s="493">
        <v>1800</v>
      </c>
      <c r="Q6" s="656" t="s">
        <v>1435</v>
      </c>
      <c r="R6" s="658"/>
    </row>
    <row r="7" spans="1:18" ht="18" customHeight="1">
      <c r="A7" s="616"/>
      <c r="B7" s="661" t="s">
        <v>304</v>
      </c>
      <c r="C7" s="661"/>
      <c r="D7" s="887" t="s">
        <v>11</v>
      </c>
      <c r="E7" s="888"/>
      <c r="F7" s="893" t="s">
        <v>1201</v>
      </c>
      <c r="G7" s="894"/>
      <c r="H7" s="894"/>
      <c r="I7" s="894"/>
      <c r="J7" s="895"/>
      <c r="K7" s="912"/>
      <c r="L7" s="892"/>
      <c r="M7" s="921"/>
      <c r="N7" s="366"/>
      <c r="O7" s="366"/>
      <c r="P7" s="494"/>
      <c r="Q7" s="634"/>
      <c r="R7" s="636"/>
    </row>
    <row r="8" spans="1:18" ht="18" customHeight="1">
      <c r="A8" s="614" t="s">
        <v>16</v>
      </c>
      <c r="B8" s="887" t="s">
        <v>10</v>
      </c>
      <c r="C8" s="888"/>
      <c r="D8" s="887" t="s">
        <v>11</v>
      </c>
      <c r="E8" s="888"/>
      <c r="F8" s="893" t="s">
        <v>1433</v>
      </c>
      <c r="G8" s="894"/>
      <c r="H8" s="894"/>
      <c r="I8" s="894"/>
      <c r="J8" s="895"/>
      <c r="K8" s="911" t="s">
        <v>1212</v>
      </c>
      <c r="L8" s="702" t="s">
        <v>1216</v>
      </c>
      <c r="M8" s="867"/>
      <c r="N8" s="345">
        <v>200</v>
      </c>
      <c r="O8" s="345">
        <v>2</v>
      </c>
      <c r="P8" s="495">
        <v>2000</v>
      </c>
      <c r="Q8" s="870" t="s">
        <v>1243</v>
      </c>
      <c r="R8" s="658"/>
    </row>
    <row r="9" spans="1:18" ht="18" customHeight="1">
      <c r="A9" s="616"/>
      <c r="B9" s="887" t="s">
        <v>20</v>
      </c>
      <c r="C9" s="888"/>
      <c r="D9" s="887" t="s">
        <v>11</v>
      </c>
      <c r="E9" s="888"/>
      <c r="F9" s="893" t="s">
        <v>1202</v>
      </c>
      <c r="G9" s="894"/>
      <c r="H9" s="894"/>
      <c r="I9" s="894"/>
      <c r="J9" s="895"/>
      <c r="K9" s="912"/>
      <c r="L9" s="691"/>
      <c r="M9" s="869"/>
      <c r="N9" s="335"/>
      <c r="O9" s="335"/>
      <c r="P9" s="496"/>
      <c r="Q9" s="634"/>
      <c r="R9" s="636"/>
    </row>
    <row r="10" spans="1:18" ht="18" customHeight="1">
      <c r="A10" s="614" t="s">
        <v>22</v>
      </c>
      <c r="B10" s="700" t="s">
        <v>28</v>
      </c>
      <c r="C10" s="701"/>
      <c r="D10" s="887" t="s">
        <v>14</v>
      </c>
      <c r="E10" s="888"/>
      <c r="F10" s="893" t="s">
        <v>1203</v>
      </c>
      <c r="G10" s="894"/>
      <c r="H10" s="894"/>
      <c r="I10" s="894"/>
      <c r="J10" s="895"/>
      <c r="K10" s="476" t="s">
        <v>1213</v>
      </c>
      <c r="L10" s="702" t="s">
        <v>1217</v>
      </c>
      <c r="M10" s="867"/>
      <c r="N10" s="345">
        <v>300</v>
      </c>
      <c r="O10" s="345">
        <v>3</v>
      </c>
      <c r="P10" s="495">
        <v>1800</v>
      </c>
      <c r="Q10" s="870" t="s">
        <v>1244</v>
      </c>
      <c r="R10" s="658"/>
    </row>
    <row r="11" spans="1:18" ht="18" customHeight="1">
      <c r="A11" s="616"/>
      <c r="B11" s="700" t="s">
        <v>939</v>
      </c>
      <c r="C11" s="701"/>
      <c r="D11" s="887" t="s">
        <v>14</v>
      </c>
      <c r="E11" s="888"/>
      <c r="F11" s="893" t="s">
        <v>1204</v>
      </c>
      <c r="G11" s="894"/>
      <c r="H11" s="894"/>
      <c r="I11" s="894"/>
      <c r="J11" s="895"/>
      <c r="K11" s="477"/>
      <c r="L11" s="691"/>
      <c r="M11" s="869"/>
      <c r="N11" s="335"/>
      <c r="O11" s="335"/>
      <c r="P11" s="496"/>
      <c r="Q11" s="634"/>
      <c r="R11" s="636"/>
    </row>
    <row r="12" spans="1:18" ht="18" customHeight="1">
      <c r="A12" s="614" t="s">
        <v>385</v>
      </c>
      <c r="B12" s="887" t="s">
        <v>10</v>
      </c>
      <c r="C12" s="888"/>
      <c r="D12" s="887" t="s">
        <v>11</v>
      </c>
      <c r="E12" s="888"/>
      <c r="F12" s="893" t="s">
        <v>1434</v>
      </c>
      <c r="G12" s="894"/>
      <c r="H12" s="894"/>
      <c r="I12" s="894"/>
      <c r="J12" s="895"/>
      <c r="K12" s="889" t="s">
        <v>1214</v>
      </c>
      <c r="L12" s="702" t="s">
        <v>1216</v>
      </c>
      <c r="M12" s="913"/>
      <c r="N12" s="345">
        <v>100</v>
      </c>
      <c r="O12" s="345">
        <v>1</v>
      </c>
      <c r="P12" s="495">
        <v>2000</v>
      </c>
      <c r="Q12" s="870" t="s">
        <v>1245</v>
      </c>
      <c r="R12" s="658"/>
    </row>
    <row r="13" spans="1:18" ht="18" customHeight="1">
      <c r="A13" s="616"/>
      <c r="B13" s="887" t="s">
        <v>20</v>
      </c>
      <c r="C13" s="888"/>
      <c r="D13" s="887" t="s">
        <v>11</v>
      </c>
      <c r="E13" s="888"/>
      <c r="F13" s="662" t="s">
        <v>1205</v>
      </c>
      <c r="G13" s="663"/>
      <c r="H13" s="663"/>
      <c r="I13" s="663"/>
      <c r="J13" s="750"/>
      <c r="K13" s="890"/>
      <c r="L13" s="691"/>
      <c r="M13" s="914"/>
      <c r="N13" s="335"/>
      <c r="O13" s="335"/>
      <c r="P13" s="496"/>
      <c r="Q13" s="634"/>
      <c r="R13" s="636"/>
    </row>
    <row r="14" spans="1:18" ht="18" customHeight="1">
      <c r="A14" s="57" t="s">
        <v>110</v>
      </c>
      <c r="B14" s="618" t="s">
        <v>62</v>
      </c>
      <c r="C14" s="619"/>
      <c r="D14" s="618" t="s">
        <v>63</v>
      </c>
      <c r="E14" s="619"/>
      <c r="F14" s="858" t="s">
        <v>128</v>
      </c>
      <c r="G14" s="859"/>
      <c r="H14" s="859"/>
      <c r="I14" s="859"/>
      <c r="J14" s="860"/>
      <c r="K14" s="32"/>
      <c r="L14" s="301"/>
      <c r="M14" s="97" t="s">
        <v>425</v>
      </c>
      <c r="N14" s="341">
        <v>200</v>
      </c>
      <c r="O14" s="341">
        <v>2</v>
      </c>
      <c r="P14" s="497">
        <v>28000</v>
      </c>
      <c r="Q14" s="652" t="s">
        <v>1218</v>
      </c>
      <c r="R14" s="624"/>
    </row>
    <row r="15" spans="1:18" ht="31.95" customHeight="1" thickBot="1">
      <c r="A15" s="58" t="s">
        <v>940</v>
      </c>
      <c r="B15" s="1202" t="s">
        <v>58</v>
      </c>
      <c r="C15" s="1203"/>
      <c r="D15" s="880" t="s">
        <v>11</v>
      </c>
      <c r="E15" s="881"/>
      <c r="F15" s="882" t="s">
        <v>1206</v>
      </c>
      <c r="G15" s="997"/>
      <c r="H15" s="997"/>
      <c r="I15" s="1204"/>
      <c r="J15" s="475"/>
      <c r="K15" s="490" t="s">
        <v>1432</v>
      </c>
      <c r="L15" s="491"/>
      <c r="M15" s="478" t="s">
        <v>425</v>
      </c>
      <c r="N15" s="492">
        <v>100</v>
      </c>
      <c r="O15" s="492">
        <v>1</v>
      </c>
      <c r="P15" s="498">
        <v>19000</v>
      </c>
      <c r="Q15" s="1205" t="s">
        <v>1219</v>
      </c>
      <c r="R15" s="886"/>
    </row>
    <row r="16" spans="1:18" ht="18" customHeight="1" thickTop="1">
      <c r="A16" s="472" t="s">
        <v>809</v>
      </c>
      <c r="B16" s="618" t="s">
        <v>62</v>
      </c>
      <c r="C16" s="1201"/>
      <c r="D16" s="618" t="s">
        <v>63</v>
      </c>
      <c r="E16" s="619"/>
      <c r="F16" s="858" t="s">
        <v>76</v>
      </c>
      <c r="G16" s="859"/>
      <c r="H16" s="859"/>
      <c r="I16" s="859"/>
      <c r="J16" s="860"/>
      <c r="K16" s="488"/>
      <c r="L16" s="3"/>
      <c r="M16" s="97" t="s">
        <v>425</v>
      </c>
      <c r="N16" s="357">
        <v>100</v>
      </c>
      <c r="O16" s="357">
        <v>1</v>
      </c>
      <c r="P16" s="503">
        <v>8000</v>
      </c>
      <c r="Q16" s="818" t="s">
        <v>1061</v>
      </c>
      <c r="R16" s="1201"/>
    </row>
    <row r="17" spans="1:18" ht="18" customHeight="1">
      <c r="A17" s="231" t="s">
        <v>127</v>
      </c>
      <c r="B17" s="638" t="s">
        <v>1197</v>
      </c>
      <c r="C17" s="639"/>
      <c r="D17" s="638" t="s">
        <v>1199</v>
      </c>
      <c r="E17" s="639"/>
      <c r="F17" s="666" t="s">
        <v>1207</v>
      </c>
      <c r="G17" s="667"/>
      <c r="H17" s="667"/>
      <c r="I17" s="667"/>
      <c r="J17" s="1192"/>
      <c r="K17" s="480" t="s">
        <v>1215</v>
      </c>
      <c r="L17" s="96"/>
      <c r="M17" s="487"/>
      <c r="N17" s="489">
        <v>100</v>
      </c>
      <c r="O17" s="489">
        <v>1</v>
      </c>
      <c r="P17" s="499">
        <v>10000</v>
      </c>
      <c r="Q17" s="634" t="s">
        <v>1220</v>
      </c>
      <c r="R17" s="636"/>
    </row>
    <row r="18" spans="1:18" ht="18" customHeight="1">
      <c r="A18" s="615" t="s">
        <v>380</v>
      </c>
      <c r="B18" s="1193" t="s">
        <v>10</v>
      </c>
      <c r="C18" s="1194"/>
      <c r="D18" s="1193" t="s">
        <v>11</v>
      </c>
      <c r="E18" s="1194"/>
      <c r="F18" s="1195" t="s">
        <v>1208</v>
      </c>
      <c r="G18" s="1196"/>
      <c r="H18" s="1196"/>
      <c r="I18" s="1196"/>
      <c r="J18" s="1197"/>
      <c r="K18" s="1198" t="s">
        <v>1241</v>
      </c>
      <c r="L18" s="702" t="s">
        <v>1216</v>
      </c>
      <c r="M18" s="868"/>
      <c r="N18" s="368">
        <v>200</v>
      </c>
      <c r="O18" s="368">
        <v>2</v>
      </c>
      <c r="P18" s="500">
        <v>2000</v>
      </c>
      <c r="Q18" s="631" t="s">
        <v>1221</v>
      </c>
      <c r="R18" s="633"/>
    </row>
    <row r="19" spans="1:18" ht="18" customHeight="1">
      <c r="A19" s="616"/>
      <c r="B19" s="887" t="s">
        <v>20</v>
      </c>
      <c r="C19" s="888"/>
      <c r="D19" s="887" t="s">
        <v>17</v>
      </c>
      <c r="E19" s="888"/>
      <c r="F19" s="893" t="s">
        <v>1209</v>
      </c>
      <c r="G19" s="894"/>
      <c r="H19" s="894"/>
      <c r="I19" s="894"/>
      <c r="J19" s="895"/>
      <c r="K19" s="890"/>
      <c r="L19" s="691"/>
      <c r="M19" s="869"/>
      <c r="N19" s="335"/>
      <c r="O19" s="335"/>
      <c r="P19" s="496"/>
      <c r="Q19" s="634"/>
      <c r="R19" s="636"/>
    </row>
    <row r="20" spans="1:18" ht="31.95" customHeight="1">
      <c r="A20" s="73" t="s">
        <v>269</v>
      </c>
      <c r="B20" s="762" t="s">
        <v>1471</v>
      </c>
      <c r="C20" s="763"/>
      <c r="D20" s="762" t="s">
        <v>1198</v>
      </c>
      <c r="E20" s="763"/>
      <c r="F20" s="858" t="s">
        <v>1210</v>
      </c>
      <c r="G20" s="900"/>
      <c r="H20" s="900"/>
      <c r="I20" s="978"/>
      <c r="J20" s="261"/>
      <c r="K20" s="569" t="s">
        <v>1242</v>
      </c>
      <c r="L20" s="482"/>
      <c r="M20" s="397" t="s">
        <v>425</v>
      </c>
      <c r="N20" s="370">
        <v>100</v>
      </c>
      <c r="O20" s="370">
        <v>1</v>
      </c>
      <c r="P20" s="501">
        <v>10000</v>
      </c>
      <c r="Q20" s="857" t="s">
        <v>1222</v>
      </c>
      <c r="R20" s="633"/>
    </row>
    <row r="21" spans="1:18" ht="31.95" customHeight="1">
      <c r="A21" s="73" t="s">
        <v>156</v>
      </c>
      <c r="B21" s="618" t="s">
        <v>58</v>
      </c>
      <c r="C21" s="619"/>
      <c r="D21" s="618" t="s">
        <v>11</v>
      </c>
      <c r="E21" s="619"/>
      <c r="F21" s="858" t="s">
        <v>1206</v>
      </c>
      <c r="G21" s="859"/>
      <c r="H21" s="859"/>
      <c r="I21" s="859"/>
      <c r="J21" s="860"/>
      <c r="K21" s="481" t="s">
        <v>1242</v>
      </c>
      <c r="L21" s="483"/>
      <c r="M21" s="397" t="s">
        <v>425</v>
      </c>
      <c r="N21" s="484">
        <v>100</v>
      </c>
      <c r="O21" s="484">
        <v>1</v>
      </c>
      <c r="P21" s="502">
        <v>1200</v>
      </c>
      <c r="Q21" s="818" t="s">
        <v>1219</v>
      </c>
      <c r="R21" s="624"/>
    </row>
    <row r="22" spans="1:18" ht="18" customHeight="1">
      <c r="A22" s="59" t="s">
        <v>70</v>
      </c>
      <c r="B22" s="618" t="s">
        <v>71</v>
      </c>
      <c r="C22" s="1201"/>
      <c r="D22" s="618" t="s">
        <v>72</v>
      </c>
      <c r="E22" s="619"/>
      <c r="F22" s="858" t="s">
        <v>1211</v>
      </c>
      <c r="G22" s="859"/>
      <c r="H22" s="859"/>
      <c r="I22" s="859"/>
      <c r="J22" s="860"/>
      <c r="K22" s="488"/>
      <c r="L22" s="3"/>
      <c r="M22" s="97" t="s">
        <v>436</v>
      </c>
      <c r="N22" s="357">
        <v>100</v>
      </c>
      <c r="O22" s="357">
        <v>1</v>
      </c>
      <c r="P22" s="503">
        <v>10000</v>
      </c>
      <c r="Q22" s="818" t="s">
        <v>1437</v>
      </c>
      <c r="R22" s="1201"/>
    </row>
    <row r="23" spans="1:18" ht="19.95" customHeight="1">
      <c r="A23" s="279"/>
      <c r="B23" s="308"/>
      <c r="C23" s="308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517"/>
      <c r="O23" s="517"/>
      <c r="P23" s="517"/>
      <c r="Q23" s="39"/>
      <c r="R23" s="39"/>
    </row>
    <row r="24" spans="1:18" ht="19.2">
      <c r="A24" s="279" t="s">
        <v>1376</v>
      </c>
    </row>
    <row r="34" spans="1:34" ht="21">
      <c r="A34" s="879" t="s">
        <v>1431</v>
      </c>
      <c r="B34" s="879"/>
      <c r="C34" s="879"/>
      <c r="D34" s="879"/>
      <c r="E34" s="879"/>
      <c r="F34" s="879"/>
      <c r="G34" s="879"/>
      <c r="H34" s="879"/>
      <c r="I34" s="879"/>
      <c r="J34" s="879"/>
      <c r="K34" s="879"/>
      <c r="L34" s="39"/>
      <c r="M34" s="39"/>
      <c r="N34" s="517"/>
      <c r="O34" s="517"/>
      <c r="P34" s="517"/>
      <c r="Q34" s="39"/>
      <c r="R34" s="39"/>
    </row>
    <row r="35" spans="1:34" ht="18" customHeight="1">
      <c r="A35" s="486" t="s">
        <v>1196</v>
      </c>
      <c r="B35" s="464"/>
      <c r="C35" s="464"/>
      <c r="D35" s="39"/>
      <c r="E35" s="39"/>
      <c r="F35" s="39"/>
      <c r="G35" s="39"/>
      <c r="H35" s="39"/>
      <c r="I35" s="465"/>
      <c r="J35" s="39"/>
      <c r="K35" s="39"/>
      <c r="L35" s="39"/>
      <c r="M35" s="39"/>
      <c r="N35" s="517"/>
      <c r="O35" s="517"/>
      <c r="P35" s="517"/>
      <c r="Q35" s="39"/>
      <c r="R35" s="39"/>
    </row>
    <row r="36" spans="1:34" ht="18" customHeight="1">
      <c r="A36" s="49" t="s">
        <v>366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517"/>
      <c r="O36" s="517"/>
      <c r="P36" s="517"/>
      <c r="Q36" s="39"/>
      <c r="R36" s="39" t="s">
        <v>983</v>
      </c>
    </row>
    <row r="37" spans="1:34" ht="18" customHeight="1">
      <c r="A37" s="754" t="s">
        <v>2</v>
      </c>
      <c r="B37" s="922" t="s">
        <v>3</v>
      </c>
      <c r="C37" s="923"/>
      <c r="D37" s="926" t="s">
        <v>4</v>
      </c>
      <c r="E37" s="927"/>
      <c r="F37" s="922" t="s">
        <v>5</v>
      </c>
      <c r="G37" s="930"/>
      <c r="H37" s="930"/>
      <c r="I37" s="930"/>
      <c r="J37" s="923"/>
      <c r="K37" s="715" t="s">
        <v>6</v>
      </c>
      <c r="L37" s="932" t="s">
        <v>7</v>
      </c>
      <c r="M37" s="185" t="s">
        <v>407</v>
      </c>
      <c r="N37" s="768" t="s">
        <v>1095</v>
      </c>
      <c r="O37" s="805" t="s">
        <v>1096</v>
      </c>
      <c r="P37" s="650" t="s">
        <v>1097</v>
      </c>
      <c r="Q37" s="915" t="s">
        <v>8</v>
      </c>
      <c r="R37" s="916"/>
    </row>
    <row r="38" spans="1:34" ht="18" customHeight="1">
      <c r="A38" s="755"/>
      <c r="B38" s="924"/>
      <c r="C38" s="925"/>
      <c r="D38" s="928"/>
      <c r="E38" s="929"/>
      <c r="F38" s="924"/>
      <c r="G38" s="931"/>
      <c r="H38" s="931"/>
      <c r="I38" s="931"/>
      <c r="J38" s="925"/>
      <c r="K38" s="715"/>
      <c r="L38" s="933"/>
      <c r="M38" s="186" t="s">
        <v>410</v>
      </c>
      <c r="N38" s="717"/>
      <c r="O38" s="706"/>
      <c r="P38" s="650"/>
      <c r="Q38" s="917"/>
      <c r="R38" s="918"/>
    </row>
    <row r="39" spans="1:34" ht="18" customHeight="1" thickBot="1">
      <c r="A39" s="614" t="s">
        <v>9</v>
      </c>
      <c r="B39" s="661" t="s">
        <v>35</v>
      </c>
      <c r="C39" s="661"/>
      <c r="D39" s="887" t="s">
        <v>11</v>
      </c>
      <c r="E39" s="888"/>
      <c r="F39" s="893" t="s">
        <v>1200</v>
      </c>
      <c r="G39" s="894"/>
      <c r="H39" s="894"/>
      <c r="I39" s="894"/>
      <c r="J39" s="895"/>
      <c r="K39" s="911"/>
      <c r="L39" s="891"/>
      <c r="M39" s="920"/>
      <c r="N39" s="365">
        <v>100</v>
      </c>
      <c r="O39" s="365">
        <v>1</v>
      </c>
      <c r="P39" s="493">
        <v>1800</v>
      </c>
      <c r="Q39" s="656" t="s">
        <v>1435</v>
      </c>
      <c r="R39" s="658"/>
    </row>
    <row r="40" spans="1:34" ht="18" customHeight="1">
      <c r="A40" s="616"/>
      <c r="B40" s="661" t="s">
        <v>304</v>
      </c>
      <c r="C40" s="661"/>
      <c r="D40" s="887" t="s">
        <v>11</v>
      </c>
      <c r="E40" s="888"/>
      <c r="F40" s="893" t="s">
        <v>1201</v>
      </c>
      <c r="G40" s="894"/>
      <c r="H40" s="894"/>
      <c r="I40" s="894"/>
      <c r="J40" s="895"/>
      <c r="K40" s="912"/>
      <c r="L40" s="892"/>
      <c r="M40" s="921"/>
      <c r="N40" s="366"/>
      <c r="O40" s="366"/>
      <c r="P40" s="494"/>
      <c r="Q40" s="634"/>
      <c r="R40" s="636"/>
      <c r="W40" s="640" t="s">
        <v>1356</v>
      </c>
      <c r="X40" s="644" t="s">
        <v>1357</v>
      </c>
      <c r="Y40" s="644"/>
      <c r="Z40" s="644" t="s">
        <v>1358</v>
      </c>
      <c r="AA40" s="644"/>
      <c r="AB40" s="644"/>
      <c r="AC40" s="644"/>
      <c r="AD40" s="644"/>
      <c r="AE40" s="644"/>
      <c r="AF40" s="553" t="s">
        <v>1359</v>
      </c>
      <c r="AG40" s="553" t="s">
        <v>1360</v>
      </c>
      <c r="AH40" s="554" t="s">
        <v>1361</v>
      </c>
    </row>
    <row r="41" spans="1:34" ht="18" customHeight="1">
      <c r="A41" s="614" t="s">
        <v>16</v>
      </c>
      <c r="B41" s="887" t="s">
        <v>10</v>
      </c>
      <c r="C41" s="888"/>
      <c r="D41" s="887" t="s">
        <v>11</v>
      </c>
      <c r="E41" s="888"/>
      <c r="F41" s="893" t="s">
        <v>1433</v>
      </c>
      <c r="G41" s="894"/>
      <c r="H41" s="894"/>
      <c r="I41" s="894"/>
      <c r="J41" s="895"/>
      <c r="K41" s="911" t="s">
        <v>1212</v>
      </c>
      <c r="L41" s="702" t="s">
        <v>1216</v>
      </c>
      <c r="M41" s="867"/>
      <c r="N41" s="345">
        <v>200</v>
      </c>
      <c r="O41" s="345">
        <v>2</v>
      </c>
      <c r="P41" s="495">
        <v>2000</v>
      </c>
      <c r="Q41" s="870" t="s">
        <v>1243</v>
      </c>
      <c r="R41" s="658"/>
      <c r="W41" s="641"/>
      <c r="X41" s="645"/>
      <c r="Y41" s="646"/>
      <c r="Z41" s="646"/>
      <c r="AA41" s="646"/>
      <c r="AB41" s="646"/>
      <c r="AC41" s="646"/>
      <c r="AD41" s="646"/>
      <c r="AE41" s="646"/>
      <c r="AF41" s="555"/>
      <c r="AG41" s="555"/>
      <c r="AH41" s="556"/>
    </row>
    <row r="42" spans="1:34" ht="18" customHeight="1">
      <c r="A42" s="616"/>
      <c r="B42" s="887" t="s">
        <v>20</v>
      </c>
      <c r="C42" s="888"/>
      <c r="D42" s="887" t="s">
        <v>11</v>
      </c>
      <c r="E42" s="888"/>
      <c r="F42" s="893" t="s">
        <v>1202</v>
      </c>
      <c r="G42" s="894"/>
      <c r="H42" s="894"/>
      <c r="I42" s="894"/>
      <c r="J42" s="895"/>
      <c r="K42" s="912"/>
      <c r="L42" s="691"/>
      <c r="M42" s="869"/>
      <c r="N42" s="335"/>
      <c r="O42" s="335"/>
      <c r="P42" s="496"/>
      <c r="Q42" s="634"/>
      <c r="R42" s="636"/>
      <c r="V42" s="1" t="s">
        <v>1382</v>
      </c>
      <c r="W42" s="641"/>
      <c r="X42" s="645"/>
      <c r="Y42" s="646"/>
      <c r="Z42" s="646"/>
      <c r="AA42" s="646"/>
      <c r="AB42" s="646"/>
      <c r="AC42" s="646"/>
      <c r="AD42" s="646"/>
      <c r="AE42" s="646"/>
      <c r="AF42" s="555"/>
      <c r="AG42" s="555"/>
      <c r="AH42" s="556"/>
    </row>
    <row r="43" spans="1:34" ht="18" customHeight="1">
      <c r="A43" s="614" t="s">
        <v>22</v>
      </c>
      <c r="B43" s="700" t="s">
        <v>28</v>
      </c>
      <c r="C43" s="701"/>
      <c r="D43" s="887" t="s">
        <v>14</v>
      </c>
      <c r="E43" s="888"/>
      <c r="F43" s="893" t="s">
        <v>1203</v>
      </c>
      <c r="G43" s="894"/>
      <c r="H43" s="894"/>
      <c r="I43" s="894"/>
      <c r="J43" s="895"/>
      <c r="K43" s="476" t="s">
        <v>1213</v>
      </c>
      <c r="L43" s="702" t="s">
        <v>1217</v>
      </c>
      <c r="M43" s="867"/>
      <c r="N43" s="345">
        <v>300</v>
      </c>
      <c r="O43" s="345">
        <v>3</v>
      </c>
      <c r="P43" s="495">
        <v>1800</v>
      </c>
      <c r="Q43" s="870" t="s">
        <v>1244</v>
      </c>
      <c r="R43" s="658"/>
      <c r="W43" s="642"/>
      <c r="X43" s="645" t="s">
        <v>1427</v>
      </c>
      <c r="Y43" s="646"/>
      <c r="Z43" s="646" t="s">
        <v>1428</v>
      </c>
      <c r="AA43" s="646"/>
      <c r="AB43" s="646"/>
      <c r="AC43" s="646"/>
      <c r="AD43" s="646"/>
      <c r="AE43" s="646"/>
      <c r="AF43" s="555" t="s">
        <v>1364</v>
      </c>
      <c r="AG43" s="555" t="s">
        <v>1429</v>
      </c>
      <c r="AH43" s="556" t="s">
        <v>1430</v>
      </c>
    </row>
    <row r="44" spans="1:34" ht="18" customHeight="1" thickBot="1">
      <c r="A44" s="616"/>
      <c r="B44" s="700" t="s">
        <v>939</v>
      </c>
      <c r="C44" s="701"/>
      <c r="D44" s="887" t="s">
        <v>14</v>
      </c>
      <c r="E44" s="888"/>
      <c r="F44" s="893" t="s">
        <v>1204</v>
      </c>
      <c r="G44" s="894"/>
      <c r="H44" s="894"/>
      <c r="I44" s="894"/>
      <c r="J44" s="895"/>
      <c r="K44" s="477"/>
      <c r="L44" s="691"/>
      <c r="M44" s="869"/>
      <c r="N44" s="335"/>
      <c r="O44" s="335"/>
      <c r="P44" s="496"/>
      <c r="Q44" s="634"/>
      <c r="R44" s="636"/>
      <c r="W44" s="643"/>
      <c r="X44" s="647" t="s">
        <v>1381</v>
      </c>
      <c r="Y44" s="617"/>
      <c r="Z44" s="617" t="s">
        <v>1363</v>
      </c>
      <c r="AA44" s="617"/>
      <c r="AB44" s="617"/>
      <c r="AC44" s="617"/>
      <c r="AD44" s="617"/>
      <c r="AE44" s="617"/>
      <c r="AF44" s="557" t="s">
        <v>1364</v>
      </c>
      <c r="AG44" s="557" t="s">
        <v>1365</v>
      </c>
      <c r="AH44" s="558" t="s">
        <v>1366</v>
      </c>
    </row>
    <row r="45" spans="1:34" ht="18" customHeight="1">
      <c r="A45" s="614" t="s">
        <v>385</v>
      </c>
      <c r="B45" s="887" t="s">
        <v>10</v>
      </c>
      <c r="C45" s="888"/>
      <c r="D45" s="887" t="s">
        <v>11</v>
      </c>
      <c r="E45" s="888"/>
      <c r="F45" s="893" t="s">
        <v>1434</v>
      </c>
      <c r="G45" s="894"/>
      <c r="H45" s="894"/>
      <c r="I45" s="894"/>
      <c r="J45" s="895"/>
      <c r="K45" s="889" t="s">
        <v>1214</v>
      </c>
      <c r="L45" s="702" t="s">
        <v>1216</v>
      </c>
      <c r="M45" s="913"/>
      <c r="N45" s="345">
        <v>100</v>
      </c>
      <c r="O45" s="345">
        <v>1</v>
      </c>
      <c r="P45" s="495">
        <v>2000</v>
      </c>
      <c r="Q45" s="870" t="s">
        <v>1245</v>
      </c>
      <c r="R45" s="658"/>
    </row>
    <row r="46" spans="1:34" ht="18" customHeight="1">
      <c r="A46" s="616"/>
      <c r="B46" s="887" t="s">
        <v>20</v>
      </c>
      <c r="C46" s="888"/>
      <c r="D46" s="887" t="s">
        <v>11</v>
      </c>
      <c r="E46" s="888"/>
      <c r="F46" s="662" t="s">
        <v>1205</v>
      </c>
      <c r="G46" s="663"/>
      <c r="H46" s="663"/>
      <c r="I46" s="663"/>
      <c r="J46" s="750"/>
      <c r="K46" s="890"/>
      <c r="L46" s="691"/>
      <c r="M46" s="914"/>
      <c r="N46" s="335"/>
      <c r="O46" s="335"/>
      <c r="P46" s="496"/>
      <c r="Q46" s="634"/>
      <c r="R46" s="636"/>
    </row>
    <row r="47" spans="1:34" ht="18" customHeight="1">
      <c r="A47" s="57" t="s">
        <v>110</v>
      </c>
      <c r="B47" s="618" t="s">
        <v>62</v>
      </c>
      <c r="C47" s="619"/>
      <c r="D47" s="618" t="s">
        <v>63</v>
      </c>
      <c r="E47" s="619"/>
      <c r="F47" s="858" t="s">
        <v>128</v>
      </c>
      <c r="G47" s="859"/>
      <c r="H47" s="859"/>
      <c r="I47" s="859"/>
      <c r="J47" s="860"/>
      <c r="K47" s="32"/>
      <c r="L47" s="301"/>
      <c r="M47" s="97" t="s">
        <v>425</v>
      </c>
      <c r="N47" s="341">
        <v>200</v>
      </c>
      <c r="O47" s="341">
        <v>2</v>
      </c>
      <c r="P47" s="497">
        <v>28000</v>
      </c>
      <c r="Q47" s="652" t="s">
        <v>1218</v>
      </c>
      <c r="R47" s="624"/>
    </row>
    <row r="48" spans="1:34" ht="18" customHeight="1">
      <c r="A48" s="59" t="s">
        <v>940</v>
      </c>
      <c r="B48" s="1199" t="s">
        <v>58</v>
      </c>
      <c r="C48" s="1200"/>
      <c r="D48" s="760" t="s">
        <v>11</v>
      </c>
      <c r="E48" s="761"/>
      <c r="F48" s="1189" t="s">
        <v>1577</v>
      </c>
      <c r="G48" s="1190"/>
      <c r="H48" s="1190"/>
      <c r="I48" s="1191"/>
      <c r="J48" s="577"/>
      <c r="K48" s="575" t="s">
        <v>1432</v>
      </c>
      <c r="L48" s="574"/>
      <c r="M48" s="87" t="s">
        <v>425</v>
      </c>
      <c r="N48" s="342">
        <v>100</v>
      </c>
      <c r="O48" s="342">
        <v>1</v>
      </c>
      <c r="P48" s="578">
        <v>19000</v>
      </c>
      <c r="Q48" s="870" t="s">
        <v>1219</v>
      </c>
      <c r="R48" s="658"/>
    </row>
    <row r="49" spans="1:18" ht="18" customHeight="1">
      <c r="A49" s="615" t="s">
        <v>1472</v>
      </c>
      <c r="B49" s="874" t="s">
        <v>81</v>
      </c>
      <c r="C49" s="875"/>
      <c r="D49" s="618" t="s">
        <v>11</v>
      </c>
      <c r="E49" s="619"/>
      <c r="F49" s="858" t="s">
        <v>1474</v>
      </c>
      <c r="G49" s="900"/>
      <c r="H49" s="900"/>
      <c r="I49" s="978"/>
      <c r="J49" s="260"/>
      <c r="K49" s="569"/>
      <c r="L49" s="3"/>
      <c r="M49" s="397" t="s">
        <v>425</v>
      </c>
      <c r="N49" s="341">
        <v>100</v>
      </c>
      <c r="O49" s="341">
        <v>1</v>
      </c>
      <c r="P49" s="497">
        <v>4000</v>
      </c>
      <c r="Q49" s="870" t="s">
        <v>1473</v>
      </c>
      <c r="R49" s="1182"/>
    </row>
    <row r="50" spans="1:18" ht="18" customHeight="1" thickBot="1">
      <c r="A50" s="684"/>
      <c r="B50" s="1202" t="s">
        <v>83</v>
      </c>
      <c r="C50" s="1203"/>
      <c r="D50" s="880" t="s">
        <v>11</v>
      </c>
      <c r="E50" s="881"/>
      <c r="F50" s="882" t="s">
        <v>84</v>
      </c>
      <c r="G50" s="997"/>
      <c r="H50" s="997"/>
      <c r="I50" s="1204"/>
      <c r="J50" s="475"/>
      <c r="K50" s="490"/>
      <c r="L50" s="491"/>
      <c r="M50" s="478"/>
      <c r="N50" s="492"/>
      <c r="O50" s="492"/>
      <c r="P50" s="498"/>
      <c r="Q50" s="1183"/>
      <c r="R50" s="1184"/>
    </row>
    <row r="51" spans="1:18" ht="18" customHeight="1" thickTop="1">
      <c r="A51" s="472" t="s">
        <v>809</v>
      </c>
      <c r="B51" s="618" t="s">
        <v>62</v>
      </c>
      <c r="C51" s="1201"/>
      <c r="D51" s="618" t="s">
        <v>63</v>
      </c>
      <c r="E51" s="619"/>
      <c r="F51" s="858" t="s">
        <v>76</v>
      </c>
      <c r="G51" s="859"/>
      <c r="H51" s="859"/>
      <c r="I51" s="859"/>
      <c r="J51" s="860"/>
      <c r="K51" s="488"/>
      <c r="L51" s="3"/>
      <c r="M51" s="97" t="s">
        <v>425</v>
      </c>
      <c r="N51" s="357">
        <v>100</v>
      </c>
      <c r="O51" s="357">
        <v>1</v>
      </c>
      <c r="P51" s="503">
        <v>8000</v>
      </c>
      <c r="Q51" s="818" t="s">
        <v>1061</v>
      </c>
      <c r="R51" s="1201"/>
    </row>
    <row r="52" spans="1:18" ht="18" customHeight="1">
      <c r="A52" s="231" t="s">
        <v>127</v>
      </c>
      <c r="B52" s="638" t="s">
        <v>1197</v>
      </c>
      <c r="C52" s="639"/>
      <c r="D52" s="638" t="s">
        <v>1199</v>
      </c>
      <c r="E52" s="639"/>
      <c r="F52" s="666" t="s">
        <v>1207</v>
      </c>
      <c r="G52" s="667"/>
      <c r="H52" s="667"/>
      <c r="I52" s="667"/>
      <c r="J52" s="1192"/>
      <c r="K52" s="480" t="s">
        <v>1215</v>
      </c>
      <c r="L52" s="96"/>
      <c r="M52" s="487"/>
      <c r="N52" s="489">
        <v>100</v>
      </c>
      <c r="O52" s="489">
        <v>1</v>
      </c>
      <c r="P52" s="499">
        <v>10000</v>
      </c>
      <c r="Q52" s="634" t="s">
        <v>1220</v>
      </c>
      <c r="R52" s="636"/>
    </row>
    <row r="53" spans="1:18" ht="18" customHeight="1">
      <c r="A53" s="615" t="s">
        <v>380</v>
      </c>
      <c r="B53" s="1193" t="s">
        <v>10</v>
      </c>
      <c r="C53" s="1194"/>
      <c r="D53" s="1193" t="s">
        <v>11</v>
      </c>
      <c r="E53" s="1194"/>
      <c r="F53" s="1195" t="s">
        <v>1208</v>
      </c>
      <c r="G53" s="1196"/>
      <c r="H53" s="1196"/>
      <c r="I53" s="1196"/>
      <c r="J53" s="1197"/>
      <c r="K53" s="1198" t="s">
        <v>1241</v>
      </c>
      <c r="L53" s="702" t="s">
        <v>1216</v>
      </c>
      <c r="M53" s="868"/>
      <c r="N53" s="368">
        <v>200</v>
      </c>
      <c r="O53" s="368">
        <v>2</v>
      </c>
      <c r="P53" s="500">
        <v>2000</v>
      </c>
      <c r="Q53" s="631" t="s">
        <v>1221</v>
      </c>
      <c r="R53" s="633"/>
    </row>
    <row r="54" spans="1:18" ht="18" customHeight="1">
      <c r="A54" s="616"/>
      <c r="B54" s="887" t="s">
        <v>20</v>
      </c>
      <c r="C54" s="888"/>
      <c r="D54" s="887" t="s">
        <v>17</v>
      </c>
      <c r="E54" s="888"/>
      <c r="F54" s="893" t="s">
        <v>1209</v>
      </c>
      <c r="G54" s="894"/>
      <c r="H54" s="894"/>
      <c r="I54" s="894"/>
      <c r="J54" s="895"/>
      <c r="K54" s="890"/>
      <c r="L54" s="691"/>
      <c r="M54" s="869"/>
      <c r="N54" s="335"/>
      <c r="O54" s="335"/>
      <c r="P54" s="496"/>
      <c r="Q54" s="634"/>
      <c r="R54" s="636"/>
    </row>
    <row r="55" spans="1:18" ht="31.2" customHeight="1">
      <c r="A55" s="73" t="s">
        <v>269</v>
      </c>
      <c r="B55" s="1187" t="s">
        <v>1478</v>
      </c>
      <c r="C55" s="1188"/>
      <c r="D55" s="1187" t="s">
        <v>373</v>
      </c>
      <c r="E55" s="1188"/>
      <c r="F55" s="1189" t="s">
        <v>1475</v>
      </c>
      <c r="G55" s="1190"/>
      <c r="H55" s="1190"/>
      <c r="I55" s="1191"/>
      <c r="J55" s="579"/>
      <c r="K55" s="575" t="s">
        <v>1242</v>
      </c>
      <c r="L55" s="482"/>
      <c r="M55" s="87" t="s">
        <v>425</v>
      </c>
      <c r="N55" s="370">
        <v>100</v>
      </c>
      <c r="O55" s="370">
        <v>1</v>
      </c>
      <c r="P55" s="501">
        <v>5000</v>
      </c>
      <c r="Q55" s="857" t="s">
        <v>1479</v>
      </c>
      <c r="R55" s="633"/>
    </row>
    <row r="56" spans="1:18" ht="18" customHeight="1">
      <c r="A56" s="614" t="s">
        <v>133</v>
      </c>
      <c r="B56" s="650" t="s">
        <v>81</v>
      </c>
      <c r="C56" s="650"/>
      <c r="D56" s="650" t="s">
        <v>11</v>
      </c>
      <c r="E56" s="650"/>
      <c r="F56" s="1185" t="s">
        <v>1477</v>
      </c>
      <c r="G56" s="1186"/>
      <c r="H56" s="1186"/>
      <c r="I56" s="1186"/>
      <c r="J56" s="576"/>
      <c r="K56" s="569"/>
      <c r="L56" s="3"/>
      <c r="M56" s="397" t="s">
        <v>425</v>
      </c>
      <c r="N56" s="397">
        <v>100</v>
      </c>
      <c r="O56" s="397">
        <v>1</v>
      </c>
      <c r="P56" s="580">
        <v>4000</v>
      </c>
      <c r="Q56" s="870" t="s">
        <v>1476</v>
      </c>
      <c r="R56" s="1182"/>
    </row>
    <row r="57" spans="1:18" ht="18" customHeight="1">
      <c r="A57" s="616"/>
      <c r="B57" s="650" t="s">
        <v>83</v>
      </c>
      <c r="C57" s="650"/>
      <c r="D57" s="650" t="s">
        <v>11</v>
      </c>
      <c r="E57" s="650"/>
      <c r="F57" s="1185" t="s">
        <v>84</v>
      </c>
      <c r="G57" s="1186"/>
      <c r="H57" s="1186"/>
      <c r="I57" s="1186"/>
      <c r="J57" s="576"/>
      <c r="K57" s="569"/>
      <c r="L57" s="3"/>
      <c r="M57" s="397"/>
      <c r="N57" s="397"/>
      <c r="O57" s="397"/>
      <c r="P57" s="580"/>
      <c r="Q57" s="969"/>
      <c r="R57" s="971"/>
    </row>
    <row r="58" spans="1:18" ht="31.2" customHeight="1">
      <c r="A58" s="59" t="s">
        <v>70</v>
      </c>
      <c r="B58" s="650" t="s">
        <v>58</v>
      </c>
      <c r="C58" s="650"/>
      <c r="D58" s="650" t="s">
        <v>11</v>
      </c>
      <c r="E58" s="650"/>
      <c r="F58" s="1185" t="s">
        <v>1577</v>
      </c>
      <c r="G58" s="1185"/>
      <c r="H58" s="1185"/>
      <c r="I58" s="1185"/>
      <c r="J58" s="1185"/>
      <c r="K58" s="569" t="s">
        <v>1242</v>
      </c>
      <c r="L58" s="581"/>
      <c r="M58" s="397" t="s">
        <v>425</v>
      </c>
      <c r="N58" s="397">
        <v>100</v>
      </c>
      <c r="O58" s="397">
        <v>1</v>
      </c>
      <c r="P58" s="580">
        <v>1200</v>
      </c>
      <c r="Q58" s="980" t="s">
        <v>1219</v>
      </c>
      <c r="R58" s="660"/>
    </row>
    <row r="59" spans="1:18" ht="18" customHeight="1">
      <c r="A59" s="279"/>
      <c r="B59" s="308"/>
      <c r="C59" s="308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517"/>
      <c r="O59" s="517"/>
      <c r="P59" s="517"/>
      <c r="Q59" s="39"/>
      <c r="R59" s="39"/>
    </row>
    <row r="60" spans="1:18" ht="18" customHeight="1">
      <c r="A60" s="279" t="s">
        <v>1376</v>
      </c>
    </row>
  </sheetData>
  <mergeCells count="209">
    <mergeCell ref="A6:A7"/>
    <mergeCell ref="B6:C6"/>
    <mergeCell ref="D6:E6"/>
    <mergeCell ref="F6:J6"/>
    <mergeCell ref="K6:K7"/>
    <mergeCell ref="A1:K1"/>
    <mergeCell ref="A4:A5"/>
    <mergeCell ref="B4:C5"/>
    <mergeCell ref="D4:E5"/>
    <mergeCell ref="F4:J5"/>
    <mergeCell ref="K4:K5"/>
    <mergeCell ref="L6:L7"/>
    <mergeCell ref="M6:M7"/>
    <mergeCell ref="Q6:R7"/>
    <mergeCell ref="B7:C7"/>
    <mergeCell ref="D7:E7"/>
    <mergeCell ref="F7:J7"/>
    <mergeCell ref="L4:L5"/>
    <mergeCell ref="N4:N5"/>
    <mergeCell ref="O4:O5"/>
    <mergeCell ref="P4:P5"/>
    <mergeCell ref="Q4:R5"/>
    <mergeCell ref="M8:M9"/>
    <mergeCell ref="Q8:R9"/>
    <mergeCell ref="B9:C9"/>
    <mergeCell ref="D9:E9"/>
    <mergeCell ref="F9:J9"/>
    <mergeCell ref="K8:K9"/>
    <mergeCell ref="L8:L9"/>
    <mergeCell ref="A10:A11"/>
    <mergeCell ref="B10:C10"/>
    <mergeCell ref="D10:E10"/>
    <mergeCell ref="F10:J10"/>
    <mergeCell ref="A8:A9"/>
    <mergeCell ref="B8:C8"/>
    <mergeCell ref="D8:E8"/>
    <mergeCell ref="F8:J8"/>
    <mergeCell ref="A12:A13"/>
    <mergeCell ref="B12:C12"/>
    <mergeCell ref="D12:E12"/>
    <mergeCell ref="F12:J12"/>
    <mergeCell ref="K12:K13"/>
    <mergeCell ref="L10:L11"/>
    <mergeCell ref="M10:M11"/>
    <mergeCell ref="Q10:R11"/>
    <mergeCell ref="B11:C11"/>
    <mergeCell ref="D11:E11"/>
    <mergeCell ref="F11:J11"/>
    <mergeCell ref="B14:C14"/>
    <mergeCell ref="D14:E14"/>
    <mergeCell ref="F14:J14"/>
    <mergeCell ref="Q14:R14"/>
    <mergeCell ref="M12:M13"/>
    <mergeCell ref="Q12:R13"/>
    <mergeCell ref="B13:C13"/>
    <mergeCell ref="D13:E13"/>
    <mergeCell ref="F13:J13"/>
    <mergeCell ref="L12:L13"/>
    <mergeCell ref="B22:C22"/>
    <mergeCell ref="D22:E22"/>
    <mergeCell ref="F22:J22"/>
    <mergeCell ref="Q22:R22"/>
    <mergeCell ref="Q21:R21"/>
    <mergeCell ref="B21:C21"/>
    <mergeCell ref="D21:E21"/>
    <mergeCell ref="Q15:R15"/>
    <mergeCell ref="B15:C15"/>
    <mergeCell ref="D15:E15"/>
    <mergeCell ref="F15:I15"/>
    <mergeCell ref="M18:M19"/>
    <mergeCell ref="Q18:R19"/>
    <mergeCell ref="B19:C19"/>
    <mergeCell ref="D19:E19"/>
    <mergeCell ref="F19:J19"/>
    <mergeCell ref="B17:C17"/>
    <mergeCell ref="D17:E17"/>
    <mergeCell ref="F17:J17"/>
    <mergeCell ref="Q17:R17"/>
    <mergeCell ref="B16:C16"/>
    <mergeCell ref="D16:E16"/>
    <mergeCell ref="F16:J16"/>
    <mergeCell ref="Q16:R16"/>
    <mergeCell ref="W40:W44"/>
    <mergeCell ref="X40:Y40"/>
    <mergeCell ref="Z40:AE40"/>
    <mergeCell ref="X41:Y41"/>
    <mergeCell ref="Z41:AE41"/>
    <mergeCell ref="X42:Y42"/>
    <mergeCell ref="Z42:AE42"/>
    <mergeCell ref="X43:Y43"/>
    <mergeCell ref="Z43:AE43"/>
    <mergeCell ref="X44:Y44"/>
    <mergeCell ref="Z44:AE44"/>
    <mergeCell ref="F21:J21"/>
    <mergeCell ref="Q20:R20"/>
    <mergeCell ref="B20:C20"/>
    <mergeCell ref="D20:E20"/>
    <mergeCell ref="F20:I20"/>
    <mergeCell ref="A18:A19"/>
    <mergeCell ref="B18:C18"/>
    <mergeCell ref="D18:E18"/>
    <mergeCell ref="F18:J18"/>
    <mergeCell ref="K18:K19"/>
    <mergeCell ref="L18:L19"/>
    <mergeCell ref="A34:K34"/>
    <mergeCell ref="A37:A38"/>
    <mergeCell ref="B37:C38"/>
    <mergeCell ref="D37:E38"/>
    <mergeCell ref="F37:J38"/>
    <mergeCell ref="K37:K38"/>
    <mergeCell ref="L37:L38"/>
    <mergeCell ref="N37:N38"/>
    <mergeCell ref="O37:O38"/>
    <mergeCell ref="P37:P38"/>
    <mergeCell ref="Q37:R38"/>
    <mergeCell ref="A39:A40"/>
    <mergeCell ref="B39:C39"/>
    <mergeCell ref="D39:E39"/>
    <mergeCell ref="F39:J39"/>
    <mergeCell ref="K39:K40"/>
    <mergeCell ref="L39:L40"/>
    <mergeCell ref="M39:M40"/>
    <mergeCell ref="Q39:R40"/>
    <mergeCell ref="B40:C40"/>
    <mergeCell ref="D40:E40"/>
    <mergeCell ref="F40:J40"/>
    <mergeCell ref="A41:A42"/>
    <mergeCell ref="B41:C41"/>
    <mergeCell ref="D41:E41"/>
    <mergeCell ref="F41:J41"/>
    <mergeCell ref="K41:K42"/>
    <mergeCell ref="L41:L42"/>
    <mergeCell ref="M41:M42"/>
    <mergeCell ref="Q41:R42"/>
    <mergeCell ref="B42:C42"/>
    <mergeCell ref="D42:E42"/>
    <mergeCell ref="F42:J42"/>
    <mergeCell ref="A43:A44"/>
    <mergeCell ref="B43:C43"/>
    <mergeCell ref="D43:E43"/>
    <mergeCell ref="F43:J43"/>
    <mergeCell ref="L43:L44"/>
    <mergeCell ref="M43:M44"/>
    <mergeCell ref="Q43:R44"/>
    <mergeCell ref="B44:C44"/>
    <mergeCell ref="D44:E44"/>
    <mergeCell ref="F44:J44"/>
    <mergeCell ref="A45:A46"/>
    <mergeCell ref="B45:C45"/>
    <mergeCell ref="D45:E45"/>
    <mergeCell ref="F45:J45"/>
    <mergeCell ref="K45:K46"/>
    <mergeCell ref="L45:L46"/>
    <mergeCell ref="M45:M46"/>
    <mergeCell ref="Q45:R46"/>
    <mergeCell ref="B46:C46"/>
    <mergeCell ref="D46:E46"/>
    <mergeCell ref="F46:J46"/>
    <mergeCell ref="B47:C47"/>
    <mergeCell ref="D47:E47"/>
    <mergeCell ref="F47:J47"/>
    <mergeCell ref="Q47:R47"/>
    <mergeCell ref="B48:C48"/>
    <mergeCell ref="D48:E48"/>
    <mergeCell ref="F48:I48"/>
    <mergeCell ref="Q48:R48"/>
    <mergeCell ref="B51:C51"/>
    <mergeCell ref="D51:E51"/>
    <mergeCell ref="F51:J51"/>
    <mergeCell ref="Q51:R51"/>
    <mergeCell ref="B49:C49"/>
    <mergeCell ref="D49:E49"/>
    <mergeCell ref="F49:I49"/>
    <mergeCell ref="B50:C50"/>
    <mergeCell ref="D50:E50"/>
    <mergeCell ref="F50:I50"/>
    <mergeCell ref="B58:C58"/>
    <mergeCell ref="D58:E58"/>
    <mergeCell ref="F58:J58"/>
    <mergeCell ref="Q58:R58"/>
    <mergeCell ref="B52:C52"/>
    <mergeCell ref="D52:E52"/>
    <mergeCell ref="F52:J52"/>
    <mergeCell ref="Q52:R52"/>
    <mergeCell ref="A53:A54"/>
    <mergeCell ref="B53:C53"/>
    <mergeCell ref="D53:E53"/>
    <mergeCell ref="F53:J53"/>
    <mergeCell ref="K53:K54"/>
    <mergeCell ref="L53:L54"/>
    <mergeCell ref="M53:M54"/>
    <mergeCell ref="Q53:R54"/>
    <mergeCell ref="B54:C54"/>
    <mergeCell ref="D54:E54"/>
    <mergeCell ref="F54:J54"/>
    <mergeCell ref="A49:A50"/>
    <mergeCell ref="Q49:R50"/>
    <mergeCell ref="B56:C56"/>
    <mergeCell ref="D56:E56"/>
    <mergeCell ref="F56:I56"/>
    <mergeCell ref="B57:C57"/>
    <mergeCell ref="D57:E57"/>
    <mergeCell ref="F57:I57"/>
    <mergeCell ref="Q56:R57"/>
    <mergeCell ref="A56:A57"/>
    <mergeCell ref="B55:C55"/>
    <mergeCell ref="D55:E55"/>
    <mergeCell ref="F55:I55"/>
    <mergeCell ref="Q55:R55"/>
  </mergeCells>
  <phoneticPr fontId="11"/>
  <printOptions horizontalCentered="1"/>
  <pageMargins left="0.23622047244094491" right="0.23622047244094491" top="0.74803149606299213" bottom="0.74803149606299213" header="0.31496062992125984" footer="0.31496062992125984"/>
  <pageSetup paperSize="9" scale="75" fitToWidth="0" fitToHeight="0" orientation="landscape" horizontalDpi="300" verticalDpi="30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38C4-BDBC-4A9A-83AB-E2C8A3815C0B}">
  <sheetPr>
    <tabColor rgb="FF00B050"/>
  </sheetPr>
  <dimension ref="A1:AI69"/>
  <sheetViews>
    <sheetView view="pageBreakPreview" topLeftCell="A13" zoomScaleNormal="100" zoomScaleSheetLayoutView="100" workbookViewId="0">
      <selection activeCell="L22" sqref="L22"/>
    </sheetView>
  </sheetViews>
  <sheetFormatPr defaultColWidth="8.69921875" defaultRowHeight="18"/>
  <cols>
    <col min="1" max="1" width="6" style="1" customWidth="1"/>
    <col min="2" max="3" width="6.69921875" style="1" customWidth="1"/>
    <col min="4" max="5" width="4.69921875" style="1" customWidth="1"/>
    <col min="6" max="8" width="7.69921875" style="1" customWidth="1"/>
    <col min="9" max="9" width="3.69921875" style="1" customWidth="1"/>
    <col min="10" max="10" width="21" style="1" customWidth="1"/>
    <col min="11" max="11" width="8.09765625" style="1" hidden="1" customWidth="1"/>
    <col min="12" max="12" width="20.69921875" style="1" customWidth="1"/>
    <col min="13" max="14" width="5.5" style="1" customWidth="1"/>
    <col min="15" max="16" width="5.69921875" style="1" customWidth="1"/>
    <col min="17" max="19" width="8.69921875" style="1"/>
    <col min="20" max="20" width="3.3984375" style="1" customWidth="1"/>
    <col min="21" max="21" width="6.19921875" style="1" customWidth="1"/>
    <col min="22" max="24" width="8.69921875" style="1"/>
    <col min="25" max="25" width="4.8984375" style="1" customWidth="1"/>
    <col min="26" max="28" width="8.69921875" style="1"/>
    <col min="29" max="29" width="1.5" style="1" customWidth="1"/>
    <col min="30" max="30" width="6" style="1" customWidth="1"/>
    <col min="31" max="31" width="8.69921875" style="1"/>
    <col min="32" max="32" width="13.8984375" style="1" customWidth="1"/>
    <col min="33" max="16384" width="8.69921875" style="1"/>
  </cols>
  <sheetData>
    <row r="1" spans="1:20" ht="18.75" customHeight="1">
      <c r="A1" s="215" t="s">
        <v>666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559"/>
      <c r="R1" s="39"/>
      <c r="S1" s="39"/>
    </row>
    <row r="2" spans="1:20" ht="18.75" customHeight="1">
      <c r="A2" s="572" t="s">
        <v>1445</v>
      </c>
      <c r="B2" s="464"/>
      <c r="C2" s="464"/>
      <c r="D2" s="464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559"/>
      <c r="R2" s="39"/>
      <c r="S2" s="39"/>
    </row>
    <row r="3" spans="1:20" ht="15" customHeight="1">
      <c r="A3" s="49" t="s">
        <v>366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39" t="s">
        <v>983</v>
      </c>
    </row>
    <row r="4" spans="1:20" ht="15" customHeight="1">
      <c r="A4" s="710" t="s">
        <v>2</v>
      </c>
      <c r="B4" s="712" t="s">
        <v>3</v>
      </c>
      <c r="C4" s="712"/>
      <c r="D4" s="650" t="s">
        <v>4</v>
      </c>
      <c r="E4" s="650"/>
      <c r="F4" s="712" t="s">
        <v>5</v>
      </c>
      <c r="G4" s="712"/>
      <c r="H4" s="712"/>
      <c r="I4" s="712"/>
      <c r="J4" s="715" t="s">
        <v>6</v>
      </c>
      <c r="K4" s="766" t="s">
        <v>667</v>
      </c>
      <c r="L4" s="766" t="s">
        <v>105</v>
      </c>
      <c r="M4" s="87" t="s">
        <v>407</v>
      </c>
      <c r="N4" s="696" t="s">
        <v>1095</v>
      </c>
      <c r="O4" s="716" t="s">
        <v>1096</v>
      </c>
      <c r="P4" s="715" t="s">
        <v>1097</v>
      </c>
      <c r="Q4" s="674" t="s">
        <v>8</v>
      </c>
      <c r="R4" s="675"/>
      <c r="S4" s="676"/>
      <c r="T4" s="119"/>
    </row>
    <row r="5" spans="1:20" ht="15" customHeight="1">
      <c r="A5" s="711"/>
      <c r="B5" s="712"/>
      <c r="C5" s="712"/>
      <c r="D5" s="650"/>
      <c r="E5" s="650"/>
      <c r="F5" s="712"/>
      <c r="G5" s="712"/>
      <c r="H5" s="712"/>
      <c r="I5" s="712"/>
      <c r="J5" s="715"/>
      <c r="K5" s="767"/>
      <c r="L5" s="767"/>
      <c r="M5" s="76" t="s">
        <v>410</v>
      </c>
      <c r="N5" s="706"/>
      <c r="O5" s="717"/>
      <c r="P5" s="715"/>
      <c r="Q5" s="674"/>
      <c r="R5" s="675"/>
      <c r="S5" s="676"/>
      <c r="T5" s="119"/>
    </row>
    <row r="6" spans="1:20" ht="18" customHeight="1">
      <c r="A6" s="973" t="s">
        <v>184</v>
      </c>
      <c r="B6" s="661" t="s">
        <v>10</v>
      </c>
      <c r="C6" s="661"/>
      <c r="D6" s="661" t="s">
        <v>11</v>
      </c>
      <c r="E6" s="661"/>
      <c r="F6" s="659" t="s">
        <v>624</v>
      </c>
      <c r="G6" s="659"/>
      <c r="H6" s="659"/>
      <c r="I6" s="659"/>
      <c r="J6" s="654" t="s">
        <v>669</v>
      </c>
      <c r="K6" s="50">
        <v>2</v>
      </c>
      <c r="L6" s="802"/>
      <c r="M6" s="1206"/>
      <c r="N6" s="1215">
        <v>130</v>
      </c>
      <c r="O6" s="654">
        <v>1</v>
      </c>
      <c r="P6" s="654">
        <v>4130</v>
      </c>
      <c r="Q6" s="660" t="s">
        <v>220</v>
      </c>
      <c r="R6" s="660"/>
      <c r="S6" s="660"/>
      <c r="T6" s="20"/>
    </row>
    <row r="7" spans="1:20" ht="18" customHeight="1">
      <c r="A7" s="973"/>
      <c r="B7" s="661" t="s">
        <v>13</v>
      </c>
      <c r="C7" s="661"/>
      <c r="D7" s="661" t="s">
        <v>11</v>
      </c>
      <c r="E7" s="661"/>
      <c r="F7" s="659" t="s">
        <v>328</v>
      </c>
      <c r="G7" s="659"/>
      <c r="H7" s="659"/>
      <c r="I7" s="659"/>
      <c r="J7" s="655"/>
      <c r="K7" s="150"/>
      <c r="L7" s="803"/>
      <c r="M7" s="1207"/>
      <c r="N7" s="1216"/>
      <c r="O7" s="1211"/>
      <c r="P7" s="1211"/>
      <c r="Q7" s="660"/>
      <c r="R7" s="660"/>
      <c r="S7" s="660"/>
      <c r="T7" s="20"/>
    </row>
    <row r="8" spans="1:20" ht="18" customHeight="1">
      <c r="A8" s="973" t="s">
        <v>117</v>
      </c>
      <c r="B8" s="661" t="s">
        <v>35</v>
      </c>
      <c r="C8" s="661"/>
      <c r="D8" s="661" t="s">
        <v>11</v>
      </c>
      <c r="E8" s="661"/>
      <c r="F8" s="699" t="s">
        <v>670</v>
      </c>
      <c r="G8" s="699"/>
      <c r="H8" s="699"/>
      <c r="I8" s="699"/>
      <c r="J8" s="654"/>
      <c r="K8" s="50">
        <v>2</v>
      </c>
      <c r="L8" s="702" t="s">
        <v>37</v>
      </c>
      <c r="M8" s="1206"/>
      <c r="N8" s="1215">
        <v>130</v>
      </c>
      <c r="O8" s="654">
        <v>1</v>
      </c>
      <c r="P8" s="654">
        <v>6130</v>
      </c>
      <c r="Q8" s="660" t="s">
        <v>38</v>
      </c>
      <c r="R8" s="660"/>
      <c r="S8" s="660"/>
      <c r="T8" s="20"/>
    </row>
    <row r="9" spans="1:20" ht="18" customHeight="1">
      <c r="A9" s="973"/>
      <c r="B9" s="661" t="s">
        <v>119</v>
      </c>
      <c r="C9" s="661"/>
      <c r="D9" s="661" t="s">
        <v>11</v>
      </c>
      <c r="E9" s="661"/>
      <c r="F9" s="699" t="s">
        <v>671</v>
      </c>
      <c r="G9" s="699"/>
      <c r="H9" s="699"/>
      <c r="I9" s="699"/>
      <c r="J9" s="655"/>
      <c r="K9" s="150"/>
      <c r="L9" s="691"/>
      <c r="M9" s="1207"/>
      <c r="N9" s="1216"/>
      <c r="O9" s="1211"/>
      <c r="P9" s="1211"/>
      <c r="Q9" s="660"/>
      <c r="R9" s="660"/>
      <c r="S9" s="660"/>
      <c r="T9" s="20"/>
    </row>
    <row r="10" spans="1:20" ht="18" customHeight="1">
      <c r="A10" s="60" t="s">
        <v>578</v>
      </c>
      <c r="B10" s="650" t="s">
        <v>178</v>
      </c>
      <c r="C10" s="650"/>
      <c r="D10" s="650" t="s">
        <v>468</v>
      </c>
      <c r="E10" s="650"/>
      <c r="F10" s="651" t="s">
        <v>672</v>
      </c>
      <c r="G10" s="651"/>
      <c r="H10" s="651"/>
      <c r="I10" s="651"/>
      <c r="J10" s="32" t="s">
        <v>612</v>
      </c>
      <c r="K10" s="32">
        <v>1</v>
      </c>
      <c r="L10" s="36"/>
      <c r="M10" s="122" t="s">
        <v>425</v>
      </c>
      <c r="N10" s="122">
        <v>130</v>
      </c>
      <c r="O10" s="32">
        <v>1</v>
      </c>
      <c r="P10" s="32">
        <v>20130</v>
      </c>
      <c r="Q10" s="660" t="s">
        <v>673</v>
      </c>
      <c r="R10" s="660"/>
      <c r="S10" s="660"/>
      <c r="T10" s="20"/>
    </row>
    <row r="11" spans="1:20" ht="18" customHeight="1">
      <c r="A11" s="60" t="s">
        <v>47</v>
      </c>
      <c r="B11" s="650" t="s">
        <v>178</v>
      </c>
      <c r="C11" s="650"/>
      <c r="D11" s="650" t="s">
        <v>468</v>
      </c>
      <c r="E11" s="650"/>
      <c r="F11" s="651" t="s">
        <v>674</v>
      </c>
      <c r="G11" s="651"/>
      <c r="H11" s="651"/>
      <c r="I11" s="651"/>
      <c r="J11" s="32" t="s">
        <v>1447</v>
      </c>
      <c r="K11" s="32">
        <v>1</v>
      </c>
      <c r="L11" s="36"/>
      <c r="M11" s="122" t="s">
        <v>425</v>
      </c>
      <c r="N11" s="122">
        <v>130</v>
      </c>
      <c r="O11" s="32">
        <v>1</v>
      </c>
      <c r="P11" s="32">
        <v>5130</v>
      </c>
      <c r="Q11" s="660" t="s">
        <v>676</v>
      </c>
      <c r="R11" s="660"/>
      <c r="S11" s="660"/>
      <c r="T11" s="20"/>
    </row>
    <row r="12" spans="1:20" ht="18" customHeight="1">
      <c r="A12" s="60" t="s">
        <v>52</v>
      </c>
      <c r="B12" s="650" t="s">
        <v>211</v>
      </c>
      <c r="C12" s="650"/>
      <c r="D12" s="650" t="s">
        <v>72</v>
      </c>
      <c r="E12" s="650"/>
      <c r="F12" s="651" t="s">
        <v>1443</v>
      </c>
      <c r="G12" s="651"/>
      <c r="H12" s="651"/>
      <c r="I12" s="651"/>
      <c r="J12" s="32"/>
      <c r="K12" s="32">
        <v>1</v>
      </c>
      <c r="L12" s="36"/>
      <c r="M12" s="97" t="s">
        <v>436</v>
      </c>
      <c r="N12" s="122">
        <v>130</v>
      </c>
      <c r="O12" s="32">
        <v>1</v>
      </c>
      <c r="P12" s="32">
        <v>20130</v>
      </c>
      <c r="Q12" s="660" t="s">
        <v>678</v>
      </c>
      <c r="R12" s="660"/>
      <c r="S12" s="660"/>
      <c r="T12" s="20"/>
    </row>
    <row r="13" spans="1:20" ht="18" customHeight="1">
      <c r="A13" s="60" t="s">
        <v>439</v>
      </c>
      <c r="B13" s="650" t="s">
        <v>679</v>
      </c>
      <c r="C13" s="650"/>
      <c r="D13" s="650" t="s">
        <v>468</v>
      </c>
      <c r="E13" s="650"/>
      <c r="F13" s="651" t="s">
        <v>680</v>
      </c>
      <c r="G13" s="651"/>
      <c r="H13" s="651"/>
      <c r="I13" s="651"/>
      <c r="J13" s="32" t="s">
        <v>681</v>
      </c>
      <c r="K13" s="32">
        <v>1</v>
      </c>
      <c r="L13" s="36" t="s">
        <v>682</v>
      </c>
      <c r="M13" s="122" t="s">
        <v>425</v>
      </c>
      <c r="N13" s="122">
        <v>130</v>
      </c>
      <c r="O13" s="32">
        <v>1</v>
      </c>
      <c r="P13" s="32">
        <v>6130</v>
      </c>
      <c r="Q13" s="660" t="s">
        <v>683</v>
      </c>
      <c r="R13" s="660"/>
      <c r="S13" s="660"/>
      <c r="T13" s="20"/>
    </row>
    <row r="14" spans="1:20" ht="18" customHeight="1">
      <c r="A14" s="665" t="s">
        <v>809</v>
      </c>
      <c r="B14" s="661" t="s">
        <v>199</v>
      </c>
      <c r="C14" s="661"/>
      <c r="D14" s="661" t="s">
        <v>11</v>
      </c>
      <c r="E14" s="661"/>
      <c r="F14" s="653" t="s">
        <v>684</v>
      </c>
      <c r="G14" s="653"/>
      <c r="H14" s="653"/>
      <c r="I14" s="653"/>
      <c r="J14" s="654"/>
      <c r="K14" s="50">
        <v>2</v>
      </c>
      <c r="L14" s="702" t="s">
        <v>420</v>
      </c>
      <c r="M14" s="1114"/>
      <c r="N14" s="1215">
        <v>130</v>
      </c>
      <c r="O14" s="654">
        <v>1</v>
      </c>
      <c r="P14" s="654">
        <v>1630</v>
      </c>
      <c r="Q14" s="660" t="s">
        <v>685</v>
      </c>
      <c r="R14" s="660"/>
      <c r="S14" s="660"/>
      <c r="T14" s="20"/>
    </row>
    <row r="15" spans="1:20" ht="18" customHeight="1">
      <c r="A15" s="718"/>
      <c r="B15" s="661" t="s">
        <v>202</v>
      </c>
      <c r="C15" s="661"/>
      <c r="D15" s="661" t="s">
        <v>11</v>
      </c>
      <c r="E15" s="661"/>
      <c r="F15" s="1120" t="s">
        <v>686</v>
      </c>
      <c r="G15" s="1120"/>
      <c r="H15" s="1120"/>
      <c r="I15" s="1120"/>
      <c r="J15" s="655"/>
      <c r="K15" s="150"/>
      <c r="L15" s="691"/>
      <c r="M15" s="1207"/>
      <c r="N15" s="1216"/>
      <c r="O15" s="1211"/>
      <c r="P15" s="1211"/>
      <c r="Q15" s="660"/>
      <c r="R15" s="660"/>
      <c r="S15" s="660"/>
      <c r="T15" s="20"/>
    </row>
    <row r="16" spans="1:20" ht="17.399999999999999" customHeight="1">
      <c r="A16" s="1160" t="s">
        <v>127</v>
      </c>
      <c r="B16" s="661" t="s">
        <v>10</v>
      </c>
      <c r="C16" s="661"/>
      <c r="D16" s="661" t="s">
        <v>11</v>
      </c>
      <c r="E16" s="661"/>
      <c r="F16" s="659" t="s">
        <v>383</v>
      </c>
      <c r="G16" s="659"/>
      <c r="H16" s="659"/>
      <c r="I16" s="659"/>
      <c r="J16" s="654"/>
      <c r="K16" s="50">
        <v>2</v>
      </c>
      <c r="L16" s="802"/>
      <c r="M16" s="1114"/>
      <c r="N16" s="1215">
        <v>130</v>
      </c>
      <c r="O16" s="654">
        <v>1</v>
      </c>
      <c r="P16" s="654">
        <v>3130</v>
      </c>
      <c r="Q16" s="660" t="s">
        <v>687</v>
      </c>
      <c r="R16" s="660"/>
      <c r="S16" s="660"/>
      <c r="T16" s="20"/>
    </row>
    <row r="17" spans="1:20" ht="18" customHeight="1" thickBot="1">
      <c r="A17" s="1161"/>
      <c r="B17" s="979" t="s">
        <v>13</v>
      </c>
      <c r="C17" s="979"/>
      <c r="D17" s="979" t="s">
        <v>11</v>
      </c>
      <c r="E17" s="979"/>
      <c r="F17" s="695" t="s">
        <v>328</v>
      </c>
      <c r="G17" s="695"/>
      <c r="H17" s="695"/>
      <c r="I17" s="695"/>
      <c r="J17" s="1128"/>
      <c r="K17" s="152"/>
      <c r="L17" s="1221"/>
      <c r="M17" s="1208"/>
      <c r="N17" s="1222"/>
      <c r="O17" s="1212"/>
      <c r="P17" s="1212"/>
      <c r="Q17" s="692"/>
      <c r="R17" s="692"/>
      <c r="S17" s="692"/>
      <c r="T17" s="20"/>
    </row>
    <row r="18" spans="1:20" ht="18" customHeight="1" thickTop="1">
      <c r="A18" s="718" t="s">
        <v>380</v>
      </c>
      <c r="B18" s="661" t="s">
        <v>10</v>
      </c>
      <c r="C18" s="661"/>
      <c r="D18" s="661" t="s">
        <v>11</v>
      </c>
      <c r="E18" s="661"/>
      <c r="F18" s="659" t="s">
        <v>690</v>
      </c>
      <c r="G18" s="659"/>
      <c r="H18" s="659"/>
      <c r="I18" s="659"/>
      <c r="J18" s="1217" t="s">
        <v>691</v>
      </c>
      <c r="K18" s="69">
        <v>2</v>
      </c>
      <c r="L18" s="802" t="s">
        <v>1448</v>
      </c>
      <c r="M18" s="1209"/>
      <c r="N18" s="1223">
        <v>130</v>
      </c>
      <c r="O18" s="1213">
        <v>1</v>
      </c>
      <c r="P18" s="1213">
        <v>500</v>
      </c>
      <c r="Q18" s="660" t="s">
        <v>693</v>
      </c>
      <c r="R18" s="660"/>
      <c r="S18" s="660"/>
      <c r="T18" s="20"/>
    </row>
    <row r="19" spans="1:20" ht="18" customHeight="1">
      <c r="A19" s="665"/>
      <c r="B19" s="661" t="s">
        <v>145</v>
      </c>
      <c r="C19" s="661"/>
      <c r="D19" s="661" t="s">
        <v>11</v>
      </c>
      <c r="E19" s="661"/>
      <c r="F19" s="659" t="s">
        <v>694</v>
      </c>
      <c r="G19" s="659"/>
      <c r="H19" s="659"/>
      <c r="I19" s="659"/>
      <c r="J19" s="1218"/>
      <c r="K19" s="150"/>
      <c r="L19" s="803"/>
      <c r="M19" s="1210"/>
      <c r="N19" s="1224"/>
      <c r="O19" s="1214"/>
      <c r="P19" s="1214"/>
      <c r="Q19" s="660"/>
      <c r="R19" s="660"/>
      <c r="S19" s="660"/>
      <c r="T19" s="20"/>
    </row>
    <row r="20" spans="1:20" ht="18" customHeight="1">
      <c r="A20" s="718" t="s">
        <v>335</v>
      </c>
      <c r="B20" s="661" t="s">
        <v>199</v>
      </c>
      <c r="C20" s="661"/>
      <c r="D20" s="661" t="s">
        <v>17</v>
      </c>
      <c r="E20" s="661"/>
      <c r="F20" s="659" t="s">
        <v>699</v>
      </c>
      <c r="G20" s="659"/>
      <c r="H20" s="659"/>
      <c r="I20" s="659"/>
      <c r="J20" s="654" t="s">
        <v>700</v>
      </c>
      <c r="K20" s="50">
        <v>3</v>
      </c>
      <c r="L20" s="702" t="s">
        <v>37</v>
      </c>
      <c r="M20" s="1206"/>
      <c r="N20" s="1215">
        <v>130</v>
      </c>
      <c r="O20" s="654">
        <v>1</v>
      </c>
      <c r="P20" s="654">
        <v>2130</v>
      </c>
      <c r="Q20" s="660" t="s">
        <v>701</v>
      </c>
      <c r="R20" s="660"/>
      <c r="S20" s="660"/>
      <c r="T20" s="20"/>
    </row>
    <row r="21" spans="1:20" ht="18" customHeight="1">
      <c r="A21" s="665"/>
      <c r="B21" s="661" t="s">
        <v>698</v>
      </c>
      <c r="C21" s="661"/>
      <c r="D21" s="661" t="s">
        <v>17</v>
      </c>
      <c r="E21" s="661"/>
      <c r="F21" s="659" t="s">
        <v>1446</v>
      </c>
      <c r="G21" s="659"/>
      <c r="H21" s="659"/>
      <c r="I21" s="659"/>
      <c r="J21" s="655"/>
      <c r="K21" s="150"/>
      <c r="L21" s="691"/>
      <c r="M21" s="1207"/>
      <c r="N21" s="1216"/>
      <c r="O21" s="1211"/>
      <c r="P21" s="1211"/>
      <c r="Q21" s="660"/>
      <c r="R21" s="660"/>
      <c r="S21" s="660"/>
      <c r="T21" s="20"/>
    </row>
    <row r="22" spans="1:20" ht="18" customHeight="1">
      <c r="A22" s="60" t="s">
        <v>156</v>
      </c>
      <c r="B22" s="650" t="s">
        <v>147</v>
      </c>
      <c r="C22" s="650"/>
      <c r="D22" s="650" t="s">
        <v>240</v>
      </c>
      <c r="E22" s="650"/>
      <c r="F22" s="651" t="s">
        <v>1576</v>
      </c>
      <c r="G22" s="651"/>
      <c r="H22" s="651"/>
      <c r="I22" s="651"/>
      <c r="J22" s="32" t="s">
        <v>703</v>
      </c>
      <c r="K22" s="32">
        <v>5</v>
      </c>
      <c r="L22" s="32"/>
      <c r="M22" s="122" t="s">
        <v>425</v>
      </c>
      <c r="N22" s="122">
        <v>130</v>
      </c>
      <c r="O22" s="32">
        <v>1</v>
      </c>
      <c r="P22" s="32">
        <v>5130</v>
      </c>
      <c r="Q22" s="652" t="s">
        <v>705</v>
      </c>
      <c r="R22" s="623"/>
      <c r="S22" s="624"/>
      <c r="T22" s="20"/>
    </row>
    <row r="23" spans="1:20" ht="18" customHeight="1">
      <c r="A23" s="60" t="s">
        <v>70</v>
      </c>
      <c r="B23" s="650" t="s">
        <v>147</v>
      </c>
      <c r="C23" s="650"/>
      <c r="D23" s="650" t="s">
        <v>468</v>
      </c>
      <c r="E23" s="650"/>
      <c r="F23" s="651" t="s">
        <v>680</v>
      </c>
      <c r="G23" s="651"/>
      <c r="H23" s="651"/>
      <c r="I23" s="651"/>
      <c r="J23" s="32" t="s">
        <v>703</v>
      </c>
      <c r="K23" s="32">
        <v>1</v>
      </c>
      <c r="L23" s="36" t="s">
        <v>682</v>
      </c>
      <c r="M23" s="122" t="s">
        <v>425</v>
      </c>
      <c r="N23" s="122">
        <v>130</v>
      </c>
      <c r="O23" s="32">
        <v>1</v>
      </c>
      <c r="P23" s="32">
        <v>5130</v>
      </c>
      <c r="Q23" s="652" t="s">
        <v>707</v>
      </c>
      <c r="R23" s="623"/>
      <c r="S23" s="624"/>
      <c r="T23" s="20"/>
    </row>
    <row r="24" spans="1:20" ht="18" customHeight="1">
      <c r="A24" s="1136" t="s">
        <v>768</v>
      </c>
      <c r="B24" s="661" t="s">
        <v>10</v>
      </c>
      <c r="C24" s="661"/>
      <c r="D24" s="661" t="s">
        <v>11</v>
      </c>
      <c r="E24" s="661"/>
      <c r="F24" s="659" t="s">
        <v>383</v>
      </c>
      <c r="G24" s="659"/>
      <c r="H24" s="659"/>
      <c r="I24" s="659"/>
      <c r="J24" s="1116"/>
      <c r="K24" s="53">
        <v>2</v>
      </c>
      <c r="L24" s="1117"/>
      <c r="M24" s="1206"/>
      <c r="N24" s="1215">
        <v>130</v>
      </c>
      <c r="O24" s="654">
        <v>1</v>
      </c>
      <c r="P24" s="654">
        <v>3130</v>
      </c>
      <c r="Q24" s="708" t="s">
        <v>688</v>
      </c>
      <c r="R24" s="708"/>
      <c r="S24" s="708"/>
      <c r="T24" s="20"/>
    </row>
    <row r="25" spans="1:20" ht="18" customHeight="1">
      <c r="A25" s="1136"/>
      <c r="B25" s="661" t="s">
        <v>145</v>
      </c>
      <c r="C25" s="661"/>
      <c r="D25" s="661" t="s">
        <v>11</v>
      </c>
      <c r="E25" s="661"/>
      <c r="F25" s="659" t="s">
        <v>689</v>
      </c>
      <c r="G25" s="659"/>
      <c r="H25" s="659"/>
      <c r="I25" s="659"/>
      <c r="J25" s="655"/>
      <c r="K25" s="150"/>
      <c r="L25" s="803"/>
      <c r="M25" s="1207"/>
      <c r="N25" s="1216"/>
      <c r="O25" s="1211"/>
      <c r="P25" s="1211"/>
      <c r="Q25" s="660"/>
      <c r="R25" s="660"/>
      <c r="S25" s="660"/>
      <c r="T25" s="20"/>
    </row>
    <row r="26" spans="1:20" ht="18" customHeight="1">
      <c r="A26" s="718" t="s">
        <v>352</v>
      </c>
      <c r="B26" s="661" t="s">
        <v>199</v>
      </c>
      <c r="C26" s="661"/>
      <c r="D26" s="661" t="s">
        <v>17</v>
      </c>
      <c r="E26" s="661"/>
      <c r="F26" s="659" t="s">
        <v>695</v>
      </c>
      <c r="G26" s="659"/>
      <c r="H26" s="659"/>
      <c r="I26" s="659"/>
      <c r="J26" s="654" t="s">
        <v>696</v>
      </c>
      <c r="K26" s="50">
        <v>3</v>
      </c>
      <c r="L26" s="702" t="s">
        <v>403</v>
      </c>
      <c r="M26" s="1206"/>
      <c r="N26" s="1215">
        <v>130</v>
      </c>
      <c r="O26" s="654">
        <v>1</v>
      </c>
      <c r="P26" s="654">
        <v>1130</v>
      </c>
      <c r="Q26" s="660" t="s">
        <v>697</v>
      </c>
      <c r="R26" s="660"/>
      <c r="S26" s="660"/>
      <c r="T26" s="20"/>
    </row>
    <row r="27" spans="1:20" ht="18" customHeight="1">
      <c r="A27" s="665"/>
      <c r="B27" s="661" t="s">
        <v>698</v>
      </c>
      <c r="C27" s="661"/>
      <c r="D27" s="661" t="s">
        <v>17</v>
      </c>
      <c r="E27" s="661"/>
      <c r="F27" s="659" t="s">
        <v>1446</v>
      </c>
      <c r="G27" s="659"/>
      <c r="H27" s="659"/>
      <c r="I27" s="659"/>
      <c r="J27" s="655"/>
      <c r="K27" s="150"/>
      <c r="L27" s="691"/>
      <c r="M27" s="1207"/>
      <c r="N27" s="1216"/>
      <c r="O27" s="1211"/>
      <c r="P27" s="1211"/>
      <c r="Q27" s="660"/>
      <c r="R27" s="660"/>
      <c r="S27" s="660"/>
      <c r="T27" s="20"/>
    </row>
    <row r="28" spans="1:20" ht="18" customHeight="1">
      <c r="A28" s="60" t="s">
        <v>78</v>
      </c>
      <c r="B28" s="650" t="s">
        <v>62</v>
      </c>
      <c r="C28" s="650"/>
      <c r="D28" s="650" t="s">
        <v>63</v>
      </c>
      <c r="E28" s="650"/>
      <c r="F28" s="651" t="s">
        <v>76</v>
      </c>
      <c r="G28" s="651"/>
      <c r="H28" s="651"/>
      <c r="I28" s="651"/>
      <c r="J28" s="32"/>
      <c r="K28" s="32">
        <v>2</v>
      </c>
      <c r="L28" s="32"/>
      <c r="M28" s="122" t="s">
        <v>425</v>
      </c>
      <c r="N28" s="122">
        <v>130</v>
      </c>
      <c r="O28" s="32">
        <v>1</v>
      </c>
      <c r="P28" s="32">
        <v>10130</v>
      </c>
      <c r="Q28" s="652" t="s">
        <v>706</v>
      </c>
      <c r="R28" s="623"/>
      <c r="S28" s="624"/>
      <c r="T28" s="20"/>
    </row>
    <row r="29" spans="1:20" ht="18" customHeight="1">
      <c r="A29" s="205"/>
      <c r="B29" s="16"/>
      <c r="C29" s="16"/>
      <c r="D29" s="16"/>
      <c r="E29" s="16"/>
      <c r="F29" s="17"/>
      <c r="G29" s="17"/>
      <c r="H29" s="17"/>
      <c r="I29" s="17"/>
      <c r="J29" s="45"/>
      <c r="K29" s="45"/>
      <c r="L29" s="45"/>
      <c r="M29" s="571"/>
      <c r="N29" s="571"/>
      <c r="O29" s="45"/>
      <c r="P29" s="45"/>
      <c r="Q29" s="120"/>
      <c r="R29" s="120"/>
      <c r="S29" s="120"/>
      <c r="T29" s="20"/>
    </row>
    <row r="30" spans="1:20" ht="18" customHeight="1">
      <c r="A30" s="205"/>
      <c r="B30" s="16"/>
      <c r="C30" s="16"/>
      <c r="D30" s="16"/>
      <c r="E30" s="16"/>
      <c r="F30" s="17"/>
      <c r="G30" s="17"/>
      <c r="H30" s="17"/>
      <c r="I30" s="17"/>
      <c r="J30" s="45"/>
      <c r="K30" s="45"/>
      <c r="L30" s="45"/>
      <c r="M30" s="571"/>
      <c r="N30" s="571"/>
      <c r="O30" s="45"/>
      <c r="P30" s="45"/>
      <c r="Q30" s="120"/>
      <c r="R30" s="120"/>
      <c r="S30" s="120"/>
      <c r="T30" s="20"/>
    </row>
    <row r="31" spans="1:20" ht="18" customHeight="1">
      <c r="A31" s="205"/>
      <c r="B31" s="16"/>
      <c r="C31" s="16"/>
      <c r="D31" s="16"/>
      <c r="E31" s="16"/>
      <c r="F31" s="17"/>
      <c r="G31" s="17"/>
      <c r="H31" s="17"/>
      <c r="I31" s="17"/>
      <c r="J31" s="45"/>
      <c r="K31" s="45"/>
      <c r="L31" s="45"/>
      <c r="M31" s="571"/>
      <c r="N31" s="571"/>
      <c r="O31" s="45"/>
      <c r="P31" s="45"/>
      <c r="Q31" s="120"/>
      <c r="R31" s="120"/>
      <c r="S31" s="120"/>
      <c r="T31" s="20"/>
    </row>
    <row r="32" spans="1:20" ht="18" customHeight="1">
      <c r="A32" s="205"/>
      <c r="B32" s="16"/>
      <c r="C32" s="16"/>
      <c r="D32" s="16"/>
      <c r="E32" s="16"/>
      <c r="F32" s="17"/>
      <c r="G32" s="17"/>
      <c r="H32" s="17"/>
      <c r="I32" s="17"/>
      <c r="J32" s="45"/>
      <c r="K32" s="45"/>
      <c r="L32" s="45"/>
      <c r="M32" s="571"/>
      <c r="N32" s="571"/>
      <c r="O32" s="45"/>
      <c r="P32" s="45"/>
      <c r="Q32" s="120"/>
      <c r="R32" s="120"/>
      <c r="S32" s="120"/>
      <c r="T32" s="20"/>
    </row>
    <row r="33" spans="1:20" ht="18.75" customHeight="1">
      <c r="A33" s="215" t="s">
        <v>666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559"/>
      <c r="R33" s="39"/>
      <c r="S33" s="39"/>
      <c r="T33" s="20"/>
    </row>
    <row r="34" spans="1:20" ht="18.75" customHeight="1">
      <c r="A34" s="264" t="s">
        <v>708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559"/>
      <c r="R34" s="39"/>
      <c r="S34" s="39"/>
    </row>
    <row r="35" spans="1:20" ht="15" customHeight="1">
      <c r="A35" s="49" t="s">
        <v>366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39" t="s">
        <v>983</v>
      </c>
    </row>
    <row r="36" spans="1:20" ht="15" customHeight="1">
      <c r="A36" s="710" t="s">
        <v>2</v>
      </c>
      <c r="B36" s="712" t="s">
        <v>3</v>
      </c>
      <c r="C36" s="712"/>
      <c r="D36" s="650" t="s">
        <v>4</v>
      </c>
      <c r="E36" s="650"/>
      <c r="F36" s="712" t="s">
        <v>5</v>
      </c>
      <c r="G36" s="712"/>
      <c r="H36" s="712"/>
      <c r="I36" s="712"/>
      <c r="J36" s="715" t="s">
        <v>6</v>
      </c>
      <c r="K36" s="766" t="s">
        <v>667</v>
      </c>
      <c r="L36" s="766" t="s">
        <v>105</v>
      </c>
      <c r="M36" s="87" t="s">
        <v>407</v>
      </c>
      <c r="N36" s="87"/>
      <c r="O36" s="766" t="s">
        <v>667</v>
      </c>
      <c r="P36" s="766" t="s">
        <v>668</v>
      </c>
      <c r="Q36" s="674" t="s">
        <v>8</v>
      </c>
      <c r="R36" s="675"/>
      <c r="S36" s="676"/>
    </row>
    <row r="37" spans="1:20" ht="15" customHeight="1">
      <c r="A37" s="711"/>
      <c r="B37" s="712"/>
      <c r="C37" s="712"/>
      <c r="D37" s="650"/>
      <c r="E37" s="650"/>
      <c r="F37" s="712"/>
      <c r="G37" s="712"/>
      <c r="H37" s="712"/>
      <c r="I37" s="712"/>
      <c r="J37" s="715"/>
      <c r="K37" s="767"/>
      <c r="L37" s="767"/>
      <c r="M37" s="76" t="s">
        <v>410</v>
      </c>
      <c r="N37" s="76"/>
      <c r="O37" s="767"/>
      <c r="P37" s="767"/>
      <c r="Q37" s="674"/>
      <c r="R37" s="675"/>
      <c r="S37" s="676"/>
    </row>
    <row r="38" spans="1:20" ht="18" customHeight="1">
      <c r="A38" s="973" t="s">
        <v>184</v>
      </c>
      <c r="B38" s="661" t="s">
        <v>10</v>
      </c>
      <c r="C38" s="661"/>
      <c r="D38" s="661" t="s">
        <v>11</v>
      </c>
      <c r="E38" s="661"/>
      <c r="F38" s="659" t="s">
        <v>624</v>
      </c>
      <c r="G38" s="659"/>
      <c r="H38" s="659"/>
      <c r="I38" s="659"/>
      <c r="J38" s="654" t="s">
        <v>669</v>
      </c>
      <c r="K38" s="50">
        <v>2</v>
      </c>
      <c r="L38" s="802"/>
      <c r="M38" s="149"/>
      <c r="N38" s="50"/>
      <c r="O38" s="50">
        <v>2</v>
      </c>
      <c r="P38" s="50">
        <v>1</v>
      </c>
      <c r="Q38" s="660" t="s">
        <v>220</v>
      </c>
      <c r="R38" s="660"/>
      <c r="S38" s="660"/>
    </row>
    <row r="39" spans="1:20" ht="18" customHeight="1">
      <c r="A39" s="973"/>
      <c r="B39" s="661" t="s">
        <v>13</v>
      </c>
      <c r="C39" s="661"/>
      <c r="D39" s="661" t="s">
        <v>11</v>
      </c>
      <c r="E39" s="661"/>
      <c r="F39" s="659" t="s">
        <v>328</v>
      </c>
      <c r="G39" s="659"/>
      <c r="H39" s="659"/>
      <c r="I39" s="659"/>
      <c r="J39" s="655"/>
      <c r="K39" s="150"/>
      <c r="L39" s="803"/>
      <c r="M39" s="150"/>
      <c r="N39" s="150"/>
      <c r="O39" s="150"/>
      <c r="P39" s="150"/>
      <c r="Q39" s="660"/>
      <c r="R39" s="660"/>
      <c r="S39" s="660"/>
    </row>
    <row r="40" spans="1:20" ht="18" customHeight="1">
      <c r="A40" s="973" t="s">
        <v>117</v>
      </c>
      <c r="B40" s="661" t="s">
        <v>35</v>
      </c>
      <c r="C40" s="661"/>
      <c r="D40" s="661" t="s">
        <v>11</v>
      </c>
      <c r="E40" s="661"/>
      <c r="F40" s="699" t="s">
        <v>670</v>
      </c>
      <c r="G40" s="699"/>
      <c r="H40" s="699"/>
      <c r="I40" s="699"/>
      <c r="J40" s="654"/>
      <c r="K40" s="50">
        <v>2</v>
      </c>
      <c r="L40" s="702" t="s">
        <v>37</v>
      </c>
      <c r="M40" s="149"/>
      <c r="N40" s="50"/>
      <c r="O40" s="50">
        <v>2</v>
      </c>
      <c r="P40" s="50">
        <v>1</v>
      </c>
      <c r="Q40" s="660" t="s">
        <v>38</v>
      </c>
      <c r="R40" s="660"/>
      <c r="S40" s="660"/>
    </row>
    <row r="41" spans="1:20" ht="18" customHeight="1">
      <c r="A41" s="973"/>
      <c r="B41" s="661" t="s">
        <v>119</v>
      </c>
      <c r="C41" s="661"/>
      <c r="D41" s="661" t="s">
        <v>11</v>
      </c>
      <c r="E41" s="661"/>
      <c r="F41" s="699" t="s">
        <v>671</v>
      </c>
      <c r="G41" s="699"/>
      <c r="H41" s="699"/>
      <c r="I41" s="699"/>
      <c r="J41" s="655"/>
      <c r="K41" s="150"/>
      <c r="L41" s="691"/>
      <c r="M41" s="150"/>
      <c r="N41" s="150"/>
      <c r="O41" s="150"/>
      <c r="P41" s="150"/>
      <c r="Q41" s="660"/>
      <c r="R41" s="660"/>
      <c r="S41" s="660"/>
    </row>
    <row r="42" spans="1:20" ht="18" customHeight="1">
      <c r="A42" s="60" t="s">
        <v>578</v>
      </c>
      <c r="B42" s="650" t="s">
        <v>178</v>
      </c>
      <c r="C42" s="650"/>
      <c r="D42" s="650" t="s">
        <v>468</v>
      </c>
      <c r="E42" s="650"/>
      <c r="F42" s="651" t="s">
        <v>672</v>
      </c>
      <c r="G42" s="651"/>
      <c r="H42" s="651"/>
      <c r="I42" s="651"/>
      <c r="J42" s="32" t="s">
        <v>612</v>
      </c>
      <c r="K42" s="32">
        <v>1</v>
      </c>
      <c r="L42" s="36"/>
      <c r="M42" s="122" t="s">
        <v>425</v>
      </c>
      <c r="N42" s="122"/>
      <c r="O42" s="32">
        <v>1</v>
      </c>
      <c r="P42" s="32">
        <v>1</v>
      </c>
      <c r="Q42" s="660" t="s">
        <v>673</v>
      </c>
      <c r="R42" s="660"/>
      <c r="S42" s="660"/>
    </row>
    <row r="43" spans="1:20" ht="18" customHeight="1">
      <c r="A43" s="60" t="s">
        <v>47</v>
      </c>
      <c r="B43" s="650" t="s">
        <v>178</v>
      </c>
      <c r="C43" s="650"/>
      <c r="D43" s="650" t="s">
        <v>468</v>
      </c>
      <c r="E43" s="650"/>
      <c r="F43" s="651" t="s">
        <v>674</v>
      </c>
      <c r="G43" s="651"/>
      <c r="H43" s="651"/>
      <c r="I43" s="651"/>
      <c r="J43" s="32" t="s">
        <v>675</v>
      </c>
      <c r="K43" s="32">
        <v>1</v>
      </c>
      <c r="L43" s="36"/>
      <c r="M43" s="122" t="s">
        <v>425</v>
      </c>
      <c r="N43" s="122"/>
      <c r="O43" s="32">
        <v>1</v>
      </c>
      <c r="P43" s="32">
        <v>1</v>
      </c>
      <c r="Q43" s="660" t="s">
        <v>676</v>
      </c>
      <c r="R43" s="660"/>
      <c r="S43" s="660"/>
    </row>
    <row r="44" spans="1:20" ht="18" customHeight="1">
      <c r="A44" s="60" t="s">
        <v>52</v>
      </c>
      <c r="B44" s="650" t="s">
        <v>211</v>
      </c>
      <c r="C44" s="650"/>
      <c r="D44" s="650" t="s">
        <v>72</v>
      </c>
      <c r="E44" s="650"/>
      <c r="F44" s="651" t="s">
        <v>677</v>
      </c>
      <c r="G44" s="651"/>
      <c r="H44" s="651"/>
      <c r="I44" s="651"/>
      <c r="J44" s="32"/>
      <c r="K44" s="32">
        <v>1</v>
      </c>
      <c r="L44" s="36"/>
      <c r="M44" s="122" t="s">
        <v>425</v>
      </c>
      <c r="N44" s="122"/>
      <c r="O44" s="32">
        <v>1</v>
      </c>
      <c r="P44" s="32">
        <v>1</v>
      </c>
      <c r="Q44" s="660" t="s">
        <v>678</v>
      </c>
      <c r="R44" s="660"/>
      <c r="S44" s="660"/>
    </row>
    <row r="45" spans="1:20" ht="18" customHeight="1">
      <c r="A45" s="60" t="s">
        <v>439</v>
      </c>
      <c r="B45" s="650" t="s">
        <v>679</v>
      </c>
      <c r="C45" s="650"/>
      <c r="D45" s="650" t="s">
        <v>468</v>
      </c>
      <c r="E45" s="650"/>
      <c r="F45" s="651" t="s">
        <v>680</v>
      </c>
      <c r="G45" s="651"/>
      <c r="H45" s="651"/>
      <c r="I45" s="651"/>
      <c r="J45" s="32" t="s">
        <v>681</v>
      </c>
      <c r="K45" s="32">
        <v>1</v>
      </c>
      <c r="L45" s="36" t="s">
        <v>682</v>
      </c>
      <c r="M45" s="122" t="s">
        <v>425</v>
      </c>
      <c r="N45" s="122"/>
      <c r="O45" s="32">
        <v>1</v>
      </c>
      <c r="P45" s="32">
        <v>1</v>
      </c>
      <c r="Q45" s="660" t="s">
        <v>683</v>
      </c>
      <c r="R45" s="660"/>
      <c r="S45" s="660"/>
    </row>
    <row r="46" spans="1:20" ht="18" customHeight="1">
      <c r="A46" s="665" t="s">
        <v>125</v>
      </c>
      <c r="B46" s="661" t="s">
        <v>199</v>
      </c>
      <c r="C46" s="661"/>
      <c r="D46" s="661" t="s">
        <v>11</v>
      </c>
      <c r="E46" s="661"/>
      <c r="F46" s="653" t="s">
        <v>684</v>
      </c>
      <c r="G46" s="653"/>
      <c r="H46" s="653"/>
      <c r="I46" s="653"/>
      <c r="J46" s="654"/>
      <c r="K46" s="50">
        <v>2</v>
      </c>
      <c r="L46" s="702" t="s">
        <v>420</v>
      </c>
      <c r="M46" s="151"/>
      <c r="N46" s="348"/>
      <c r="O46" s="50">
        <v>2</v>
      </c>
      <c r="P46" s="50">
        <v>1</v>
      </c>
      <c r="Q46" s="660" t="s">
        <v>685</v>
      </c>
      <c r="R46" s="660"/>
      <c r="S46" s="660"/>
    </row>
    <row r="47" spans="1:20" ht="18" customHeight="1">
      <c r="A47" s="718"/>
      <c r="B47" s="661" t="s">
        <v>202</v>
      </c>
      <c r="C47" s="661"/>
      <c r="D47" s="661" t="s">
        <v>11</v>
      </c>
      <c r="E47" s="661"/>
      <c r="F47" s="1120" t="s">
        <v>686</v>
      </c>
      <c r="G47" s="1120"/>
      <c r="H47" s="1120"/>
      <c r="I47" s="1120"/>
      <c r="J47" s="655"/>
      <c r="K47" s="150"/>
      <c r="L47" s="691"/>
      <c r="M47" s="150"/>
      <c r="N47" s="150"/>
      <c r="O47" s="150"/>
      <c r="P47" s="150"/>
      <c r="Q47" s="660"/>
      <c r="R47" s="660"/>
      <c r="S47" s="660"/>
    </row>
    <row r="48" spans="1:20" ht="18" customHeight="1">
      <c r="A48" s="1160" t="s">
        <v>127</v>
      </c>
      <c r="B48" s="661" t="s">
        <v>10</v>
      </c>
      <c r="C48" s="661"/>
      <c r="D48" s="661" t="s">
        <v>11</v>
      </c>
      <c r="E48" s="661"/>
      <c r="F48" s="659" t="s">
        <v>383</v>
      </c>
      <c r="G48" s="659"/>
      <c r="H48" s="659"/>
      <c r="I48" s="659"/>
      <c r="J48" s="654"/>
      <c r="K48" s="50">
        <v>2</v>
      </c>
      <c r="L48" s="802"/>
      <c r="M48" s="149"/>
      <c r="N48" s="50"/>
      <c r="O48" s="50">
        <v>2</v>
      </c>
      <c r="P48" s="50">
        <v>1</v>
      </c>
      <c r="Q48" s="660" t="s">
        <v>687</v>
      </c>
      <c r="R48" s="660"/>
      <c r="S48" s="660"/>
    </row>
    <row r="49" spans="1:19" ht="18" customHeight="1" thickBot="1">
      <c r="A49" s="1161"/>
      <c r="B49" s="979" t="s">
        <v>13</v>
      </c>
      <c r="C49" s="979"/>
      <c r="D49" s="979" t="s">
        <v>11</v>
      </c>
      <c r="E49" s="979"/>
      <c r="F49" s="695" t="s">
        <v>328</v>
      </c>
      <c r="G49" s="695"/>
      <c r="H49" s="695"/>
      <c r="I49" s="695"/>
      <c r="J49" s="1128"/>
      <c r="K49" s="152"/>
      <c r="L49" s="1221"/>
      <c r="M49" s="152"/>
      <c r="N49" s="152"/>
      <c r="O49" s="152"/>
      <c r="P49" s="152"/>
      <c r="Q49" s="692"/>
      <c r="R49" s="692"/>
      <c r="S49" s="692"/>
    </row>
    <row r="50" spans="1:19" ht="18" customHeight="1" thickTop="1">
      <c r="A50" s="1136" t="s">
        <v>66</v>
      </c>
      <c r="B50" s="661" t="s">
        <v>10</v>
      </c>
      <c r="C50" s="661"/>
      <c r="D50" s="661" t="s">
        <v>11</v>
      </c>
      <c r="E50" s="661"/>
      <c r="F50" s="659" t="s">
        <v>383</v>
      </c>
      <c r="G50" s="659"/>
      <c r="H50" s="659"/>
      <c r="I50" s="659"/>
      <c r="J50" s="1219"/>
      <c r="K50" s="53">
        <v>2</v>
      </c>
      <c r="L50" s="1220"/>
      <c r="M50" s="153"/>
      <c r="N50" s="53"/>
      <c r="O50" s="53">
        <v>2</v>
      </c>
      <c r="P50" s="53">
        <v>1</v>
      </c>
      <c r="Q50" s="708" t="s">
        <v>688</v>
      </c>
      <c r="R50" s="708"/>
      <c r="S50" s="708"/>
    </row>
    <row r="51" spans="1:19" ht="18" customHeight="1">
      <c r="A51" s="1136"/>
      <c r="B51" s="661" t="s">
        <v>145</v>
      </c>
      <c r="C51" s="661"/>
      <c r="D51" s="661" t="s">
        <v>11</v>
      </c>
      <c r="E51" s="661"/>
      <c r="F51" s="659" t="s">
        <v>689</v>
      </c>
      <c r="G51" s="659"/>
      <c r="H51" s="659"/>
      <c r="I51" s="659"/>
      <c r="J51" s="655"/>
      <c r="K51" s="150"/>
      <c r="L51" s="803"/>
      <c r="M51" s="150"/>
      <c r="N51" s="150"/>
      <c r="O51" s="150"/>
      <c r="P51" s="150"/>
      <c r="Q51" s="660"/>
      <c r="R51" s="660"/>
      <c r="S51" s="660"/>
    </row>
    <row r="52" spans="1:19" ht="18" customHeight="1">
      <c r="A52" s="718" t="s">
        <v>335</v>
      </c>
      <c r="B52" s="661" t="s">
        <v>10</v>
      </c>
      <c r="C52" s="661"/>
      <c r="D52" s="661" t="s">
        <v>11</v>
      </c>
      <c r="E52" s="661"/>
      <c r="F52" s="659" t="s">
        <v>690</v>
      </c>
      <c r="G52" s="659"/>
      <c r="H52" s="659"/>
      <c r="I52" s="659"/>
      <c r="J52" s="1217" t="s">
        <v>691</v>
      </c>
      <c r="K52" s="69">
        <v>2</v>
      </c>
      <c r="L52" s="802" t="s">
        <v>692</v>
      </c>
      <c r="M52" s="154"/>
      <c r="N52" s="69"/>
      <c r="O52" s="69">
        <v>2</v>
      </c>
      <c r="P52" s="69">
        <v>1</v>
      </c>
      <c r="Q52" s="660" t="s">
        <v>693</v>
      </c>
      <c r="R52" s="660"/>
      <c r="S52" s="660"/>
    </row>
    <row r="53" spans="1:19" ht="18" customHeight="1">
      <c r="A53" s="665"/>
      <c r="B53" s="661" t="s">
        <v>145</v>
      </c>
      <c r="C53" s="661"/>
      <c r="D53" s="661" t="s">
        <v>11</v>
      </c>
      <c r="E53" s="661"/>
      <c r="F53" s="659" t="s">
        <v>694</v>
      </c>
      <c r="G53" s="659"/>
      <c r="H53" s="659"/>
      <c r="I53" s="659"/>
      <c r="J53" s="1218"/>
      <c r="K53" s="150"/>
      <c r="L53" s="803"/>
      <c r="M53" s="150"/>
      <c r="N53" s="150"/>
      <c r="O53" s="150"/>
      <c r="P53" s="150"/>
      <c r="Q53" s="660"/>
      <c r="R53" s="660"/>
      <c r="S53" s="660"/>
    </row>
    <row r="54" spans="1:19" ht="18" customHeight="1">
      <c r="A54" s="718" t="s">
        <v>156</v>
      </c>
      <c r="B54" s="661" t="s">
        <v>199</v>
      </c>
      <c r="C54" s="661"/>
      <c r="D54" s="661" t="s">
        <v>17</v>
      </c>
      <c r="E54" s="661"/>
      <c r="F54" s="659" t="s">
        <v>695</v>
      </c>
      <c r="G54" s="659"/>
      <c r="H54" s="659"/>
      <c r="I54" s="659"/>
      <c r="J54" s="654" t="s">
        <v>696</v>
      </c>
      <c r="K54" s="50">
        <v>3</v>
      </c>
      <c r="L54" s="702" t="s">
        <v>403</v>
      </c>
      <c r="M54" s="149"/>
      <c r="N54" s="50"/>
      <c r="O54" s="50">
        <v>3</v>
      </c>
      <c r="P54" s="50">
        <v>1</v>
      </c>
      <c r="Q54" s="660" t="s">
        <v>697</v>
      </c>
      <c r="R54" s="660"/>
      <c r="S54" s="660"/>
    </row>
    <row r="55" spans="1:19" ht="18" customHeight="1">
      <c r="A55" s="665"/>
      <c r="B55" s="661" t="s">
        <v>698</v>
      </c>
      <c r="C55" s="661"/>
      <c r="D55" s="661" t="s">
        <v>17</v>
      </c>
      <c r="E55" s="661"/>
      <c r="F55" s="659" t="s">
        <v>1446</v>
      </c>
      <c r="G55" s="659"/>
      <c r="H55" s="659"/>
      <c r="I55" s="659"/>
      <c r="J55" s="655"/>
      <c r="K55" s="150"/>
      <c r="L55" s="691"/>
      <c r="M55" s="150"/>
      <c r="N55" s="150"/>
      <c r="O55" s="150"/>
      <c r="P55" s="150"/>
      <c r="Q55" s="660"/>
      <c r="R55" s="660"/>
      <c r="S55" s="660"/>
    </row>
    <row r="56" spans="1:19" ht="18" customHeight="1">
      <c r="A56" s="718" t="s">
        <v>99</v>
      </c>
      <c r="B56" s="661" t="s">
        <v>199</v>
      </c>
      <c r="C56" s="661"/>
      <c r="D56" s="661" t="s">
        <v>17</v>
      </c>
      <c r="E56" s="661"/>
      <c r="F56" s="659" t="s">
        <v>699</v>
      </c>
      <c r="G56" s="659"/>
      <c r="H56" s="659"/>
      <c r="I56" s="659"/>
      <c r="J56" s="654" t="s">
        <v>700</v>
      </c>
      <c r="K56" s="50">
        <v>3</v>
      </c>
      <c r="L56" s="702" t="s">
        <v>37</v>
      </c>
      <c r="M56" s="149"/>
      <c r="N56" s="50"/>
      <c r="O56" s="50">
        <v>3</v>
      </c>
      <c r="P56" s="50">
        <v>1</v>
      </c>
      <c r="Q56" s="660" t="s">
        <v>701</v>
      </c>
      <c r="R56" s="660"/>
      <c r="S56" s="660"/>
    </row>
    <row r="57" spans="1:19" ht="18" customHeight="1">
      <c r="A57" s="665"/>
      <c r="B57" s="661" t="s">
        <v>698</v>
      </c>
      <c r="C57" s="661"/>
      <c r="D57" s="661" t="s">
        <v>17</v>
      </c>
      <c r="E57" s="661"/>
      <c r="F57" s="659" t="s">
        <v>1446</v>
      </c>
      <c r="G57" s="659"/>
      <c r="H57" s="659"/>
      <c r="I57" s="659"/>
      <c r="J57" s="655"/>
      <c r="K57" s="150"/>
      <c r="L57" s="691"/>
      <c r="M57" s="150"/>
      <c r="N57" s="150"/>
      <c r="O57" s="150"/>
      <c r="P57" s="150"/>
      <c r="Q57" s="660"/>
      <c r="R57" s="660"/>
      <c r="S57" s="660"/>
    </row>
    <row r="58" spans="1:19" ht="18" customHeight="1">
      <c r="A58" s="60" t="s">
        <v>141</v>
      </c>
      <c r="B58" s="650" t="s">
        <v>147</v>
      </c>
      <c r="C58" s="650"/>
      <c r="D58" s="650" t="s">
        <v>49</v>
      </c>
      <c r="E58" s="650"/>
      <c r="F58" s="651" t="s">
        <v>702</v>
      </c>
      <c r="G58" s="651"/>
      <c r="H58" s="651"/>
      <c r="I58" s="651"/>
      <c r="J58" s="32" t="s">
        <v>703</v>
      </c>
      <c r="K58" s="32">
        <v>5</v>
      </c>
      <c r="L58" s="32"/>
      <c r="M58" s="122" t="s">
        <v>704</v>
      </c>
      <c r="N58" s="122"/>
      <c r="O58" s="32">
        <v>5</v>
      </c>
      <c r="P58" s="32">
        <v>1</v>
      </c>
      <c r="Q58" s="652" t="s">
        <v>705</v>
      </c>
      <c r="R58" s="623"/>
      <c r="S58" s="624"/>
    </row>
    <row r="59" spans="1:19" ht="18" customHeight="1">
      <c r="A59" s="60" t="s">
        <v>282</v>
      </c>
      <c r="B59" s="650" t="s">
        <v>62</v>
      </c>
      <c r="C59" s="650"/>
      <c r="D59" s="650" t="s">
        <v>63</v>
      </c>
      <c r="E59" s="650"/>
      <c r="F59" s="651" t="s">
        <v>128</v>
      </c>
      <c r="G59" s="651"/>
      <c r="H59" s="651"/>
      <c r="I59" s="651"/>
      <c r="J59" s="32"/>
      <c r="K59" s="32">
        <v>2</v>
      </c>
      <c r="L59" s="32"/>
      <c r="M59" s="122" t="s">
        <v>425</v>
      </c>
      <c r="N59" s="122"/>
      <c r="O59" s="32">
        <v>2</v>
      </c>
      <c r="P59" s="32">
        <v>1</v>
      </c>
      <c r="Q59" s="652" t="s">
        <v>706</v>
      </c>
      <c r="R59" s="623"/>
      <c r="S59" s="624"/>
    </row>
    <row r="60" spans="1:19" ht="18" customHeight="1">
      <c r="A60" s="60" t="s">
        <v>100</v>
      </c>
      <c r="B60" s="650" t="s">
        <v>147</v>
      </c>
      <c r="C60" s="650"/>
      <c r="D60" s="650" t="s">
        <v>468</v>
      </c>
      <c r="E60" s="650"/>
      <c r="F60" s="651" t="s">
        <v>680</v>
      </c>
      <c r="G60" s="651"/>
      <c r="H60" s="651"/>
      <c r="I60" s="651"/>
      <c r="J60" s="32" t="s">
        <v>703</v>
      </c>
      <c r="K60" s="32">
        <v>1</v>
      </c>
      <c r="L60" s="36" t="s">
        <v>682</v>
      </c>
      <c r="M60" s="122" t="s">
        <v>425</v>
      </c>
      <c r="N60" s="122"/>
      <c r="O60" s="32">
        <v>1</v>
      </c>
      <c r="P60" s="32">
        <v>1</v>
      </c>
      <c r="Q60" s="652" t="s">
        <v>707</v>
      </c>
      <c r="R60" s="623"/>
      <c r="S60" s="624"/>
    </row>
    <row r="65" spans="24:35" ht="18.600000000000001" thickBot="1"/>
    <row r="66" spans="24:35">
      <c r="X66" s="832" t="s">
        <v>1356</v>
      </c>
      <c r="Y66" s="644" t="s">
        <v>1357</v>
      </c>
      <c r="Z66" s="644"/>
      <c r="AA66" s="644" t="s">
        <v>1358</v>
      </c>
      <c r="AB66" s="644"/>
      <c r="AC66" s="644"/>
      <c r="AD66" s="644"/>
      <c r="AE66" s="644"/>
      <c r="AF66" s="644"/>
      <c r="AG66" s="553" t="s">
        <v>1359</v>
      </c>
      <c r="AH66" s="553" t="s">
        <v>1360</v>
      </c>
      <c r="AI66" s="554" t="s">
        <v>1361</v>
      </c>
    </row>
    <row r="67" spans="24:35">
      <c r="X67" s="833"/>
      <c r="Y67" s="645"/>
      <c r="Z67" s="646"/>
      <c r="AA67" s="646"/>
      <c r="AB67" s="646"/>
      <c r="AC67" s="646"/>
      <c r="AD67" s="646"/>
      <c r="AE67" s="646"/>
      <c r="AF67" s="646"/>
      <c r="AG67" s="555"/>
      <c r="AH67" s="555"/>
      <c r="AI67" s="556"/>
    </row>
    <row r="68" spans="24:35">
      <c r="X68" s="833"/>
      <c r="Y68" s="645"/>
      <c r="Z68" s="646"/>
      <c r="AA68" s="646"/>
      <c r="AB68" s="646"/>
      <c r="AC68" s="646"/>
      <c r="AD68" s="646"/>
      <c r="AE68" s="646"/>
      <c r="AF68" s="646"/>
      <c r="AG68" s="555"/>
      <c r="AH68" s="555"/>
      <c r="AI68" s="556"/>
    </row>
    <row r="69" spans="24:35" ht="18.600000000000001" thickBot="1">
      <c r="X69" s="834"/>
      <c r="Y69" s="647" t="s">
        <v>1442</v>
      </c>
      <c r="Z69" s="617"/>
      <c r="AA69" s="617" t="s">
        <v>1363</v>
      </c>
      <c r="AB69" s="617"/>
      <c r="AC69" s="617"/>
      <c r="AD69" s="617"/>
      <c r="AE69" s="617"/>
      <c r="AF69" s="617"/>
      <c r="AG69" s="557" t="s">
        <v>1364</v>
      </c>
      <c r="AH69" s="557" t="s">
        <v>1365</v>
      </c>
      <c r="AI69" s="558" t="s">
        <v>1366</v>
      </c>
    </row>
  </sheetData>
  <mergeCells count="278">
    <mergeCell ref="Q28:S28"/>
    <mergeCell ref="Q26:S27"/>
    <mergeCell ref="B27:C27"/>
    <mergeCell ref="D27:E27"/>
    <mergeCell ref="F27:I27"/>
    <mergeCell ref="A26:A27"/>
    <mergeCell ref="B26:C26"/>
    <mergeCell ref="D26:E26"/>
    <mergeCell ref="F26:I26"/>
    <mergeCell ref="J26:J27"/>
    <mergeCell ref="L26:L27"/>
    <mergeCell ref="B28:C28"/>
    <mergeCell ref="D28:E28"/>
    <mergeCell ref="F28:I28"/>
    <mergeCell ref="N26:N27"/>
    <mergeCell ref="P26:P27"/>
    <mergeCell ref="A24:A25"/>
    <mergeCell ref="B24:C24"/>
    <mergeCell ref="D24:E24"/>
    <mergeCell ref="F24:I24"/>
    <mergeCell ref="J24:J25"/>
    <mergeCell ref="L24:L25"/>
    <mergeCell ref="Q24:S25"/>
    <mergeCell ref="B25:C25"/>
    <mergeCell ref="D25:E25"/>
    <mergeCell ref="F25:I25"/>
    <mergeCell ref="N24:N25"/>
    <mergeCell ref="P24:P25"/>
    <mergeCell ref="A20:A21"/>
    <mergeCell ref="B20:C20"/>
    <mergeCell ref="D20:E20"/>
    <mergeCell ref="F20:I20"/>
    <mergeCell ref="J20:J21"/>
    <mergeCell ref="L20:L21"/>
    <mergeCell ref="Q20:S21"/>
    <mergeCell ref="B21:C21"/>
    <mergeCell ref="D21:E21"/>
    <mergeCell ref="F21:I21"/>
    <mergeCell ref="N20:N21"/>
    <mergeCell ref="P20:P21"/>
    <mergeCell ref="A18:A19"/>
    <mergeCell ref="B18:C18"/>
    <mergeCell ref="D18:E18"/>
    <mergeCell ref="F18:I18"/>
    <mergeCell ref="J18:J19"/>
    <mergeCell ref="L18:L19"/>
    <mergeCell ref="Q18:S19"/>
    <mergeCell ref="B19:C19"/>
    <mergeCell ref="D19:E19"/>
    <mergeCell ref="F19:I19"/>
    <mergeCell ref="N18:N19"/>
    <mergeCell ref="P18:P19"/>
    <mergeCell ref="Q14:S15"/>
    <mergeCell ref="B15:C15"/>
    <mergeCell ref="D15:E15"/>
    <mergeCell ref="F15:I15"/>
    <mergeCell ref="A16:A17"/>
    <mergeCell ref="B16:C16"/>
    <mergeCell ref="D16:E16"/>
    <mergeCell ref="F16:I16"/>
    <mergeCell ref="J16:J17"/>
    <mergeCell ref="L16:L17"/>
    <mergeCell ref="A14:A15"/>
    <mergeCell ref="B14:C14"/>
    <mergeCell ref="D14:E14"/>
    <mergeCell ref="F14:I14"/>
    <mergeCell ref="J14:J15"/>
    <mergeCell ref="L14:L15"/>
    <mergeCell ref="Q16:S17"/>
    <mergeCell ref="B17:C17"/>
    <mergeCell ref="D17:E17"/>
    <mergeCell ref="F17:I17"/>
    <mergeCell ref="N14:N15"/>
    <mergeCell ref="N16:N17"/>
    <mergeCell ref="P14:P15"/>
    <mergeCell ref="P16:P17"/>
    <mergeCell ref="D13:E13"/>
    <mergeCell ref="F13:I13"/>
    <mergeCell ref="Q13:S13"/>
    <mergeCell ref="B10:C10"/>
    <mergeCell ref="D10:E10"/>
    <mergeCell ref="F10:I10"/>
    <mergeCell ref="Q10:S10"/>
    <mergeCell ref="B11:C11"/>
    <mergeCell ref="D11:E11"/>
    <mergeCell ref="F11:I11"/>
    <mergeCell ref="Q11:S11"/>
    <mergeCell ref="L4:L5"/>
    <mergeCell ref="Q4:S5"/>
    <mergeCell ref="A6:A7"/>
    <mergeCell ref="B6:C6"/>
    <mergeCell ref="D6:E6"/>
    <mergeCell ref="F6:I6"/>
    <mergeCell ref="J6:J7"/>
    <mergeCell ref="L6:L7"/>
    <mergeCell ref="Q6:S7"/>
    <mergeCell ref="A4:A5"/>
    <mergeCell ref="B4:C5"/>
    <mergeCell ref="D4:E5"/>
    <mergeCell ref="F4:I5"/>
    <mergeCell ref="J4:J5"/>
    <mergeCell ref="K4:K5"/>
    <mergeCell ref="B7:C7"/>
    <mergeCell ref="D7:E7"/>
    <mergeCell ref="F7:I7"/>
    <mergeCell ref="P6:P7"/>
    <mergeCell ref="O4:O5"/>
    <mergeCell ref="P4:P5"/>
    <mergeCell ref="A36:A37"/>
    <mergeCell ref="B36:C37"/>
    <mergeCell ref="D36:E37"/>
    <mergeCell ref="F36:I37"/>
    <mergeCell ref="J36:J37"/>
    <mergeCell ref="K36:K37"/>
    <mergeCell ref="L36:L37"/>
    <mergeCell ref="Q36:S37"/>
    <mergeCell ref="A8:A9"/>
    <mergeCell ref="B8:C8"/>
    <mergeCell ref="D8:E8"/>
    <mergeCell ref="F8:I8"/>
    <mergeCell ref="J8:J9"/>
    <mergeCell ref="L8:L9"/>
    <mergeCell ref="Q8:S9"/>
    <mergeCell ref="B9:C9"/>
    <mergeCell ref="D9:E9"/>
    <mergeCell ref="F9:I9"/>
    <mergeCell ref="B12:C12"/>
    <mergeCell ref="D12:E12"/>
    <mergeCell ref="F12:I12"/>
    <mergeCell ref="Q12:S12"/>
    <mergeCell ref="P8:P9"/>
    <mergeCell ref="B13:C13"/>
    <mergeCell ref="A38:A39"/>
    <mergeCell ref="B38:C38"/>
    <mergeCell ref="D38:E38"/>
    <mergeCell ref="F38:I38"/>
    <mergeCell ref="J38:J39"/>
    <mergeCell ref="L38:L39"/>
    <mergeCell ref="Q38:S39"/>
    <mergeCell ref="B39:C39"/>
    <mergeCell ref="D39:E39"/>
    <mergeCell ref="F39:I39"/>
    <mergeCell ref="B44:C44"/>
    <mergeCell ref="D44:E44"/>
    <mergeCell ref="F44:I44"/>
    <mergeCell ref="Q44:S44"/>
    <mergeCell ref="A40:A41"/>
    <mergeCell ref="B40:C40"/>
    <mergeCell ref="D40:E40"/>
    <mergeCell ref="F40:I40"/>
    <mergeCell ref="J40:J41"/>
    <mergeCell ref="L40:L41"/>
    <mergeCell ref="Q40:S41"/>
    <mergeCell ref="B41:C41"/>
    <mergeCell ref="D41:E41"/>
    <mergeCell ref="F41:I41"/>
    <mergeCell ref="A46:A47"/>
    <mergeCell ref="B46:C46"/>
    <mergeCell ref="D46:E46"/>
    <mergeCell ref="F46:I46"/>
    <mergeCell ref="J46:J47"/>
    <mergeCell ref="L46:L47"/>
    <mergeCell ref="Q46:S47"/>
    <mergeCell ref="B47:C47"/>
    <mergeCell ref="D47:E47"/>
    <mergeCell ref="F47:I47"/>
    <mergeCell ref="A48:A49"/>
    <mergeCell ref="B48:C48"/>
    <mergeCell ref="D48:E48"/>
    <mergeCell ref="F48:I48"/>
    <mergeCell ref="J48:J49"/>
    <mergeCell ref="L48:L49"/>
    <mergeCell ref="Q48:S49"/>
    <mergeCell ref="B49:C49"/>
    <mergeCell ref="D49:E49"/>
    <mergeCell ref="F49:I49"/>
    <mergeCell ref="A50:A51"/>
    <mergeCell ref="B50:C50"/>
    <mergeCell ref="D50:E50"/>
    <mergeCell ref="F50:I50"/>
    <mergeCell ref="J50:J51"/>
    <mergeCell ref="L50:L51"/>
    <mergeCell ref="Q50:S51"/>
    <mergeCell ref="B51:C51"/>
    <mergeCell ref="D51:E51"/>
    <mergeCell ref="F51:I51"/>
    <mergeCell ref="A52:A53"/>
    <mergeCell ref="B52:C52"/>
    <mergeCell ref="D52:E52"/>
    <mergeCell ref="F52:I52"/>
    <mergeCell ref="J52:J53"/>
    <mergeCell ref="L52:L53"/>
    <mergeCell ref="Q52:S53"/>
    <mergeCell ref="B53:C53"/>
    <mergeCell ref="D53:E53"/>
    <mergeCell ref="F53:I53"/>
    <mergeCell ref="A54:A55"/>
    <mergeCell ref="B54:C54"/>
    <mergeCell ref="D54:E54"/>
    <mergeCell ref="F54:I54"/>
    <mergeCell ref="J54:J55"/>
    <mergeCell ref="L54:L55"/>
    <mergeCell ref="Q54:S55"/>
    <mergeCell ref="B55:C55"/>
    <mergeCell ref="D55:E55"/>
    <mergeCell ref="F55:I55"/>
    <mergeCell ref="B59:C59"/>
    <mergeCell ref="D59:E59"/>
    <mergeCell ref="F59:I59"/>
    <mergeCell ref="Q59:S59"/>
    <mergeCell ref="B60:C60"/>
    <mergeCell ref="D60:E60"/>
    <mergeCell ref="F60:I60"/>
    <mergeCell ref="Q60:S60"/>
    <mergeCell ref="A56:A57"/>
    <mergeCell ref="B56:C56"/>
    <mergeCell ref="D56:E56"/>
    <mergeCell ref="F56:I56"/>
    <mergeCell ref="J56:J57"/>
    <mergeCell ref="L56:L57"/>
    <mergeCell ref="Q56:S57"/>
    <mergeCell ref="B57:C57"/>
    <mergeCell ref="D57:E57"/>
    <mergeCell ref="F57:I57"/>
    <mergeCell ref="B22:C22"/>
    <mergeCell ref="D22:E22"/>
    <mergeCell ref="F22:I22"/>
    <mergeCell ref="Q22:S22"/>
    <mergeCell ref="B23:C23"/>
    <mergeCell ref="D23:E23"/>
    <mergeCell ref="F23:I23"/>
    <mergeCell ref="Q23:S23"/>
    <mergeCell ref="B58:C58"/>
    <mergeCell ref="D58:E58"/>
    <mergeCell ref="F58:I58"/>
    <mergeCell ref="Q58:S58"/>
    <mergeCell ref="B45:C45"/>
    <mergeCell ref="D45:E45"/>
    <mergeCell ref="F45:I45"/>
    <mergeCell ref="Q45:S45"/>
    <mergeCell ref="B42:C42"/>
    <mergeCell ref="D42:E42"/>
    <mergeCell ref="F42:I42"/>
    <mergeCell ref="Q42:S42"/>
    <mergeCell ref="B43:C43"/>
    <mergeCell ref="D43:E43"/>
    <mergeCell ref="F43:I43"/>
    <mergeCell ref="Q43:S43"/>
    <mergeCell ref="O36:O37"/>
    <mergeCell ref="P36:P37"/>
    <mergeCell ref="N4:N5"/>
    <mergeCell ref="M6:M7"/>
    <mergeCell ref="M8:M9"/>
    <mergeCell ref="M14:M15"/>
    <mergeCell ref="M16:M17"/>
    <mergeCell ref="M18:M19"/>
    <mergeCell ref="M20:M21"/>
    <mergeCell ref="M24:M25"/>
    <mergeCell ref="M26:M27"/>
    <mergeCell ref="O6:O7"/>
    <mergeCell ref="O8:O9"/>
    <mergeCell ref="O14:O15"/>
    <mergeCell ref="O16:O17"/>
    <mergeCell ref="O18:O19"/>
    <mergeCell ref="O20:O21"/>
    <mergeCell ref="O24:O25"/>
    <mergeCell ref="O26:O27"/>
    <mergeCell ref="N6:N7"/>
    <mergeCell ref="N8:N9"/>
    <mergeCell ref="X66:X69"/>
    <mergeCell ref="Y66:Z66"/>
    <mergeCell ref="AA66:AF66"/>
    <mergeCell ref="Y67:Z67"/>
    <mergeCell ref="AA67:AF67"/>
    <mergeCell ref="Y68:Z68"/>
    <mergeCell ref="AA68:AF68"/>
    <mergeCell ref="Y69:Z69"/>
    <mergeCell ref="AA69:AF69"/>
  </mergeCells>
  <phoneticPr fontId="11"/>
  <printOptions horizontalCentered="1" verticalCentered="1"/>
  <pageMargins left="0.11811023622047245" right="0.11811023622047245" top="0.11811023622047245" bottom="0.11811023622047245" header="0.11811023622047245" footer="0.11811023622047245"/>
  <pageSetup paperSize="9" scale="92" fitToWidth="0" fitToHeight="0" orientation="landscape" r:id="rId1"/>
  <rowBreaks count="1" manualBreakCount="1">
    <brk id="32" max="20" man="1"/>
  </rowBreak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89D9-EF09-4937-8EF5-3773A68E565B}">
  <sheetPr>
    <tabColor rgb="FFFFC000"/>
  </sheetPr>
  <dimension ref="A1:AF83"/>
  <sheetViews>
    <sheetView view="pageBreakPreview" topLeftCell="A19" zoomScaleNormal="100" zoomScaleSheetLayoutView="100" workbookViewId="0">
      <selection activeCell="B9" sqref="B9:C9"/>
    </sheetView>
  </sheetViews>
  <sheetFormatPr defaultColWidth="9" defaultRowHeight="18"/>
  <cols>
    <col min="1" max="1" width="5.69921875" style="1" customWidth="1"/>
    <col min="2" max="3" width="9" style="1"/>
    <col min="4" max="5" width="5.5" style="1" customWidth="1"/>
    <col min="6" max="8" width="9" style="1"/>
    <col min="9" max="9" width="9.765625E-2" style="1" customWidth="1"/>
    <col min="10" max="10" width="9" style="1" hidden="1" customWidth="1"/>
    <col min="11" max="11" width="34.09765625" style="1" customWidth="1"/>
    <col min="12" max="12" width="25.69921875" style="1" customWidth="1"/>
    <col min="13" max="13" width="7.59765625" style="1" customWidth="1"/>
    <col min="14" max="16" width="5.69921875" style="1" customWidth="1"/>
    <col min="17" max="17" width="10.69921875" style="1" customWidth="1"/>
    <col min="18" max="16384" width="9" style="1"/>
  </cols>
  <sheetData>
    <row r="1" spans="1:18" ht="18.75" customHeight="1">
      <c r="A1" s="262" t="s">
        <v>0</v>
      </c>
      <c r="B1" s="39"/>
      <c r="C1" s="39"/>
      <c r="D1" s="39"/>
      <c r="E1" s="39"/>
      <c r="F1" s="39"/>
      <c r="G1" s="39"/>
      <c r="H1" s="39"/>
      <c r="I1" s="465"/>
      <c r="J1" s="39"/>
      <c r="K1" s="39"/>
      <c r="L1" s="39"/>
      <c r="M1" s="39"/>
      <c r="N1" s="39"/>
      <c r="O1" s="39"/>
      <c r="P1" s="39"/>
      <c r="Q1" s="39"/>
      <c r="R1" s="39"/>
    </row>
    <row r="2" spans="1:18" ht="18.75" customHeight="1">
      <c r="A2" s="262" t="s">
        <v>1</v>
      </c>
      <c r="B2" s="39"/>
      <c r="C2" s="39"/>
      <c r="D2" s="39"/>
      <c r="E2" s="39"/>
      <c r="F2" s="39"/>
      <c r="G2" s="39"/>
      <c r="H2" s="39"/>
      <c r="I2" s="465"/>
      <c r="J2" s="39"/>
      <c r="K2" s="39"/>
      <c r="L2" s="39"/>
      <c r="M2" s="39"/>
      <c r="N2" s="39"/>
      <c r="O2" s="39"/>
      <c r="P2" s="39"/>
      <c r="Q2" s="39"/>
      <c r="R2" s="39"/>
    </row>
    <row r="3" spans="1:18" ht="15" customHeight="1">
      <c r="A3" s="49" t="s">
        <v>366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 t="s">
        <v>983</v>
      </c>
      <c r="R3" s="39"/>
    </row>
    <row r="4" spans="1:18" ht="15" customHeight="1">
      <c r="A4" s="754" t="s">
        <v>2</v>
      </c>
      <c r="B4" s="922" t="s">
        <v>3</v>
      </c>
      <c r="C4" s="923"/>
      <c r="D4" s="926" t="s">
        <v>4</v>
      </c>
      <c r="E4" s="927"/>
      <c r="F4" s="922" t="s">
        <v>5</v>
      </c>
      <c r="G4" s="930"/>
      <c r="H4" s="930"/>
      <c r="I4" s="930"/>
      <c r="J4" s="923"/>
      <c r="K4" s="715" t="s">
        <v>6</v>
      </c>
      <c r="L4" s="932" t="s">
        <v>7</v>
      </c>
      <c r="M4" s="185" t="s">
        <v>407</v>
      </c>
      <c r="N4" s="696" t="s">
        <v>1095</v>
      </c>
      <c r="O4" s="716" t="s">
        <v>1096</v>
      </c>
      <c r="P4" s="715" t="s">
        <v>1097</v>
      </c>
      <c r="Q4" s="915" t="s">
        <v>8</v>
      </c>
      <c r="R4" s="916"/>
    </row>
    <row r="5" spans="1:18" ht="15" customHeight="1">
      <c r="A5" s="755"/>
      <c r="B5" s="924"/>
      <c r="C5" s="925"/>
      <c r="D5" s="928"/>
      <c r="E5" s="929"/>
      <c r="F5" s="924"/>
      <c r="G5" s="931"/>
      <c r="H5" s="931"/>
      <c r="I5" s="931"/>
      <c r="J5" s="925"/>
      <c r="K5" s="715"/>
      <c r="L5" s="933"/>
      <c r="M5" s="186" t="s">
        <v>410</v>
      </c>
      <c r="N5" s="706"/>
      <c r="O5" s="717"/>
      <c r="P5" s="715"/>
      <c r="Q5" s="917"/>
      <c r="R5" s="918"/>
    </row>
    <row r="6" spans="1:18" ht="19.95" customHeight="1">
      <c r="A6" s="1233" t="s">
        <v>9</v>
      </c>
      <c r="B6" s="887" t="s">
        <v>10</v>
      </c>
      <c r="C6" s="888"/>
      <c r="D6" s="887" t="s">
        <v>49</v>
      </c>
      <c r="E6" s="888"/>
      <c r="F6" s="893" t="s">
        <v>764</v>
      </c>
      <c r="G6" s="894"/>
      <c r="H6" s="894"/>
      <c r="I6" s="894"/>
      <c r="J6" s="895"/>
      <c r="K6" s="911"/>
      <c r="L6" s="1162" t="s">
        <v>1334</v>
      </c>
      <c r="M6" s="920"/>
      <c r="N6" s="391">
        <v>130</v>
      </c>
      <c r="O6" s="442">
        <v>1</v>
      </c>
      <c r="P6" s="452">
        <v>2100</v>
      </c>
      <c r="Q6" s="656" t="s">
        <v>12</v>
      </c>
      <c r="R6" s="658"/>
    </row>
    <row r="7" spans="1:18" ht="19.95" customHeight="1">
      <c r="A7" s="1234"/>
      <c r="B7" s="887" t="s">
        <v>13</v>
      </c>
      <c r="C7" s="888"/>
      <c r="D7" s="887" t="s">
        <v>14</v>
      </c>
      <c r="E7" s="888"/>
      <c r="F7" s="893" t="s">
        <v>15</v>
      </c>
      <c r="G7" s="894"/>
      <c r="H7" s="894"/>
      <c r="I7" s="894"/>
      <c r="J7" s="895"/>
      <c r="K7" s="912"/>
      <c r="L7" s="1235"/>
      <c r="M7" s="921"/>
      <c r="N7" s="392"/>
      <c r="O7" s="443"/>
      <c r="P7" s="453"/>
      <c r="Q7" s="634"/>
      <c r="R7" s="636"/>
    </row>
    <row r="8" spans="1:18" ht="19.95" customHeight="1">
      <c r="A8" s="614" t="s">
        <v>16</v>
      </c>
      <c r="B8" s="887" t="s">
        <v>10</v>
      </c>
      <c r="C8" s="888"/>
      <c r="D8" s="887" t="s">
        <v>17</v>
      </c>
      <c r="E8" s="888"/>
      <c r="F8" s="893" t="s">
        <v>18</v>
      </c>
      <c r="G8" s="894"/>
      <c r="H8" s="894"/>
      <c r="I8" s="894"/>
      <c r="J8" s="895"/>
      <c r="K8" s="654" t="s">
        <v>1335</v>
      </c>
      <c r="L8" s="896" t="s">
        <v>19</v>
      </c>
      <c r="M8" s="867"/>
      <c r="N8" s="393">
        <v>130</v>
      </c>
      <c r="O8" s="444">
        <v>1</v>
      </c>
      <c r="P8" s="454">
        <v>4200</v>
      </c>
      <c r="Q8" s="870" t="s">
        <v>856</v>
      </c>
      <c r="R8" s="658"/>
    </row>
    <row r="9" spans="1:18" ht="19.95" customHeight="1">
      <c r="A9" s="616"/>
      <c r="B9" s="887" t="s">
        <v>20</v>
      </c>
      <c r="C9" s="888"/>
      <c r="D9" s="887" t="s">
        <v>11</v>
      </c>
      <c r="E9" s="888"/>
      <c r="F9" s="893" t="s">
        <v>21</v>
      </c>
      <c r="G9" s="894"/>
      <c r="H9" s="894"/>
      <c r="I9" s="894"/>
      <c r="J9" s="895"/>
      <c r="K9" s="655"/>
      <c r="L9" s="892"/>
      <c r="M9" s="869"/>
      <c r="N9" s="389"/>
      <c r="O9" s="445"/>
      <c r="P9" s="455"/>
      <c r="Q9" s="634"/>
      <c r="R9" s="636"/>
    </row>
    <row r="10" spans="1:18" ht="19.95" customHeight="1">
      <c r="A10" s="614" t="s">
        <v>22</v>
      </c>
      <c r="B10" s="887" t="s">
        <v>10</v>
      </c>
      <c r="C10" s="888"/>
      <c r="D10" s="887" t="s">
        <v>17</v>
      </c>
      <c r="E10" s="888"/>
      <c r="F10" s="893" t="s">
        <v>23</v>
      </c>
      <c r="G10" s="894"/>
      <c r="H10" s="894"/>
      <c r="I10" s="894"/>
      <c r="J10" s="895"/>
      <c r="K10" s="1130" t="s">
        <v>1333</v>
      </c>
      <c r="L10" s="891" t="s">
        <v>24</v>
      </c>
      <c r="M10" s="867"/>
      <c r="N10" s="393">
        <v>130</v>
      </c>
      <c r="O10" s="444">
        <v>1</v>
      </c>
      <c r="P10" s="454">
        <v>8200</v>
      </c>
      <c r="Q10" s="656" t="s">
        <v>25</v>
      </c>
      <c r="R10" s="658"/>
    </row>
    <row r="11" spans="1:18" ht="19.95" customHeight="1">
      <c r="A11" s="616"/>
      <c r="B11" s="887" t="s">
        <v>20</v>
      </c>
      <c r="C11" s="888"/>
      <c r="D11" s="887" t="s">
        <v>11</v>
      </c>
      <c r="E11" s="888"/>
      <c r="F11" s="893" t="s">
        <v>26</v>
      </c>
      <c r="G11" s="894"/>
      <c r="H11" s="894"/>
      <c r="I11" s="894"/>
      <c r="J11" s="895"/>
      <c r="K11" s="1132"/>
      <c r="L11" s="892"/>
      <c r="M11" s="869"/>
      <c r="N11" s="389"/>
      <c r="O11" s="445"/>
      <c r="P11" s="455"/>
      <c r="Q11" s="634"/>
      <c r="R11" s="636"/>
    </row>
    <row r="12" spans="1:18" ht="19.95" customHeight="1">
      <c r="A12" s="614" t="s">
        <v>27</v>
      </c>
      <c r="B12" s="700" t="s">
        <v>28</v>
      </c>
      <c r="C12" s="701"/>
      <c r="D12" s="700" t="s">
        <v>29</v>
      </c>
      <c r="E12" s="701"/>
      <c r="F12" s="662" t="s">
        <v>815</v>
      </c>
      <c r="G12" s="663"/>
      <c r="H12" s="663"/>
      <c r="I12" s="663"/>
      <c r="J12" s="750"/>
      <c r="K12" s="911"/>
      <c r="L12" s="702" t="s">
        <v>30</v>
      </c>
      <c r="M12" s="913"/>
      <c r="N12" s="345">
        <v>130</v>
      </c>
      <c r="O12" s="446">
        <v>1</v>
      </c>
      <c r="P12" s="456">
        <v>2100</v>
      </c>
      <c r="Q12" s="656" t="s">
        <v>31</v>
      </c>
      <c r="R12" s="658"/>
    </row>
    <row r="13" spans="1:18" ht="19.95" customHeight="1">
      <c r="A13" s="616"/>
      <c r="B13" s="700" t="s">
        <v>32</v>
      </c>
      <c r="C13" s="701"/>
      <c r="D13" s="700" t="s">
        <v>29</v>
      </c>
      <c r="E13" s="701"/>
      <c r="F13" s="662" t="s">
        <v>33</v>
      </c>
      <c r="G13" s="663"/>
      <c r="H13" s="663"/>
      <c r="I13" s="663"/>
      <c r="J13" s="750"/>
      <c r="K13" s="912"/>
      <c r="L13" s="691"/>
      <c r="M13" s="914"/>
      <c r="N13" s="340"/>
      <c r="O13" s="447"/>
      <c r="P13" s="457"/>
      <c r="Q13" s="634"/>
      <c r="R13" s="636"/>
    </row>
    <row r="14" spans="1:18" ht="19.95" customHeight="1">
      <c r="A14" s="614" t="s">
        <v>34</v>
      </c>
      <c r="B14" s="887" t="s">
        <v>35</v>
      </c>
      <c r="C14" s="888"/>
      <c r="D14" s="887" t="s">
        <v>11</v>
      </c>
      <c r="E14" s="888"/>
      <c r="F14" s="893" t="s">
        <v>118</v>
      </c>
      <c r="G14" s="894"/>
      <c r="H14" s="894"/>
      <c r="I14" s="894"/>
      <c r="J14" s="895"/>
      <c r="K14" s="911"/>
      <c r="L14" s="702" t="s">
        <v>37</v>
      </c>
      <c r="M14" s="913"/>
      <c r="N14" s="345">
        <v>130</v>
      </c>
      <c r="O14" s="446">
        <v>1</v>
      </c>
      <c r="P14" s="456">
        <v>3100</v>
      </c>
      <c r="Q14" s="656" t="s">
        <v>38</v>
      </c>
      <c r="R14" s="658"/>
    </row>
    <row r="15" spans="1:18" ht="19.95" customHeight="1">
      <c r="A15" s="616"/>
      <c r="B15" s="887" t="s">
        <v>39</v>
      </c>
      <c r="C15" s="888"/>
      <c r="D15" s="887" t="s">
        <v>11</v>
      </c>
      <c r="E15" s="888"/>
      <c r="F15" s="893" t="s">
        <v>40</v>
      </c>
      <c r="G15" s="894"/>
      <c r="H15" s="894"/>
      <c r="I15" s="894"/>
      <c r="J15" s="895"/>
      <c r="K15" s="912"/>
      <c r="L15" s="691"/>
      <c r="M15" s="914"/>
      <c r="N15" s="340"/>
      <c r="O15" s="447"/>
      <c r="P15" s="457"/>
      <c r="Q15" s="634"/>
      <c r="R15" s="636"/>
    </row>
    <row r="16" spans="1:18" ht="19.95" customHeight="1">
      <c r="A16" s="57" t="s">
        <v>41</v>
      </c>
      <c r="B16" s="618" t="s">
        <v>42</v>
      </c>
      <c r="C16" s="619"/>
      <c r="D16" s="618" t="s">
        <v>43</v>
      </c>
      <c r="E16" s="619"/>
      <c r="F16" s="858" t="s">
        <v>44</v>
      </c>
      <c r="G16" s="859"/>
      <c r="H16" s="859"/>
      <c r="I16" s="859"/>
      <c r="J16" s="860"/>
      <c r="K16" s="291" t="s">
        <v>1336</v>
      </c>
      <c r="L16" s="545" t="s">
        <v>1111</v>
      </c>
      <c r="M16" s="97" t="s">
        <v>425</v>
      </c>
      <c r="N16" s="341">
        <v>130</v>
      </c>
      <c r="O16" s="448">
        <v>1</v>
      </c>
      <c r="P16" s="458">
        <v>7200</v>
      </c>
      <c r="Q16" s="652" t="s">
        <v>46</v>
      </c>
      <c r="R16" s="624"/>
    </row>
    <row r="17" spans="1:19" ht="19.95" customHeight="1">
      <c r="A17" s="57" t="s">
        <v>47</v>
      </c>
      <c r="B17" s="618" t="s">
        <v>48</v>
      </c>
      <c r="C17" s="619"/>
      <c r="D17" s="618" t="s">
        <v>49</v>
      </c>
      <c r="E17" s="619"/>
      <c r="F17" s="858" t="s">
        <v>50</v>
      </c>
      <c r="G17" s="859"/>
      <c r="H17" s="859"/>
      <c r="I17" s="859"/>
      <c r="J17" s="860"/>
      <c r="K17" s="32" t="s">
        <v>1337</v>
      </c>
      <c r="L17" s="545" t="s">
        <v>1112</v>
      </c>
      <c r="M17" s="97" t="s">
        <v>425</v>
      </c>
      <c r="N17" s="341">
        <v>130</v>
      </c>
      <c r="O17" s="448">
        <v>1</v>
      </c>
      <c r="P17" s="458">
        <v>5100</v>
      </c>
      <c r="Q17" s="652" t="s">
        <v>51</v>
      </c>
      <c r="R17" s="624"/>
    </row>
    <row r="18" spans="1:19" ht="19.95" customHeight="1">
      <c r="A18" s="57" t="s">
        <v>52</v>
      </c>
      <c r="B18" s="618" t="s">
        <v>48</v>
      </c>
      <c r="C18" s="619"/>
      <c r="D18" s="618" t="s">
        <v>53</v>
      </c>
      <c r="E18" s="619"/>
      <c r="F18" s="858" t="s">
        <v>54</v>
      </c>
      <c r="G18" s="859"/>
      <c r="H18" s="859"/>
      <c r="I18" s="859"/>
      <c r="J18" s="860"/>
      <c r="K18" s="32" t="s">
        <v>1338</v>
      </c>
      <c r="L18" s="3" t="s">
        <v>55</v>
      </c>
      <c r="M18" s="97" t="s">
        <v>436</v>
      </c>
      <c r="N18" s="341">
        <v>130</v>
      </c>
      <c r="O18" s="448">
        <v>2</v>
      </c>
      <c r="P18" s="458">
        <v>8200</v>
      </c>
      <c r="Q18" s="652" t="s">
        <v>56</v>
      </c>
      <c r="R18" s="624"/>
    </row>
    <row r="19" spans="1:19" ht="19.95" customHeight="1">
      <c r="A19" s="57" t="s">
        <v>57</v>
      </c>
      <c r="B19" s="618" t="s">
        <v>58</v>
      </c>
      <c r="C19" s="619"/>
      <c r="D19" s="618" t="s">
        <v>43</v>
      </c>
      <c r="E19" s="619"/>
      <c r="F19" s="858" t="s">
        <v>59</v>
      </c>
      <c r="G19" s="859"/>
      <c r="H19" s="859"/>
      <c r="I19" s="859"/>
      <c r="J19" s="860"/>
      <c r="K19" s="32" t="s">
        <v>1252</v>
      </c>
      <c r="L19" s="9"/>
      <c r="M19" s="216" t="s">
        <v>425</v>
      </c>
      <c r="N19" s="216">
        <v>130</v>
      </c>
      <c r="O19" s="327">
        <v>1</v>
      </c>
      <c r="P19" s="459">
        <v>20200</v>
      </c>
      <c r="Q19" s="652" t="s">
        <v>60</v>
      </c>
      <c r="R19" s="624"/>
    </row>
    <row r="20" spans="1:19" ht="19.95" customHeight="1" thickBot="1">
      <c r="A20" s="58" t="s">
        <v>61</v>
      </c>
      <c r="B20" s="880" t="s">
        <v>62</v>
      </c>
      <c r="C20" s="881"/>
      <c r="D20" s="880" t="s">
        <v>63</v>
      </c>
      <c r="E20" s="881"/>
      <c r="F20" s="882" t="s">
        <v>64</v>
      </c>
      <c r="G20" s="883"/>
      <c r="H20" s="883"/>
      <c r="I20" s="883"/>
      <c r="J20" s="884"/>
      <c r="K20" s="48"/>
      <c r="L20" s="12"/>
      <c r="M20" s="217" t="s">
        <v>425</v>
      </c>
      <c r="N20" s="217">
        <v>130</v>
      </c>
      <c r="O20" s="449">
        <v>2</v>
      </c>
      <c r="P20" s="460">
        <v>50400</v>
      </c>
      <c r="Q20" s="885" t="s">
        <v>65</v>
      </c>
      <c r="R20" s="886"/>
    </row>
    <row r="21" spans="1:19" ht="19.95" customHeight="1" thickTop="1">
      <c r="A21" s="729" t="s">
        <v>66</v>
      </c>
      <c r="B21" s="1225" t="s">
        <v>10</v>
      </c>
      <c r="C21" s="1226"/>
      <c r="D21" s="1225" t="s">
        <v>43</v>
      </c>
      <c r="E21" s="1226"/>
      <c r="F21" s="1227" t="s">
        <v>67</v>
      </c>
      <c r="G21" s="1228"/>
      <c r="H21" s="1228"/>
      <c r="I21" s="1228"/>
      <c r="J21" s="1229"/>
      <c r="K21" s="654" t="s">
        <v>1339</v>
      </c>
      <c r="L21" s="4"/>
      <c r="M21" s="1176"/>
      <c r="N21" s="390">
        <v>130</v>
      </c>
      <c r="O21" s="450">
        <v>1</v>
      </c>
      <c r="P21" s="461">
        <v>3100</v>
      </c>
      <c r="Q21" s="732" t="s">
        <v>144</v>
      </c>
      <c r="R21" s="1230"/>
      <c r="S21" s="541"/>
    </row>
    <row r="22" spans="1:19" ht="19.95" customHeight="1">
      <c r="A22" s="616"/>
      <c r="B22" s="887" t="s">
        <v>20</v>
      </c>
      <c r="C22" s="888"/>
      <c r="D22" s="887" t="s">
        <v>49</v>
      </c>
      <c r="E22" s="888"/>
      <c r="F22" s="893" t="s">
        <v>69</v>
      </c>
      <c r="G22" s="894"/>
      <c r="H22" s="894"/>
      <c r="I22" s="894"/>
      <c r="J22" s="895"/>
      <c r="K22" s="655"/>
      <c r="L22" s="10"/>
      <c r="M22" s="869"/>
      <c r="N22" s="389"/>
      <c r="O22" s="445"/>
      <c r="P22" s="455"/>
      <c r="Q22" s="1231"/>
      <c r="R22" s="1232"/>
      <c r="S22" s="541"/>
    </row>
    <row r="23" spans="1:19" ht="19.95" customHeight="1">
      <c r="A23" s="57" t="s">
        <v>70</v>
      </c>
      <c r="B23" s="618" t="s">
        <v>71</v>
      </c>
      <c r="C23" s="619"/>
      <c r="D23" s="618" t="s">
        <v>72</v>
      </c>
      <c r="E23" s="619"/>
      <c r="F23" s="858" t="s">
        <v>73</v>
      </c>
      <c r="G23" s="859"/>
      <c r="H23" s="859"/>
      <c r="I23" s="859"/>
      <c r="J23" s="860"/>
      <c r="K23" s="32"/>
      <c r="L23" s="9"/>
      <c r="M23" s="97" t="s">
        <v>436</v>
      </c>
      <c r="N23" s="341">
        <v>130</v>
      </c>
      <c r="O23" s="448">
        <v>1</v>
      </c>
      <c r="P23" s="458">
        <v>50200</v>
      </c>
      <c r="Q23" s="652" t="s">
        <v>74</v>
      </c>
      <c r="R23" s="624"/>
    </row>
    <row r="24" spans="1:19" ht="19.95" customHeight="1">
      <c r="A24" s="57" t="s">
        <v>75</v>
      </c>
      <c r="B24" s="618" t="s">
        <v>62</v>
      </c>
      <c r="C24" s="619"/>
      <c r="D24" s="618" t="s">
        <v>63</v>
      </c>
      <c r="E24" s="619"/>
      <c r="F24" s="858" t="s">
        <v>76</v>
      </c>
      <c r="G24" s="859"/>
      <c r="H24" s="859"/>
      <c r="I24" s="859"/>
      <c r="J24" s="860"/>
      <c r="K24" s="547" t="s">
        <v>1340</v>
      </c>
      <c r="L24" s="9"/>
      <c r="M24" s="97" t="s">
        <v>425</v>
      </c>
      <c r="N24" s="341">
        <v>130</v>
      </c>
      <c r="O24" s="448">
        <v>2</v>
      </c>
      <c r="P24" s="458">
        <v>20400</v>
      </c>
      <c r="Q24" s="652" t="s">
        <v>77</v>
      </c>
      <c r="R24" s="624"/>
    </row>
    <row r="25" spans="1:19" ht="19.95" customHeight="1">
      <c r="A25" s="614" t="s">
        <v>78</v>
      </c>
      <c r="B25" s="700" t="s">
        <v>79</v>
      </c>
      <c r="C25" s="701"/>
      <c r="D25" s="700" t="s">
        <v>14</v>
      </c>
      <c r="E25" s="701"/>
      <c r="F25" s="662" t="s">
        <v>80</v>
      </c>
      <c r="G25" s="663"/>
      <c r="H25" s="663"/>
      <c r="I25" s="663"/>
      <c r="J25" s="750"/>
      <c r="K25" s="1146" t="s">
        <v>1341</v>
      </c>
      <c r="L25" s="11"/>
      <c r="M25" s="867"/>
      <c r="N25" s="393">
        <v>130</v>
      </c>
      <c r="O25" s="444">
        <v>2</v>
      </c>
      <c r="P25" s="454">
        <v>4200</v>
      </c>
      <c r="Q25" s="870" t="s">
        <v>857</v>
      </c>
      <c r="R25" s="658"/>
    </row>
    <row r="26" spans="1:19" ht="19.95" customHeight="1">
      <c r="A26" s="615"/>
      <c r="B26" s="700" t="s">
        <v>81</v>
      </c>
      <c r="C26" s="701"/>
      <c r="D26" s="700" t="s">
        <v>14</v>
      </c>
      <c r="E26" s="701"/>
      <c r="F26" s="662" t="s">
        <v>82</v>
      </c>
      <c r="G26" s="663"/>
      <c r="H26" s="663"/>
      <c r="I26" s="663"/>
      <c r="J26" s="750"/>
      <c r="K26" s="1147"/>
      <c r="L26" s="5"/>
      <c r="M26" s="868"/>
      <c r="N26" s="388"/>
      <c r="O26" s="451"/>
      <c r="P26" s="462"/>
      <c r="Q26" s="631"/>
      <c r="R26" s="633"/>
    </row>
    <row r="27" spans="1:19" ht="19.95" customHeight="1">
      <c r="A27" s="616"/>
      <c r="B27" s="700" t="s">
        <v>83</v>
      </c>
      <c r="C27" s="701"/>
      <c r="D27" s="700" t="s">
        <v>11</v>
      </c>
      <c r="E27" s="701"/>
      <c r="F27" s="662" t="s">
        <v>84</v>
      </c>
      <c r="G27" s="663"/>
      <c r="H27" s="663"/>
      <c r="I27" s="663"/>
      <c r="J27" s="750"/>
      <c r="K27" s="1148"/>
      <c r="L27" s="10"/>
      <c r="M27" s="869"/>
      <c r="N27" s="389"/>
      <c r="O27" s="445"/>
      <c r="P27" s="455"/>
      <c r="Q27" s="634"/>
      <c r="R27" s="636"/>
    </row>
    <row r="28" spans="1:19" ht="19.95" customHeight="1">
      <c r="A28" s="614" t="s">
        <v>85</v>
      </c>
      <c r="B28" s="700" t="s">
        <v>86</v>
      </c>
      <c r="C28" s="701"/>
      <c r="D28" s="700" t="s">
        <v>11</v>
      </c>
      <c r="E28" s="701"/>
      <c r="F28" s="662" t="s">
        <v>87</v>
      </c>
      <c r="G28" s="663"/>
      <c r="H28" s="663"/>
      <c r="I28" s="663"/>
      <c r="J28" s="750"/>
      <c r="K28" s="1131" t="s">
        <v>1342</v>
      </c>
      <c r="L28" s="891" t="s">
        <v>88</v>
      </c>
      <c r="M28" s="867"/>
      <c r="N28" s="393">
        <v>130</v>
      </c>
      <c r="O28" s="444">
        <v>2</v>
      </c>
      <c r="P28" s="454">
        <v>1200</v>
      </c>
      <c r="Q28" s="656" t="s">
        <v>89</v>
      </c>
      <c r="R28" s="658"/>
    </row>
    <row r="29" spans="1:19" ht="19.95" customHeight="1">
      <c r="A29" s="615"/>
      <c r="B29" s="700" t="s">
        <v>90</v>
      </c>
      <c r="C29" s="701"/>
      <c r="D29" s="700" t="s">
        <v>11</v>
      </c>
      <c r="E29" s="701"/>
      <c r="F29" s="662" t="s">
        <v>91</v>
      </c>
      <c r="G29" s="663"/>
      <c r="H29" s="663"/>
      <c r="I29" s="663"/>
      <c r="J29" s="750"/>
      <c r="K29" s="1131"/>
      <c r="L29" s="896"/>
      <c r="M29" s="868"/>
      <c r="N29" s="388"/>
      <c r="O29" s="451"/>
      <c r="P29" s="462"/>
      <c r="Q29" s="631"/>
      <c r="R29" s="633"/>
    </row>
    <row r="30" spans="1:19" ht="19.95" customHeight="1">
      <c r="A30" s="616"/>
      <c r="B30" s="700" t="s">
        <v>1316</v>
      </c>
      <c r="C30" s="701"/>
      <c r="D30" s="700" t="s">
        <v>93</v>
      </c>
      <c r="E30" s="701"/>
      <c r="F30" s="662" t="s">
        <v>94</v>
      </c>
      <c r="G30" s="663"/>
      <c r="H30" s="663"/>
      <c r="I30" s="663"/>
      <c r="J30" s="750"/>
      <c r="K30" s="1132"/>
      <c r="L30" s="892"/>
      <c r="M30" s="869"/>
      <c r="N30" s="389"/>
      <c r="O30" s="445"/>
      <c r="P30" s="455"/>
      <c r="Q30" s="634"/>
      <c r="R30" s="636"/>
    </row>
    <row r="31" spans="1:19" ht="30" customHeight="1">
      <c r="A31" s="59" t="s">
        <v>95</v>
      </c>
      <c r="B31" s="650" t="s">
        <v>58</v>
      </c>
      <c r="C31" s="650"/>
      <c r="D31" s="650" t="s">
        <v>49</v>
      </c>
      <c r="E31" s="650"/>
      <c r="F31" s="858" t="s">
        <v>96</v>
      </c>
      <c r="G31" s="859"/>
      <c r="H31" s="859"/>
      <c r="I31" s="859"/>
      <c r="J31" s="860"/>
      <c r="K31" s="548" t="s">
        <v>1344</v>
      </c>
      <c r="L31" s="549" t="s">
        <v>1343</v>
      </c>
      <c r="M31" s="97" t="s">
        <v>704</v>
      </c>
      <c r="N31" s="341">
        <v>130</v>
      </c>
      <c r="O31" s="448">
        <v>1</v>
      </c>
      <c r="P31" s="458">
        <v>1050</v>
      </c>
      <c r="Q31" s="652" t="s">
        <v>98</v>
      </c>
      <c r="R31" s="624"/>
    </row>
    <row r="32" spans="1:19" ht="6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</row>
    <row r="33" spans="1:32" s="6" customFormat="1" ht="19.2" customHeight="1">
      <c r="A33" s="40" t="s">
        <v>289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8" spans="1:32" ht="18.600000000000001" thickBot="1"/>
    <row r="39" spans="1:32">
      <c r="U39" s="832" t="s">
        <v>1356</v>
      </c>
      <c r="V39" s="644" t="s">
        <v>1357</v>
      </c>
      <c r="W39" s="644"/>
      <c r="X39" s="644" t="s">
        <v>1358</v>
      </c>
      <c r="Y39" s="644"/>
      <c r="Z39" s="644"/>
      <c r="AA39" s="644"/>
      <c r="AB39" s="644"/>
      <c r="AC39" s="644"/>
      <c r="AD39" s="553" t="s">
        <v>1359</v>
      </c>
      <c r="AE39" s="553" t="s">
        <v>1360</v>
      </c>
      <c r="AF39" s="554" t="s">
        <v>1361</v>
      </c>
    </row>
    <row r="40" spans="1:32">
      <c r="U40" s="833"/>
      <c r="V40" s="645"/>
      <c r="W40" s="646"/>
      <c r="X40" s="646"/>
      <c r="Y40" s="646"/>
      <c r="Z40" s="646"/>
      <c r="AA40" s="646"/>
      <c r="AB40" s="646"/>
      <c r="AC40" s="646"/>
      <c r="AD40" s="555"/>
      <c r="AE40" s="555"/>
      <c r="AF40" s="556"/>
    </row>
    <row r="41" spans="1:32">
      <c r="U41" s="833"/>
      <c r="V41" s="645"/>
      <c r="W41" s="646"/>
      <c r="X41" s="646"/>
      <c r="Y41" s="646"/>
      <c r="Z41" s="646"/>
      <c r="AA41" s="646"/>
      <c r="AB41" s="646"/>
      <c r="AC41" s="646"/>
      <c r="AD41" s="555"/>
      <c r="AE41" s="555"/>
      <c r="AF41" s="556"/>
    </row>
    <row r="42" spans="1:32" ht="18.600000000000001" thickBot="1">
      <c r="U42" s="834"/>
      <c r="V42" s="647" t="s">
        <v>1396</v>
      </c>
      <c r="W42" s="617"/>
      <c r="X42" s="617" t="s">
        <v>1363</v>
      </c>
      <c r="Y42" s="617"/>
      <c r="Z42" s="617"/>
      <c r="AA42" s="617"/>
      <c r="AB42" s="617"/>
      <c r="AC42" s="617"/>
      <c r="AD42" s="557" t="s">
        <v>1364</v>
      </c>
      <c r="AE42" s="557" t="s">
        <v>1365</v>
      </c>
      <c r="AF42" s="558" t="s">
        <v>1366</v>
      </c>
    </row>
    <row r="43" spans="1:32" ht="17.25" customHeight="1"/>
    <row r="44" spans="1:32" ht="17.25" customHeight="1"/>
    <row r="45" spans="1:32" ht="3" customHeight="1"/>
    <row r="46" spans="1:32" ht="13.2" customHeight="1"/>
    <row r="47" spans="1:32" ht="13.2" customHeight="1"/>
    <row r="81" ht="3" customHeight="1"/>
    <row r="82" ht="13.2" customHeight="1"/>
    <row r="83" ht="13.2" customHeight="1"/>
  </sheetData>
  <mergeCells count="143">
    <mergeCell ref="F7:J7"/>
    <mergeCell ref="A8:A9"/>
    <mergeCell ref="B8:C8"/>
    <mergeCell ref="D8:E8"/>
    <mergeCell ref="F8:J8"/>
    <mergeCell ref="K8:K9"/>
    <mergeCell ref="Q4:R5"/>
    <mergeCell ref="A6:A7"/>
    <mergeCell ref="B6:C6"/>
    <mergeCell ref="D6:E6"/>
    <mergeCell ref="F6:J6"/>
    <mergeCell ref="K6:K7"/>
    <mergeCell ref="L6:L7"/>
    <mergeCell ref="Q6:R7"/>
    <mergeCell ref="B7:C7"/>
    <mergeCell ref="D7:E7"/>
    <mergeCell ref="A4:A5"/>
    <mergeCell ref="B4:C5"/>
    <mergeCell ref="D4:E5"/>
    <mergeCell ref="F4:J5"/>
    <mergeCell ref="K4:K5"/>
    <mergeCell ref="L4:L5"/>
    <mergeCell ref="L8:L9"/>
    <mergeCell ref="Q8:R9"/>
    <mergeCell ref="B9:C9"/>
    <mergeCell ref="D9:E9"/>
    <mergeCell ref="F9:J9"/>
    <mergeCell ref="A10:A11"/>
    <mergeCell ref="B10:C10"/>
    <mergeCell ref="D10:E10"/>
    <mergeCell ref="F10:J10"/>
    <mergeCell ref="K10:K11"/>
    <mergeCell ref="L10:L11"/>
    <mergeCell ref="B11:C11"/>
    <mergeCell ref="D11:E11"/>
    <mergeCell ref="F11:J11"/>
    <mergeCell ref="A12:A13"/>
    <mergeCell ref="B12:C12"/>
    <mergeCell ref="D12:E12"/>
    <mergeCell ref="F12:J12"/>
    <mergeCell ref="K12:K13"/>
    <mergeCell ref="L12:L13"/>
    <mergeCell ref="B13:C13"/>
    <mergeCell ref="D13:E13"/>
    <mergeCell ref="F13:J13"/>
    <mergeCell ref="A14:A15"/>
    <mergeCell ref="B14:C14"/>
    <mergeCell ref="D14:E14"/>
    <mergeCell ref="F14:J14"/>
    <mergeCell ref="K14:K15"/>
    <mergeCell ref="L14:L15"/>
    <mergeCell ref="Q14:R15"/>
    <mergeCell ref="B15:C15"/>
    <mergeCell ref="D15:E15"/>
    <mergeCell ref="F15:J15"/>
    <mergeCell ref="M14:M15"/>
    <mergeCell ref="K21:K22"/>
    <mergeCell ref="Q21:R22"/>
    <mergeCell ref="B22:C22"/>
    <mergeCell ref="D22:E22"/>
    <mergeCell ref="F22:J22"/>
    <mergeCell ref="B16:C16"/>
    <mergeCell ref="D16:E16"/>
    <mergeCell ref="F16:J16"/>
    <mergeCell ref="Q16:R16"/>
    <mergeCell ref="B19:C19"/>
    <mergeCell ref="D19:E19"/>
    <mergeCell ref="F19:J19"/>
    <mergeCell ref="Q19:R19"/>
    <mergeCell ref="B20:C20"/>
    <mergeCell ref="D20:E20"/>
    <mergeCell ref="F20:J20"/>
    <mergeCell ref="Q20:R20"/>
    <mergeCell ref="B17:C17"/>
    <mergeCell ref="D17:E17"/>
    <mergeCell ref="F17:J17"/>
    <mergeCell ref="Q17:R17"/>
    <mergeCell ref="B18:C18"/>
    <mergeCell ref="D18:E18"/>
    <mergeCell ref="F18:J18"/>
    <mergeCell ref="A21:A22"/>
    <mergeCell ref="B21:C21"/>
    <mergeCell ref="D21:E21"/>
    <mergeCell ref="F21:J21"/>
    <mergeCell ref="B31:C31"/>
    <mergeCell ref="D31:E31"/>
    <mergeCell ref="F31:J31"/>
    <mergeCell ref="K25:K27"/>
    <mergeCell ref="Q25:R27"/>
    <mergeCell ref="B26:C26"/>
    <mergeCell ref="D26:E26"/>
    <mergeCell ref="F26:J26"/>
    <mergeCell ref="B27:C27"/>
    <mergeCell ref="B29:C29"/>
    <mergeCell ref="D29:E29"/>
    <mergeCell ref="F29:J29"/>
    <mergeCell ref="B30:C30"/>
    <mergeCell ref="D30:E30"/>
    <mergeCell ref="F30:J30"/>
    <mergeCell ref="B28:C28"/>
    <mergeCell ref="D28:E28"/>
    <mergeCell ref="F28:J28"/>
    <mergeCell ref="D27:E27"/>
    <mergeCell ref="F27:J27"/>
    <mergeCell ref="A25:A27"/>
    <mergeCell ref="B25:C25"/>
    <mergeCell ref="D25:E25"/>
    <mergeCell ref="F25:J25"/>
    <mergeCell ref="A28:A30"/>
    <mergeCell ref="B23:C23"/>
    <mergeCell ref="D23:E23"/>
    <mergeCell ref="F23:J23"/>
    <mergeCell ref="Q23:R23"/>
    <mergeCell ref="B24:C24"/>
    <mergeCell ref="D24:E24"/>
    <mergeCell ref="F24:J24"/>
    <mergeCell ref="Q24:R24"/>
    <mergeCell ref="K28:K30"/>
    <mergeCell ref="L28:L30"/>
    <mergeCell ref="Q28:R30"/>
    <mergeCell ref="N4:N5"/>
    <mergeCell ref="O4:O5"/>
    <mergeCell ref="P4:P5"/>
    <mergeCell ref="M8:M9"/>
    <mergeCell ref="M6:M7"/>
    <mergeCell ref="M28:M30"/>
    <mergeCell ref="M25:M27"/>
    <mergeCell ref="M21:M22"/>
    <mergeCell ref="Q31:R31"/>
    <mergeCell ref="Q18:R18"/>
    <mergeCell ref="Q10:R11"/>
    <mergeCell ref="Q12:R13"/>
    <mergeCell ref="M12:M13"/>
    <mergeCell ref="M10:M11"/>
    <mergeCell ref="U39:U42"/>
    <mergeCell ref="V39:W39"/>
    <mergeCell ref="X39:AC39"/>
    <mergeCell ref="V40:W40"/>
    <mergeCell ref="X40:AC40"/>
    <mergeCell ref="V41:W41"/>
    <mergeCell ref="X41:AC41"/>
    <mergeCell ref="V42:W42"/>
    <mergeCell ref="X42:AC42"/>
  </mergeCells>
  <phoneticPr fontId="11"/>
  <printOptions horizontalCentered="1"/>
  <pageMargins left="0.11811023622047245" right="0.19685039370078741" top="0.31496062992125984" bottom="0.15748031496062992" header="0.31496062992125984" footer="0.15748031496062992"/>
  <pageSetup paperSize="9" scale="79" orientation="landscape" horizontalDpi="300" verticalDpi="30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9C2D-E141-4F73-9039-76C91130B276}">
  <sheetPr>
    <pageSetUpPr fitToPage="1"/>
  </sheetPr>
  <dimension ref="A1:AI268"/>
  <sheetViews>
    <sheetView view="pageBreakPreview" topLeftCell="A37" zoomScale="85" zoomScaleNormal="100" zoomScaleSheetLayoutView="85" workbookViewId="0">
      <selection activeCell="J2" sqref="J2"/>
    </sheetView>
  </sheetViews>
  <sheetFormatPr defaultRowHeight="18"/>
  <cols>
    <col min="1" max="1" width="6.59765625" customWidth="1"/>
    <col min="2" max="4" width="7.59765625" customWidth="1"/>
    <col min="5" max="5" width="4.19921875" customWidth="1"/>
    <col min="6" max="8" width="7.59765625" customWidth="1"/>
    <col min="9" max="9" width="3.8984375" customWidth="1"/>
    <col min="10" max="10" width="22.69921875" customWidth="1"/>
    <col min="11" max="11" width="29.59765625" customWidth="1"/>
    <col min="12" max="12" width="7.59765625" customWidth="1"/>
    <col min="13" max="15" width="7" customWidth="1"/>
    <col min="16" max="16" width="20.09765625" customWidth="1"/>
    <col min="20" max="20" width="6.59765625" customWidth="1"/>
    <col min="21" max="23" width="7.59765625" customWidth="1"/>
    <col min="24" max="24" width="4.19921875" customWidth="1"/>
    <col min="25" max="27" width="7.59765625" customWidth="1"/>
    <col min="28" max="28" width="3.8984375" customWidth="1"/>
    <col min="29" max="29" width="22.69921875" customWidth="1"/>
    <col min="30" max="30" width="29.59765625" customWidth="1"/>
    <col min="31" max="31" width="7.59765625" customWidth="1"/>
    <col min="32" max="34" width="7" customWidth="1"/>
    <col min="35" max="35" width="20.09765625" customWidth="1"/>
  </cols>
  <sheetData>
    <row r="1" spans="1:16" ht="18.600000000000001" customHeight="1">
      <c r="A1" s="262" t="s">
        <v>1148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9"/>
      <c r="N1" s="564"/>
      <c r="O1" s="45"/>
      <c r="P1" s="39"/>
    </row>
    <row r="2" spans="1:16" ht="18.600000000000001" customHeight="1">
      <c r="A2" s="243" t="s">
        <v>1121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465"/>
      <c r="M2" s="399"/>
      <c r="N2" s="399"/>
      <c r="O2" s="45"/>
      <c r="P2" s="39"/>
    </row>
    <row r="3" spans="1:16" ht="15" customHeight="1">
      <c r="A3" s="49" t="s">
        <v>366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401"/>
      <c r="N3" s="401"/>
      <c r="O3" s="563"/>
      <c r="P3" s="39" t="s">
        <v>983</v>
      </c>
    </row>
    <row r="4" spans="1:16" ht="15" customHeight="1">
      <c r="A4" s="710" t="s">
        <v>2</v>
      </c>
      <c r="B4" s="712" t="s">
        <v>3</v>
      </c>
      <c r="C4" s="712"/>
      <c r="D4" s="650" t="s">
        <v>4</v>
      </c>
      <c r="E4" s="650"/>
      <c r="F4" s="712" t="s">
        <v>5</v>
      </c>
      <c r="G4" s="712"/>
      <c r="H4" s="712"/>
      <c r="I4" s="712"/>
      <c r="J4" s="713" t="s">
        <v>491</v>
      </c>
      <c r="K4" s="715" t="s">
        <v>7</v>
      </c>
      <c r="L4" s="185" t="s">
        <v>1157</v>
      </c>
      <c r="M4" s="696" t="s">
        <v>1095</v>
      </c>
      <c r="N4" s="716" t="s">
        <v>1096</v>
      </c>
      <c r="O4" s="715" t="s">
        <v>1097</v>
      </c>
      <c r="P4" s="715" t="s">
        <v>8</v>
      </c>
    </row>
    <row r="5" spans="1:16" ht="15" customHeight="1">
      <c r="A5" s="711"/>
      <c r="B5" s="712"/>
      <c r="C5" s="712"/>
      <c r="D5" s="650"/>
      <c r="E5" s="650"/>
      <c r="F5" s="712"/>
      <c r="G5" s="712"/>
      <c r="H5" s="712"/>
      <c r="I5" s="712"/>
      <c r="J5" s="714"/>
      <c r="K5" s="715"/>
      <c r="L5" s="186" t="s">
        <v>410</v>
      </c>
      <c r="M5" s="706"/>
      <c r="N5" s="717"/>
      <c r="O5" s="715"/>
      <c r="P5" s="715"/>
    </row>
    <row r="6" spans="1:16" ht="15" customHeight="1">
      <c r="A6" s="614" t="s">
        <v>106</v>
      </c>
      <c r="B6" s="661" t="s">
        <v>10</v>
      </c>
      <c r="C6" s="661"/>
      <c r="D6" s="661" t="s">
        <v>43</v>
      </c>
      <c r="E6" s="661"/>
      <c r="F6" s="659" t="s">
        <v>810</v>
      </c>
      <c r="G6" s="659"/>
      <c r="H6" s="659"/>
      <c r="I6" s="659"/>
      <c r="J6" s="685" t="s">
        <v>984</v>
      </c>
      <c r="K6" s="687"/>
      <c r="L6" s="88"/>
      <c r="M6" s="8">
        <v>140</v>
      </c>
      <c r="N6" s="8">
        <v>1</v>
      </c>
      <c r="O6" s="124">
        <v>500</v>
      </c>
      <c r="P6" s="660" t="s">
        <v>1144</v>
      </c>
    </row>
    <row r="7" spans="1:16" ht="15" customHeight="1">
      <c r="A7" s="616"/>
      <c r="B7" s="700" t="s">
        <v>13</v>
      </c>
      <c r="C7" s="701"/>
      <c r="D7" s="700" t="s">
        <v>14</v>
      </c>
      <c r="E7" s="701"/>
      <c r="F7" s="659" t="s">
        <v>811</v>
      </c>
      <c r="G7" s="659"/>
      <c r="H7" s="659"/>
      <c r="I7" s="659"/>
      <c r="J7" s="686"/>
      <c r="K7" s="726"/>
      <c r="L7" s="88"/>
      <c r="M7" s="8"/>
      <c r="N7" s="8"/>
      <c r="O7" s="124"/>
      <c r="P7" s="660"/>
    </row>
    <row r="8" spans="1:16" ht="15" customHeight="1">
      <c r="A8" s="614" t="s">
        <v>233</v>
      </c>
      <c r="B8" s="661" t="s">
        <v>10</v>
      </c>
      <c r="C8" s="661"/>
      <c r="D8" s="638" t="s">
        <v>43</v>
      </c>
      <c r="E8" s="639"/>
      <c r="F8" s="653" t="s">
        <v>823</v>
      </c>
      <c r="G8" s="653"/>
      <c r="H8" s="653"/>
      <c r="I8" s="653"/>
      <c r="J8" s="625" t="s">
        <v>1397</v>
      </c>
      <c r="K8" s="703"/>
      <c r="L8" s="88"/>
      <c r="M8" s="8">
        <v>140</v>
      </c>
      <c r="N8" s="8">
        <v>2</v>
      </c>
      <c r="O8" s="124">
        <v>2680</v>
      </c>
      <c r="P8" s="660" t="s">
        <v>1127</v>
      </c>
    </row>
    <row r="9" spans="1:16" ht="15" customHeight="1">
      <c r="A9" s="616"/>
      <c r="B9" s="700" t="s">
        <v>13</v>
      </c>
      <c r="C9" s="701"/>
      <c r="D9" s="700" t="s">
        <v>11</v>
      </c>
      <c r="E9" s="701"/>
      <c r="F9" s="653" t="s">
        <v>414</v>
      </c>
      <c r="G9" s="653"/>
      <c r="H9" s="653"/>
      <c r="I9" s="653"/>
      <c r="J9" s="627"/>
      <c r="K9" s="673"/>
      <c r="L9" s="88"/>
      <c r="M9" s="8"/>
      <c r="N9" s="8"/>
      <c r="O9" s="124"/>
      <c r="P9" s="660"/>
    </row>
    <row r="10" spans="1:16" ht="15" customHeight="1">
      <c r="A10" s="614" t="s">
        <v>27</v>
      </c>
      <c r="B10" s="661" t="s">
        <v>10</v>
      </c>
      <c r="C10" s="661"/>
      <c r="D10" s="700" t="s">
        <v>11</v>
      </c>
      <c r="E10" s="701"/>
      <c r="F10" s="659" t="s">
        <v>415</v>
      </c>
      <c r="G10" s="659"/>
      <c r="H10" s="659"/>
      <c r="I10" s="659"/>
      <c r="J10" s="1268" t="s">
        <v>1398</v>
      </c>
      <c r="K10" s="1277" t="s">
        <v>1136</v>
      </c>
      <c r="L10" s="88"/>
      <c r="M10" s="8">
        <v>140</v>
      </c>
      <c r="N10" s="8">
        <v>1</v>
      </c>
      <c r="O10" s="124">
        <v>10140</v>
      </c>
      <c r="P10" s="660" t="s">
        <v>1128</v>
      </c>
    </row>
    <row r="11" spans="1:16" ht="15" customHeight="1">
      <c r="A11" s="616"/>
      <c r="B11" s="700" t="s">
        <v>13</v>
      </c>
      <c r="C11" s="701"/>
      <c r="D11" s="700" t="s">
        <v>11</v>
      </c>
      <c r="E11" s="701"/>
      <c r="F11" s="659" t="s">
        <v>418</v>
      </c>
      <c r="G11" s="659"/>
      <c r="H11" s="659"/>
      <c r="I11" s="659"/>
      <c r="J11" s="1269"/>
      <c r="K11" s="1278"/>
      <c r="L11" s="88"/>
      <c r="M11" s="8"/>
      <c r="N11" s="8"/>
      <c r="O11" s="124"/>
      <c r="P11" s="660"/>
    </row>
    <row r="12" spans="1:16" ht="15" customHeight="1">
      <c r="A12" s="614" t="s">
        <v>384</v>
      </c>
      <c r="B12" s="661" t="s">
        <v>199</v>
      </c>
      <c r="C12" s="661"/>
      <c r="D12" s="661" t="s">
        <v>11</v>
      </c>
      <c r="E12" s="661"/>
      <c r="F12" s="659" t="s">
        <v>419</v>
      </c>
      <c r="G12" s="659"/>
      <c r="H12" s="659"/>
      <c r="I12" s="659"/>
      <c r="J12" s="685"/>
      <c r="K12" s="702" t="s">
        <v>420</v>
      </c>
      <c r="L12" s="88"/>
      <c r="M12" s="8">
        <v>140</v>
      </c>
      <c r="N12" s="8">
        <v>1</v>
      </c>
      <c r="O12" s="124">
        <v>4140</v>
      </c>
      <c r="P12" s="660" t="s">
        <v>1142</v>
      </c>
    </row>
    <row r="13" spans="1:16" ht="15" customHeight="1">
      <c r="A13" s="616"/>
      <c r="B13" s="661" t="s">
        <v>202</v>
      </c>
      <c r="C13" s="661"/>
      <c r="D13" s="661" t="s">
        <v>11</v>
      </c>
      <c r="E13" s="661"/>
      <c r="F13" s="659" t="s">
        <v>203</v>
      </c>
      <c r="G13" s="659"/>
      <c r="H13" s="659"/>
      <c r="I13" s="659"/>
      <c r="J13" s="686"/>
      <c r="K13" s="691"/>
      <c r="L13" s="88"/>
      <c r="M13" s="8"/>
      <c r="N13" s="8"/>
      <c r="O13" s="124"/>
      <c r="P13" s="660"/>
    </row>
    <row r="14" spans="1:16" ht="15" customHeight="1">
      <c r="A14" s="614" t="s">
        <v>421</v>
      </c>
      <c r="B14" s="661" t="s">
        <v>35</v>
      </c>
      <c r="C14" s="661"/>
      <c r="D14" s="661" t="s">
        <v>11</v>
      </c>
      <c r="E14" s="661"/>
      <c r="F14" s="699" t="s">
        <v>303</v>
      </c>
      <c r="G14" s="699"/>
      <c r="H14" s="699"/>
      <c r="I14" s="699"/>
      <c r="J14" s="685"/>
      <c r="K14" s="702" t="s">
        <v>37</v>
      </c>
      <c r="L14" s="88"/>
      <c r="M14" s="8">
        <v>140</v>
      </c>
      <c r="N14" s="8">
        <v>1</v>
      </c>
      <c r="O14" s="124">
        <v>1000</v>
      </c>
      <c r="P14" s="660" t="s">
        <v>1143</v>
      </c>
    </row>
    <row r="15" spans="1:16" ht="15" customHeight="1">
      <c r="A15" s="616"/>
      <c r="B15" s="661" t="s">
        <v>304</v>
      </c>
      <c r="C15" s="661"/>
      <c r="D15" s="661" t="s">
        <v>11</v>
      </c>
      <c r="E15" s="661"/>
      <c r="F15" s="699" t="s">
        <v>422</v>
      </c>
      <c r="G15" s="699"/>
      <c r="H15" s="699"/>
      <c r="I15" s="699"/>
      <c r="J15" s="686"/>
      <c r="K15" s="691"/>
      <c r="L15" s="88"/>
      <c r="M15" s="8"/>
      <c r="N15" s="8"/>
      <c r="O15" s="124"/>
      <c r="P15" s="660"/>
    </row>
    <row r="16" spans="1:16" ht="15" customHeight="1">
      <c r="A16" s="59" t="s">
        <v>423</v>
      </c>
      <c r="B16" s="650" t="s">
        <v>236</v>
      </c>
      <c r="C16" s="650"/>
      <c r="D16" s="650" t="s">
        <v>49</v>
      </c>
      <c r="E16" s="650"/>
      <c r="F16" s="651" t="s">
        <v>804</v>
      </c>
      <c r="G16" s="651"/>
      <c r="H16" s="651"/>
      <c r="I16" s="651"/>
      <c r="J16" s="15" t="s">
        <v>984</v>
      </c>
      <c r="K16" s="15"/>
      <c r="L16" s="97" t="s">
        <v>436</v>
      </c>
      <c r="M16" s="25">
        <v>140</v>
      </c>
      <c r="N16" s="25">
        <v>1</v>
      </c>
      <c r="O16" s="32">
        <v>12140</v>
      </c>
      <c r="P16" s="10" t="s">
        <v>785</v>
      </c>
    </row>
    <row r="17" spans="1:16" ht="15" customHeight="1">
      <c r="A17" s="59" t="s">
        <v>427</v>
      </c>
      <c r="B17" s="706" t="s">
        <v>178</v>
      </c>
      <c r="C17" s="706"/>
      <c r="D17" s="650" t="s">
        <v>240</v>
      </c>
      <c r="E17" s="650"/>
      <c r="F17" s="707" t="s">
        <v>1067</v>
      </c>
      <c r="G17" s="707"/>
      <c r="H17" s="707"/>
      <c r="I17" s="707"/>
      <c r="J17" s="23" t="s">
        <v>1084</v>
      </c>
      <c r="K17" s="96"/>
      <c r="L17" s="93" t="s">
        <v>425</v>
      </c>
      <c r="M17" s="25">
        <v>140</v>
      </c>
      <c r="N17" s="25">
        <v>2</v>
      </c>
      <c r="O17" s="43">
        <v>40280</v>
      </c>
      <c r="P17" s="10" t="s">
        <v>787</v>
      </c>
    </row>
    <row r="18" spans="1:16" ht="28.95" customHeight="1">
      <c r="A18" s="59" t="s">
        <v>47</v>
      </c>
      <c r="B18" s="650" t="s">
        <v>211</v>
      </c>
      <c r="C18" s="650"/>
      <c r="D18" s="650" t="s">
        <v>63</v>
      </c>
      <c r="E18" s="650"/>
      <c r="F18" s="651" t="s">
        <v>788</v>
      </c>
      <c r="G18" s="651"/>
      <c r="H18" s="651"/>
      <c r="I18" s="651"/>
      <c r="J18" s="269" t="s">
        <v>1085</v>
      </c>
      <c r="K18" s="25"/>
      <c r="L18" s="93" t="s">
        <v>425</v>
      </c>
      <c r="M18" s="25">
        <v>140</v>
      </c>
      <c r="N18" s="25">
        <v>2</v>
      </c>
      <c r="O18" s="32">
        <v>10280</v>
      </c>
      <c r="P18" s="9" t="s">
        <v>789</v>
      </c>
    </row>
    <row r="19" spans="1:16" ht="15" customHeight="1">
      <c r="A19" s="73" t="s">
        <v>434</v>
      </c>
      <c r="B19" s="696" t="s">
        <v>1114</v>
      </c>
      <c r="C19" s="696"/>
      <c r="D19" s="696" t="s">
        <v>1115</v>
      </c>
      <c r="E19" s="696"/>
      <c r="F19" s="697" t="s">
        <v>1135</v>
      </c>
      <c r="G19" s="697"/>
      <c r="H19" s="697"/>
      <c r="I19" s="697"/>
      <c r="J19" s="67" t="s">
        <v>1083</v>
      </c>
      <c r="K19" s="67"/>
      <c r="L19" s="93" t="s">
        <v>425</v>
      </c>
      <c r="M19" s="25">
        <v>140</v>
      </c>
      <c r="N19" s="25">
        <v>1</v>
      </c>
      <c r="O19" s="52">
        <v>10140</v>
      </c>
      <c r="P19" s="11" t="s">
        <v>1147</v>
      </c>
    </row>
    <row r="20" spans="1:16" ht="28.95" customHeight="1" thickBot="1">
      <c r="A20" s="98" t="s">
        <v>439</v>
      </c>
      <c r="B20" s="650" t="s">
        <v>147</v>
      </c>
      <c r="C20" s="650"/>
      <c r="D20" s="727" t="s">
        <v>49</v>
      </c>
      <c r="E20" s="727"/>
      <c r="F20" s="728" t="s">
        <v>518</v>
      </c>
      <c r="G20" s="728"/>
      <c r="H20" s="728"/>
      <c r="I20" s="728"/>
      <c r="J20" s="296" t="s">
        <v>1089</v>
      </c>
      <c r="K20" s="311" t="s">
        <v>1290</v>
      </c>
      <c r="L20" s="100" t="s">
        <v>425</v>
      </c>
      <c r="M20" s="99">
        <v>140</v>
      </c>
      <c r="N20" s="99">
        <v>1</v>
      </c>
      <c r="O20" s="48">
        <v>4140</v>
      </c>
      <c r="P20" s="12" t="s">
        <v>520</v>
      </c>
    </row>
    <row r="21" spans="1:16" ht="15" customHeight="1" thickTop="1">
      <c r="A21" s="729" t="s">
        <v>443</v>
      </c>
      <c r="B21" s="730" t="s">
        <v>10</v>
      </c>
      <c r="C21" s="730"/>
      <c r="D21" s="638" t="s">
        <v>14</v>
      </c>
      <c r="E21" s="639"/>
      <c r="F21" s="731" t="s">
        <v>445</v>
      </c>
      <c r="G21" s="731"/>
      <c r="H21" s="731"/>
      <c r="I21" s="731"/>
      <c r="J21" s="677" t="s">
        <v>1399</v>
      </c>
      <c r="K21" s="788" t="s">
        <v>986</v>
      </c>
      <c r="L21" s="105"/>
      <c r="M21" s="14">
        <v>140</v>
      </c>
      <c r="N21" s="14">
        <v>1</v>
      </c>
      <c r="O21" s="542">
        <v>2140</v>
      </c>
      <c r="P21" s="1264" t="s">
        <v>825</v>
      </c>
    </row>
    <row r="22" spans="1:16" ht="15" customHeight="1">
      <c r="A22" s="615"/>
      <c r="B22" s="637" t="s">
        <v>227</v>
      </c>
      <c r="C22" s="637"/>
      <c r="D22" s="638" t="s">
        <v>14</v>
      </c>
      <c r="E22" s="639"/>
      <c r="F22" s="653" t="s">
        <v>448</v>
      </c>
      <c r="G22" s="653"/>
      <c r="H22" s="653"/>
      <c r="I22" s="653"/>
      <c r="J22" s="626"/>
      <c r="K22" s="789"/>
      <c r="L22" s="108"/>
      <c r="M22" s="8"/>
      <c r="N22" s="8"/>
      <c r="O22" s="51"/>
      <c r="P22" s="1264"/>
    </row>
    <row r="23" spans="1:16" ht="15" customHeight="1">
      <c r="A23" s="616"/>
      <c r="B23" s="637" t="s">
        <v>83</v>
      </c>
      <c r="C23" s="637"/>
      <c r="D23" s="638" t="s">
        <v>14</v>
      </c>
      <c r="E23" s="639"/>
      <c r="F23" s="659" t="s">
        <v>449</v>
      </c>
      <c r="G23" s="659"/>
      <c r="H23" s="659"/>
      <c r="I23" s="659"/>
      <c r="J23" s="627"/>
      <c r="K23" s="790"/>
      <c r="L23" s="108"/>
      <c r="M23" s="8"/>
      <c r="N23" s="8"/>
      <c r="O23" s="51"/>
      <c r="P23" s="708"/>
    </row>
    <row r="24" spans="1:16" ht="15" customHeight="1">
      <c r="A24" s="664" t="s">
        <v>450</v>
      </c>
      <c r="B24" s="637" t="s">
        <v>10</v>
      </c>
      <c r="C24" s="637"/>
      <c r="D24" s="638" t="s">
        <v>43</v>
      </c>
      <c r="E24" s="639"/>
      <c r="F24" s="666" t="s">
        <v>890</v>
      </c>
      <c r="G24" s="667"/>
      <c r="H24" s="667"/>
      <c r="I24" s="667"/>
      <c r="J24" s="735" t="s">
        <v>1400</v>
      </c>
      <c r="K24" s="738"/>
      <c r="L24" s="108"/>
      <c r="M24" s="8">
        <v>140</v>
      </c>
      <c r="N24" s="8">
        <v>1</v>
      </c>
      <c r="O24" s="51">
        <v>3140</v>
      </c>
      <c r="P24" s="1264" t="s">
        <v>910</v>
      </c>
    </row>
    <row r="25" spans="1:16" ht="15" customHeight="1">
      <c r="A25" s="664"/>
      <c r="B25" s="637" t="s">
        <v>81</v>
      </c>
      <c r="C25" s="637"/>
      <c r="D25" s="661" t="s">
        <v>11</v>
      </c>
      <c r="E25" s="661"/>
      <c r="F25" s="662" t="s">
        <v>891</v>
      </c>
      <c r="G25" s="663"/>
      <c r="H25" s="663"/>
      <c r="I25" s="663"/>
      <c r="J25" s="736"/>
      <c r="K25" s="672"/>
      <c r="L25" s="108"/>
      <c r="M25" s="8"/>
      <c r="N25" s="8"/>
      <c r="O25" s="51"/>
      <c r="P25" s="1264"/>
    </row>
    <row r="26" spans="1:16" ht="15" customHeight="1">
      <c r="A26" s="665"/>
      <c r="B26" s="637" t="s">
        <v>83</v>
      </c>
      <c r="C26" s="637"/>
      <c r="D26" s="661" t="s">
        <v>11</v>
      </c>
      <c r="E26" s="661"/>
      <c r="F26" s="659" t="s">
        <v>912</v>
      </c>
      <c r="G26" s="659"/>
      <c r="H26" s="659"/>
      <c r="I26" s="659"/>
      <c r="J26" s="737"/>
      <c r="K26" s="673"/>
      <c r="L26" s="108"/>
      <c r="M26" s="8"/>
      <c r="N26" s="8"/>
      <c r="O26" s="51"/>
      <c r="P26" s="708"/>
    </row>
    <row r="27" spans="1:16" ht="28.95" customHeight="1">
      <c r="A27" s="59" t="s">
        <v>455</v>
      </c>
      <c r="B27" s="650" t="s">
        <v>178</v>
      </c>
      <c r="C27" s="650"/>
      <c r="D27" s="650" t="s">
        <v>72</v>
      </c>
      <c r="E27" s="650"/>
      <c r="F27" s="651" t="s">
        <v>922</v>
      </c>
      <c r="G27" s="651"/>
      <c r="H27" s="651"/>
      <c r="I27" s="651"/>
      <c r="J27" s="313" t="s">
        <v>1401</v>
      </c>
      <c r="K27" s="312" t="s">
        <v>1091</v>
      </c>
      <c r="L27" s="97" t="s">
        <v>436</v>
      </c>
      <c r="M27" s="25">
        <v>140</v>
      </c>
      <c r="N27" s="25">
        <v>1</v>
      </c>
      <c r="O27" s="32">
        <v>5140</v>
      </c>
      <c r="P27" s="9" t="s">
        <v>1146</v>
      </c>
    </row>
    <row r="28" spans="1:16" ht="15" customHeight="1">
      <c r="A28" s="73" t="s">
        <v>794</v>
      </c>
      <c r="B28" s="650" t="s">
        <v>211</v>
      </c>
      <c r="C28" s="650"/>
      <c r="D28" s="650" t="s">
        <v>72</v>
      </c>
      <c r="E28" s="650"/>
      <c r="F28" s="651" t="s">
        <v>465</v>
      </c>
      <c r="G28" s="651"/>
      <c r="H28" s="651"/>
      <c r="I28" s="651"/>
      <c r="J28" s="274" t="s">
        <v>987</v>
      </c>
      <c r="K28" s="25"/>
      <c r="L28" s="97" t="s">
        <v>436</v>
      </c>
      <c r="M28" s="25">
        <v>140</v>
      </c>
      <c r="N28" s="25">
        <v>2</v>
      </c>
      <c r="O28" s="32">
        <v>20280</v>
      </c>
      <c r="P28" s="9" t="s">
        <v>1134</v>
      </c>
    </row>
    <row r="29" spans="1:16" ht="15" customHeight="1">
      <c r="A29" s="184" t="s">
        <v>464</v>
      </c>
      <c r="B29" s="650" t="s">
        <v>147</v>
      </c>
      <c r="C29" s="650"/>
      <c r="D29" s="650" t="s">
        <v>49</v>
      </c>
      <c r="E29" s="650"/>
      <c r="F29" s="651" t="s">
        <v>966</v>
      </c>
      <c r="G29" s="651"/>
      <c r="H29" s="651"/>
      <c r="I29" s="651"/>
      <c r="J29" s="25" t="s">
        <v>1139</v>
      </c>
      <c r="K29" s="25"/>
      <c r="L29" s="97" t="s">
        <v>425</v>
      </c>
      <c r="M29" s="25">
        <v>140</v>
      </c>
      <c r="N29" s="25">
        <v>2</v>
      </c>
      <c r="O29" s="32">
        <v>2680</v>
      </c>
      <c r="P29" s="9" t="s">
        <v>1145</v>
      </c>
    </row>
    <row r="30" spans="1:16" ht="15" customHeight="1">
      <c r="A30" s="73" t="s">
        <v>467</v>
      </c>
      <c r="B30" s="650" t="s">
        <v>147</v>
      </c>
      <c r="C30" s="650"/>
      <c r="D30" s="618" t="s">
        <v>49</v>
      </c>
      <c r="E30" s="619"/>
      <c r="F30" s="620" t="s">
        <v>1150</v>
      </c>
      <c r="G30" s="621"/>
      <c r="H30" s="621"/>
      <c r="I30" s="622"/>
      <c r="J30" s="25" t="s">
        <v>1080</v>
      </c>
      <c r="K30" s="109"/>
      <c r="L30" s="97" t="s">
        <v>1158</v>
      </c>
      <c r="M30" s="25">
        <v>140</v>
      </c>
      <c r="N30" s="25">
        <v>1</v>
      </c>
      <c r="O30" s="32">
        <v>2640</v>
      </c>
      <c r="P30" s="9" t="s">
        <v>1131</v>
      </c>
    </row>
    <row r="31" spans="1:16" ht="28.95" customHeight="1">
      <c r="A31" s="184" t="s">
        <v>1123</v>
      </c>
      <c r="B31" s="650" t="s">
        <v>147</v>
      </c>
      <c r="C31" s="650"/>
      <c r="D31" s="650" t="s">
        <v>49</v>
      </c>
      <c r="E31" s="650"/>
      <c r="F31" s="651" t="s">
        <v>518</v>
      </c>
      <c r="G31" s="651"/>
      <c r="H31" s="651"/>
      <c r="I31" s="651"/>
      <c r="J31" s="296" t="s">
        <v>1089</v>
      </c>
      <c r="K31" s="311" t="s">
        <v>1290</v>
      </c>
      <c r="L31" s="97" t="s">
        <v>425</v>
      </c>
      <c r="M31" s="323">
        <v>140</v>
      </c>
      <c r="N31" s="25">
        <v>1</v>
      </c>
      <c r="O31" s="32">
        <v>20140</v>
      </c>
      <c r="P31" s="9" t="s">
        <v>905</v>
      </c>
    </row>
    <row r="32" spans="1:16" ht="28.95" customHeight="1">
      <c r="A32" s="59" t="s">
        <v>1124</v>
      </c>
      <c r="B32" s="650" t="s">
        <v>205</v>
      </c>
      <c r="C32" s="650"/>
      <c r="D32" s="650" t="s">
        <v>206</v>
      </c>
      <c r="E32" s="650"/>
      <c r="F32" s="651" t="s">
        <v>903</v>
      </c>
      <c r="G32" s="651"/>
      <c r="H32" s="651"/>
      <c r="I32" s="651"/>
      <c r="J32" s="314" t="s">
        <v>1092</v>
      </c>
      <c r="K32" s="305" t="s">
        <v>1402</v>
      </c>
      <c r="L32" s="97" t="s">
        <v>425</v>
      </c>
      <c r="M32" s="323">
        <v>140</v>
      </c>
      <c r="N32" s="323">
        <v>1</v>
      </c>
      <c r="O32" s="32">
        <v>8140</v>
      </c>
      <c r="P32" s="9" t="s">
        <v>904</v>
      </c>
    </row>
    <row r="33" spans="1:35" ht="15" customHeight="1">
      <c r="A33" s="59" t="s">
        <v>476</v>
      </c>
      <c r="B33" s="679" t="s">
        <v>868</v>
      </c>
      <c r="C33" s="680"/>
      <c r="D33" s="618" t="s">
        <v>72</v>
      </c>
      <c r="E33" s="619"/>
      <c r="F33" s="681" t="s">
        <v>869</v>
      </c>
      <c r="G33" s="682"/>
      <c r="H33" s="682"/>
      <c r="I33" s="683"/>
      <c r="J33" s="255" t="s">
        <v>980</v>
      </c>
      <c r="K33" s="96"/>
      <c r="L33" s="76" t="s">
        <v>425</v>
      </c>
      <c r="M33" s="320">
        <v>140</v>
      </c>
      <c r="N33" s="320">
        <v>1</v>
      </c>
      <c r="O33" s="43">
        <v>8140</v>
      </c>
      <c r="P33" s="122" t="s">
        <v>901</v>
      </c>
    </row>
    <row r="34" spans="1:35" ht="15" customHeight="1">
      <c r="A34" s="739" t="s">
        <v>480</v>
      </c>
      <c r="B34" s="661" t="s">
        <v>10</v>
      </c>
      <c r="C34" s="661"/>
      <c r="D34" s="661" t="s">
        <v>43</v>
      </c>
      <c r="E34" s="661"/>
      <c r="F34" s="659" t="s">
        <v>185</v>
      </c>
      <c r="G34" s="659"/>
      <c r="H34" s="659"/>
      <c r="I34" s="659"/>
      <c r="J34" s="625" t="s">
        <v>1140</v>
      </c>
      <c r="K34" s="1279" t="s">
        <v>982</v>
      </c>
      <c r="L34" s="88"/>
      <c r="M34" s="434">
        <v>140</v>
      </c>
      <c r="N34" s="324">
        <v>1</v>
      </c>
      <c r="O34" s="124">
        <v>10140</v>
      </c>
      <c r="P34" s="660" t="s">
        <v>1132</v>
      </c>
    </row>
    <row r="35" spans="1:35" ht="15" customHeight="1">
      <c r="A35" s="739"/>
      <c r="B35" s="661" t="s">
        <v>13</v>
      </c>
      <c r="C35" s="661"/>
      <c r="D35" s="661" t="s">
        <v>49</v>
      </c>
      <c r="E35" s="661"/>
      <c r="F35" s="659" t="s">
        <v>69</v>
      </c>
      <c r="G35" s="659"/>
      <c r="H35" s="659"/>
      <c r="I35" s="659"/>
      <c r="J35" s="627"/>
      <c r="K35" s="1280"/>
      <c r="L35" s="88"/>
      <c r="M35" s="434"/>
      <c r="N35" s="324"/>
      <c r="O35" s="124"/>
      <c r="P35" s="660"/>
    </row>
    <row r="36" spans="1:35" ht="18" customHeight="1">
      <c r="A36" s="416" t="s">
        <v>1376</v>
      </c>
      <c r="B36" s="395"/>
      <c r="C36" s="395"/>
      <c r="D36" s="395"/>
      <c r="E36" s="395"/>
      <c r="F36" s="395"/>
      <c r="G36" s="395"/>
      <c r="H36" s="395"/>
      <c r="I36" s="395"/>
      <c r="J36" s="395"/>
      <c r="K36" s="395"/>
      <c r="L36" s="395"/>
      <c r="M36" s="395"/>
      <c r="N36" s="395"/>
      <c r="O36" s="395"/>
      <c r="P36" s="395"/>
    </row>
    <row r="37" spans="1:35" ht="18" customHeight="1">
      <c r="A37" s="566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</row>
    <row r="38" spans="1:35" ht="18" customHeight="1">
      <c r="A38" s="566"/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7"/>
      <c r="P38" s="567"/>
    </row>
    <row r="39" spans="1:35" ht="18" customHeight="1">
      <c r="A39" s="566"/>
      <c r="B39" s="567"/>
      <c r="C39" s="567"/>
      <c r="D39" s="567"/>
      <c r="E39" s="567"/>
      <c r="F39" s="567"/>
      <c r="G39" s="567"/>
      <c r="H39" s="567"/>
      <c r="I39" s="567"/>
      <c r="J39" s="567"/>
      <c r="K39" s="567"/>
      <c r="L39" s="567"/>
      <c r="M39" s="567"/>
      <c r="N39" s="567"/>
      <c r="O39" s="567"/>
      <c r="P39" s="567"/>
    </row>
    <row r="40" spans="1:35" ht="18.75" customHeight="1">
      <c r="A40" s="215" t="s">
        <v>1148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47"/>
      <c r="P40" s="39"/>
      <c r="T40" s="215" t="s">
        <v>1148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9"/>
      <c r="AI40" s="1"/>
    </row>
    <row r="41" spans="1:35" ht="18.75" customHeight="1">
      <c r="A41" s="243" t="s">
        <v>1156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465"/>
      <c r="M41" s="39"/>
      <c r="N41" s="39"/>
      <c r="O41" s="47"/>
      <c r="P41" s="39"/>
      <c r="T41" s="243" t="s">
        <v>1156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2"/>
      <c r="AF41" s="1"/>
      <c r="AG41" s="1"/>
      <c r="AH41" s="19"/>
      <c r="AI41" s="1"/>
    </row>
    <row r="42" spans="1:35" ht="15" customHeight="1">
      <c r="A42" s="49" t="s">
        <v>366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47"/>
      <c r="P42" s="39" t="s">
        <v>983</v>
      </c>
      <c r="T42" s="49" t="s">
        <v>366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9"/>
      <c r="AI42" s="1" t="s">
        <v>983</v>
      </c>
    </row>
    <row r="43" spans="1:35" ht="15" customHeight="1">
      <c r="A43" s="754" t="s">
        <v>2</v>
      </c>
      <c r="B43" s="756" t="s">
        <v>3</v>
      </c>
      <c r="C43" s="757"/>
      <c r="D43" s="760" t="s">
        <v>4</v>
      </c>
      <c r="E43" s="761"/>
      <c r="F43" s="756" t="s">
        <v>5</v>
      </c>
      <c r="G43" s="764"/>
      <c r="H43" s="764"/>
      <c r="I43" s="757"/>
      <c r="J43" s="713" t="s">
        <v>491</v>
      </c>
      <c r="K43" s="766" t="s">
        <v>7</v>
      </c>
      <c r="L43" s="185" t="s">
        <v>1157</v>
      </c>
      <c r="M43" s="696" t="s">
        <v>1095</v>
      </c>
      <c r="N43" s="716" t="s">
        <v>1096</v>
      </c>
      <c r="O43" s="766" t="s">
        <v>1097</v>
      </c>
      <c r="P43" s="715" t="s">
        <v>8</v>
      </c>
      <c r="T43" s="754" t="s">
        <v>2</v>
      </c>
      <c r="U43" s="756" t="s">
        <v>3</v>
      </c>
      <c r="V43" s="757"/>
      <c r="W43" s="760" t="s">
        <v>4</v>
      </c>
      <c r="X43" s="761"/>
      <c r="Y43" s="756" t="s">
        <v>5</v>
      </c>
      <c r="Z43" s="764"/>
      <c r="AA43" s="764"/>
      <c r="AB43" s="757"/>
      <c r="AC43" s="713" t="s">
        <v>491</v>
      </c>
      <c r="AD43" s="766" t="s">
        <v>7</v>
      </c>
      <c r="AE43" s="185" t="s">
        <v>1157</v>
      </c>
      <c r="AF43" s="696" t="s">
        <v>1095</v>
      </c>
      <c r="AG43" s="1260" t="s">
        <v>1096</v>
      </c>
      <c r="AH43" s="1282" t="s">
        <v>1097</v>
      </c>
      <c r="AI43" s="715" t="s">
        <v>8</v>
      </c>
    </row>
    <row r="44" spans="1:35" ht="15" customHeight="1">
      <c r="A44" s="755"/>
      <c r="B44" s="758"/>
      <c r="C44" s="759"/>
      <c r="D44" s="762"/>
      <c r="E44" s="763"/>
      <c r="F44" s="758"/>
      <c r="G44" s="765"/>
      <c r="H44" s="765"/>
      <c r="I44" s="759"/>
      <c r="J44" s="714"/>
      <c r="K44" s="767"/>
      <c r="L44" s="186" t="s">
        <v>410</v>
      </c>
      <c r="M44" s="706"/>
      <c r="N44" s="1239"/>
      <c r="O44" s="767"/>
      <c r="P44" s="715"/>
      <c r="T44" s="755"/>
      <c r="U44" s="758"/>
      <c r="V44" s="759"/>
      <c r="W44" s="762"/>
      <c r="X44" s="763"/>
      <c r="Y44" s="758"/>
      <c r="Z44" s="765"/>
      <c r="AA44" s="765"/>
      <c r="AB44" s="759"/>
      <c r="AC44" s="714"/>
      <c r="AD44" s="767"/>
      <c r="AE44" s="186" t="s">
        <v>410</v>
      </c>
      <c r="AF44" s="706"/>
      <c r="AG44" s="1281"/>
      <c r="AH44" s="1283"/>
      <c r="AI44" s="715"/>
    </row>
    <row r="45" spans="1:35" ht="15" customHeight="1">
      <c r="A45" s="59" t="s">
        <v>233</v>
      </c>
      <c r="B45" s="618" t="s">
        <v>178</v>
      </c>
      <c r="C45" s="619"/>
      <c r="D45" s="618" t="s">
        <v>240</v>
      </c>
      <c r="E45" s="619"/>
      <c r="F45" s="620" t="s">
        <v>1067</v>
      </c>
      <c r="G45" s="621"/>
      <c r="H45" s="621"/>
      <c r="I45" s="622"/>
      <c r="J45" s="23" t="s">
        <v>1084</v>
      </c>
      <c r="K45" s="273" t="s">
        <v>986</v>
      </c>
      <c r="L45" s="97" t="s">
        <v>425</v>
      </c>
      <c r="M45" s="25">
        <v>130</v>
      </c>
      <c r="N45" s="25">
        <v>1</v>
      </c>
      <c r="O45" s="32">
        <v>20130</v>
      </c>
      <c r="P45" s="9" t="s">
        <v>1160</v>
      </c>
      <c r="T45" s="59" t="s">
        <v>233</v>
      </c>
      <c r="U45" s="618" t="s">
        <v>178</v>
      </c>
      <c r="V45" s="619"/>
      <c r="W45" s="618" t="s">
        <v>240</v>
      </c>
      <c r="X45" s="619"/>
      <c r="Y45" s="620" t="s">
        <v>1067</v>
      </c>
      <c r="Z45" s="621"/>
      <c r="AA45" s="621"/>
      <c r="AB45" s="622"/>
      <c r="AC45" s="23" t="s">
        <v>1084</v>
      </c>
      <c r="AD45" s="273" t="s">
        <v>986</v>
      </c>
      <c r="AE45" s="97" t="s">
        <v>425</v>
      </c>
      <c r="AF45" s="25">
        <v>130</v>
      </c>
      <c r="AG45" s="25">
        <v>1</v>
      </c>
      <c r="AH45" s="321">
        <v>20130</v>
      </c>
      <c r="AI45" s="9" t="s">
        <v>1160</v>
      </c>
    </row>
    <row r="46" spans="1:35" ht="15" customHeight="1">
      <c r="A46" s="57" t="s">
        <v>239</v>
      </c>
      <c r="B46" s="618" t="s">
        <v>236</v>
      </c>
      <c r="C46" s="619"/>
      <c r="D46" s="618" t="s">
        <v>49</v>
      </c>
      <c r="E46" s="619"/>
      <c r="F46" s="620" t="s">
        <v>804</v>
      </c>
      <c r="G46" s="621"/>
      <c r="H46" s="621"/>
      <c r="I46" s="622"/>
      <c r="J46" s="15" t="s">
        <v>984</v>
      </c>
      <c r="K46" s="405"/>
      <c r="L46" s="97" t="s">
        <v>436</v>
      </c>
      <c r="M46" s="25">
        <v>130</v>
      </c>
      <c r="N46" s="25">
        <v>1</v>
      </c>
      <c r="O46" s="32">
        <v>12130</v>
      </c>
      <c r="P46" s="9" t="s">
        <v>1161</v>
      </c>
      <c r="T46" s="57" t="s">
        <v>239</v>
      </c>
      <c r="U46" s="618" t="s">
        <v>236</v>
      </c>
      <c r="V46" s="619"/>
      <c r="W46" s="618" t="s">
        <v>49</v>
      </c>
      <c r="X46" s="619"/>
      <c r="Y46" s="620" t="s">
        <v>804</v>
      </c>
      <c r="Z46" s="621"/>
      <c r="AA46" s="621"/>
      <c r="AB46" s="622"/>
      <c r="AC46" s="15" t="s">
        <v>984</v>
      </c>
      <c r="AD46" s="405"/>
      <c r="AE46" s="97" t="s">
        <v>436</v>
      </c>
      <c r="AF46" s="25">
        <v>130</v>
      </c>
      <c r="AG46" s="25">
        <v>1</v>
      </c>
      <c r="AH46" s="321">
        <v>12130</v>
      </c>
      <c r="AI46" s="9" t="s">
        <v>1161</v>
      </c>
    </row>
    <row r="47" spans="1:35" ht="15" customHeight="1">
      <c r="A47" s="614" t="s">
        <v>242</v>
      </c>
      <c r="B47" s="700" t="s">
        <v>10</v>
      </c>
      <c r="C47" s="701"/>
      <c r="D47" s="700" t="s">
        <v>11</v>
      </c>
      <c r="E47" s="701"/>
      <c r="F47" s="769" t="s">
        <v>415</v>
      </c>
      <c r="G47" s="770"/>
      <c r="H47" s="770"/>
      <c r="I47" s="771"/>
      <c r="J47" s="1268" t="s">
        <v>1398</v>
      </c>
      <c r="K47" s="1270" t="s">
        <v>1065</v>
      </c>
      <c r="L47" s="88"/>
      <c r="M47" s="8">
        <v>130</v>
      </c>
      <c r="N47" s="8">
        <v>1</v>
      </c>
      <c r="O47" s="124">
        <v>10130</v>
      </c>
      <c r="P47" s="660" t="s">
        <v>875</v>
      </c>
      <c r="T47" s="614" t="s">
        <v>242</v>
      </c>
      <c r="U47" s="700" t="s">
        <v>10</v>
      </c>
      <c r="V47" s="701"/>
      <c r="W47" s="700" t="s">
        <v>11</v>
      </c>
      <c r="X47" s="701"/>
      <c r="Y47" s="769" t="s">
        <v>415</v>
      </c>
      <c r="Z47" s="770"/>
      <c r="AA47" s="770"/>
      <c r="AB47" s="771"/>
      <c r="AC47" s="1268" t="s">
        <v>1137</v>
      </c>
      <c r="AD47" s="1270" t="s">
        <v>1065</v>
      </c>
      <c r="AE47" s="88"/>
      <c r="AF47" s="8">
        <v>130</v>
      </c>
      <c r="AG47" s="8">
        <v>1</v>
      </c>
      <c r="AH47" s="204">
        <v>10130</v>
      </c>
      <c r="AI47" s="660" t="s">
        <v>875</v>
      </c>
    </row>
    <row r="48" spans="1:35" ht="15" customHeight="1">
      <c r="A48" s="616"/>
      <c r="B48" s="700" t="s">
        <v>13</v>
      </c>
      <c r="C48" s="701"/>
      <c r="D48" s="700" t="s">
        <v>11</v>
      </c>
      <c r="E48" s="701"/>
      <c r="F48" s="769" t="s">
        <v>418</v>
      </c>
      <c r="G48" s="770"/>
      <c r="H48" s="770"/>
      <c r="I48" s="771"/>
      <c r="J48" s="1269"/>
      <c r="K48" s="1271"/>
      <c r="L48" s="88"/>
      <c r="M48" s="8"/>
      <c r="N48" s="8"/>
      <c r="O48" s="124"/>
      <c r="P48" s="660"/>
      <c r="T48" s="616"/>
      <c r="U48" s="700" t="s">
        <v>13</v>
      </c>
      <c r="V48" s="701"/>
      <c r="W48" s="700" t="s">
        <v>11</v>
      </c>
      <c r="X48" s="701"/>
      <c r="Y48" s="769" t="s">
        <v>418</v>
      </c>
      <c r="Z48" s="770"/>
      <c r="AA48" s="770"/>
      <c r="AB48" s="771"/>
      <c r="AC48" s="1269"/>
      <c r="AD48" s="1271"/>
      <c r="AE48" s="88"/>
      <c r="AF48" s="8"/>
      <c r="AG48" s="8"/>
      <c r="AH48" s="204"/>
      <c r="AI48" s="660"/>
    </row>
    <row r="49" spans="1:35" ht="15" customHeight="1">
      <c r="A49" s="614" t="s">
        <v>807</v>
      </c>
      <c r="B49" s="700" t="s">
        <v>10</v>
      </c>
      <c r="C49" s="701"/>
      <c r="D49" s="700" t="s">
        <v>43</v>
      </c>
      <c r="E49" s="701"/>
      <c r="F49" s="769" t="s">
        <v>823</v>
      </c>
      <c r="G49" s="770"/>
      <c r="H49" s="770"/>
      <c r="I49" s="771"/>
      <c r="J49" s="625" t="s">
        <v>1397</v>
      </c>
      <c r="K49" s="1258" t="s">
        <v>782</v>
      </c>
      <c r="L49" s="88"/>
      <c r="M49" s="8">
        <v>130</v>
      </c>
      <c r="N49" s="8">
        <v>1</v>
      </c>
      <c r="O49" s="124">
        <v>1330</v>
      </c>
      <c r="P49" s="660" t="s">
        <v>914</v>
      </c>
      <c r="T49" s="614" t="s">
        <v>807</v>
      </c>
      <c r="U49" s="700" t="s">
        <v>10</v>
      </c>
      <c r="V49" s="701"/>
      <c r="W49" s="700" t="s">
        <v>43</v>
      </c>
      <c r="X49" s="701"/>
      <c r="Y49" s="769" t="s">
        <v>823</v>
      </c>
      <c r="Z49" s="770"/>
      <c r="AA49" s="770"/>
      <c r="AB49" s="771"/>
      <c r="AC49" s="625" t="s">
        <v>1166</v>
      </c>
      <c r="AD49" s="1258" t="s">
        <v>782</v>
      </c>
      <c r="AE49" s="88"/>
      <c r="AF49" s="8">
        <v>130</v>
      </c>
      <c r="AG49" s="8">
        <v>1</v>
      </c>
      <c r="AH49" s="204">
        <v>1330</v>
      </c>
      <c r="AI49" s="660" t="s">
        <v>914</v>
      </c>
    </row>
    <row r="50" spans="1:35" ht="15" customHeight="1">
      <c r="A50" s="616"/>
      <c r="B50" s="700" t="s">
        <v>13</v>
      </c>
      <c r="C50" s="701"/>
      <c r="D50" s="700" t="s">
        <v>11</v>
      </c>
      <c r="E50" s="701"/>
      <c r="F50" s="769" t="s">
        <v>414</v>
      </c>
      <c r="G50" s="770"/>
      <c r="H50" s="770"/>
      <c r="I50" s="771"/>
      <c r="J50" s="627"/>
      <c r="K50" s="1259"/>
      <c r="L50" s="88"/>
      <c r="M50" s="8"/>
      <c r="N50" s="8"/>
      <c r="O50" s="124"/>
      <c r="P50" s="660"/>
      <c r="T50" s="616"/>
      <c r="U50" s="700" t="s">
        <v>13</v>
      </c>
      <c r="V50" s="701"/>
      <c r="W50" s="700" t="s">
        <v>11</v>
      </c>
      <c r="X50" s="701"/>
      <c r="Y50" s="769" t="s">
        <v>414</v>
      </c>
      <c r="Z50" s="770"/>
      <c r="AA50" s="770"/>
      <c r="AB50" s="771"/>
      <c r="AC50" s="627"/>
      <c r="AD50" s="1259"/>
      <c r="AE50" s="88"/>
      <c r="AF50" s="8"/>
      <c r="AG50" s="8"/>
      <c r="AH50" s="204"/>
      <c r="AI50" s="660"/>
    </row>
    <row r="51" spans="1:35" ht="15" customHeight="1">
      <c r="A51" s="614" t="s">
        <v>808</v>
      </c>
      <c r="B51" s="700" t="s">
        <v>35</v>
      </c>
      <c r="C51" s="701"/>
      <c r="D51" s="700" t="s">
        <v>11</v>
      </c>
      <c r="E51" s="701"/>
      <c r="F51" s="662" t="s">
        <v>303</v>
      </c>
      <c r="G51" s="663"/>
      <c r="H51" s="663"/>
      <c r="I51" s="750"/>
      <c r="J51" s="685"/>
      <c r="K51" s="1240" t="s">
        <v>37</v>
      </c>
      <c r="L51" s="88"/>
      <c r="M51" s="8">
        <v>130</v>
      </c>
      <c r="N51" s="8">
        <v>1</v>
      </c>
      <c r="O51" s="124">
        <v>1000</v>
      </c>
      <c r="P51" s="660" t="s">
        <v>1159</v>
      </c>
      <c r="T51" s="614" t="s">
        <v>808</v>
      </c>
      <c r="U51" s="700" t="s">
        <v>35</v>
      </c>
      <c r="V51" s="701"/>
      <c r="W51" s="700" t="s">
        <v>11</v>
      </c>
      <c r="X51" s="701"/>
      <c r="Y51" s="662" t="s">
        <v>303</v>
      </c>
      <c r="Z51" s="663"/>
      <c r="AA51" s="663"/>
      <c r="AB51" s="750"/>
      <c r="AC51" s="685"/>
      <c r="AD51" s="1240" t="s">
        <v>37</v>
      </c>
      <c r="AE51" s="88"/>
      <c r="AF51" s="8">
        <v>130</v>
      </c>
      <c r="AG51" s="8">
        <v>1</v>
      </c>
      <c r="AH51" s="204">
        <v>1000</v>
      </c>
      <c r="AI51" s="660" t="s">
        <v>1159</v>
      </c>
    </row>
    <row r="52" spans="1:35" ht="15" customHeight="1">
      <c r="A52" s="616"/>
      <c r="B52" s="700" t="s">
        <v>304</v>
      </c>
      <c r="C52" s="701"/>
      <c r="D52" s="700" t="s">
        <v>11</v>
      </c>
      <c r="E52" s="701"/>
      <c r="F52" s="662" t="s">
        <v>393</v>
      </c>
      <c r="G52" s="663"/>
      <c r="H52" s="663"/>
      <c r="I52" s="750"/>
      <c r="J52" s="686"/>
      <c r="K52" s="1241"/>
      <c r="L52" s="88"/>
      <c r="M52" s="8"/>
      <c r="N52" s="8"/>
      <c r="O52" s="124"/>
      <c r="P52" s="660"/>
      <c r="T52" s="616"/>
      <c r="U52" s="700" t="s">
        <v>304</v>
      </c>
      <c r="V52" s="701"/>
      <c r="W52" s="700" t="s">
        <v>11</v>
      </c>
      <c r="X52" s="701"/>
      <c r="Y52" s="662" t="s">
        <v>393</v>
      </c>
      <c r="Z52" s="663"/>
      <c r="AA52" s="663"/>
      <c r="AB52" s="750"/>
      <c r="AC52" s="686"/>
      <c r="AD52" s="1241"/>
      <c r="AE52" s="88"/>
      <c r="AF52" s="8"/>
      <c r="AG52" s="8"/>
      <c r="AH52" s="204"/>
      <c r="AI52" s="660"/>
    </row>
    <row r="53" spans="1:35" ht="15" customHeight="1">
      <c r="A53" s="59" t="s">
        <v>549</v>
      </c>
      <c r="B53" s="618" t="s">
        <v>164</v>
      </c>
      <c r="C53" s="619"/>
      <c r="D53" s="618" t="s">
        <v>63</v>
      </c>
      <c r="E53" s="619"/>
      <c r="F53" s="620" t="s">
        <v>788</v>
      </c>
      <c r="G53" s="621"/>
      <c r="H53" s="621"/>
      <c r="I53" s="622"/>
      <c r="J53" s="25"/>
      <c r="K53" s="406"/>
      <c r="L53" s="97" t="s">
        <v>425</v>
      </c>
      <c r="M53" s="25">
        <v>130</v>
      </c>
      <c r="N53" s="25">
        <v>1</v>
      </c>
      <c r="O53" s="32">
        <v>5130</v>
      </c>
      <c r="P53" s="9" t="s">
        <v>789</v>
      </c>
      <c r="T53" s="59" t="s">
        <v>549</v>
      </c>
      <c r="U53" s="618" t="s">
        <v>164</v>
      </c>
      <c r="V53" s="619"/>
      <c r="W53" s="618" t="s">
        <v>63</v>
      </c>
      <c r="X53" s="619"/>
      <c r="Y53" s="620" t="s">
        <v>788</v>
      </c>
      <c r="Z53" s="621"/>
      <c r="AA53" s="621"/>
      <c r="AB53" s="622"/>
      <c r="AC53" s="25"/>
      <c r="AD53" s="406"/>
      <c r="AE53" s="97" t="s">
        <v>425</v>
      </c>
      <c r="AF53" s="25">
        <v>130</v>
      </c>
      <c r="AG53" s="25">
        <v>1</v>
      </c>
      <c r="AH53" s="321">
        <v>5130</v>
      </c>
      <c r="AI53" s="9" t="s">
        <v>789</v>
      </c>
    </row>
    <row r="54" spans="1:35" ht="15" customHeight="1">
      <c r="A54" s="59" t="s">
        <v>52</v>
      </c>
      <c r="B54" s="618" t="s">
        <v>1114</v>
      </c>
      <c r="C54" s="619"/>
      <c r="D54" s="618" t="s">
        <v>1151</v>
      </c>
      <c r="E54" s="619"/>
      <c r="F54" s="620" t="s">
        <v>1152</v>
      </c>
      <c r="G54" s="621"/>
      <c r="H54" s="621"/>
      <c r="I54" s="622"/>
      <c r="J54" s="67" t="s">
        <v>1083</v>
      </c>
      <c r="K54" s="407"/>
      <c r="L54" s="97" t="s">
        <v>425</v>
      </c>
      <c r="M54" s="25">
        <v>130</v>
      </c>
      <c r="N54" s="25">
        <v>1</v>
      </c>
      <c r="O54" s="32">
        <v>10130</v>
      </c>
      <c r="P54" s="9" t="s">
        <v>517</v>
      </c>
      <c r="T54" s="59" t="s">
        <v>52</v>
      </c>
      <c r="U54" s="618" t="s">
        <v>1114</v>
      </c>
      <c r="V54" s="619"/>
      <c r="W54" s="618" t="s">
        <v>1151</v>
      </c>
      <c r="X54" s="619"/>
      <c r="Y54" s="620" t="s">
        <v>1152</v>
      </c>
      <c r="Z54" s="621"/>
      <c r="AA54" s="621"/>
      <c r="AB54" s="622"/>
      <c r="AC54" s="67" t="s">
        <v>1083</v>
      </c>
      <c r="AD54" s="407"/>
      <c r="AE54" s="97" t="s">
        <v>425</v>
      </c>
      <c r="AF54" s="25">
        <v>130</v>
      </c>
      <c r="AG54" s="25">
        <v>1</v>
      </c>
      <c r="AH54" s="321">
        <v>10130</v>
      </c>
      <c r="AI54" s="9" t="s">
        <v>517</v>
      </c>
    </row>
    <row r="55" spans="1:35" ht="26.25" customHeight="1">
      <c r="A55" s="229" t="s">
        <v>439</v>
      </c>
      <c r="B55" s="618" t="s">
        <v>147</v>
      </c>
      <c r="C55" s="619"/>
      <c r="D55" s="618" t="s">
        <v>49</v>
      </c>
      <c r="E55" s="619"/>
      <c r="F55" s="620" t="s">
        <v>518</v>
      </c>
      <c r="G55" s="621"/>
      <c r="H55" s="621"/>
      <c r="I55" s="622"/>
      <c r="J55" s="296" t="s">
        <v>1089</v>
      </c>
      <c r="K55" s="311" t="s">
        <v>1290</v>
      </c>
      <c r="L55" s="97" t="s">
        <v>425</v>
      </c>
      <c r="M55" s="25">
        <v>130</v>
      </c>
      <c r="N55" s="25">
        <v>1</v>
      </c>
      <c r="O55" s="32">
        <v>4130</v>
      </c>
      <c r="P55" s="9" t="s">
        <v>520</v>
      </c>
      <c r="T55" s="229" t="s">
        <v>439</v>
      </c>
      <c r="U55" s="618" t="s">
        <v>147</v>
      </c>
      <c r="V55" s="619"/>
      <c r="W55" s="618" t="s">
        <v>49</v>
      </c>
      <c r="X55" s="619"/>
      <c r="Y55" s="620" t="s">
        <v>518</v>
      </c>
      <c r="Z55" s="621"/>
      <c r="AA55" s="621"/>
      <c r="AB55" s="622"/>
      <c r="AC55" s="296" t="s">
        <v>1089</v>
      </c>
      <c r="AD55" s="311" t="s">
        <v>1087</v>
      </c>
      <c r="AE55" s="97" t="s">
        <v>425</v>
      </c>
      <c r="AF55" s="25">
        <v>130</v>
      </c>
      <c r="AG55" s="25">
        <v>1</v>
      </c>
      <c r="AH55" s="321">
        <v>4130</v>
      </c>
      <c r="AI55" s="9" t="s">
        <v>520</v>
      </c>
    </row>
    <row r="56" spans="1:35" ht="15" customHeight="1">
      <c r="A56" s="614" t="s">
        <v>809</v>
      </c>
      <c r="B56" s="700" t="s">
        <v>199</v>
      </c>
      <c r="C56" s="701"/>
      <c r="D56" s="700" t="s">
        <v>11</v>
      </c>
      <c r="E56" s="701"/>
      <c r="F56" s="769" t="s">
        <v>419</v>
      </c>
      <c r="G56" s="770"/>
      <c r="H56" s="770"/>
      <c r="I56" s="771"/>
      <c r="J56" s="685"/>
      <c r="K56" s="1240" t="s">
        <v>420</v>
      </c>
      <c r="L56" s="88"/>
      <c r="M56" s="8">
        <v>130</v>
      </c>
      <c r="N56" s="8">
        <v>1</v>
      </c>
      <c r="O56" s="124">
        <v>2130</v>
      </c>
      <c r="P56" s="660" t="s">
        <v>323</v>
      </c>
      <c r="T56" s="614" t="s">
        <v>809</v>
      </c>
      <c r="U56" s="700" t="s">
        <v>199</v>
      </c>
      <c r="V56" s="701"/>
      <c r="W56" s="700" t="s">
        <v>11</v>
      </c>
      <c r="X56" s="701"/>
      <c r="Y56" s="769" t="s">
        <v>419</v>
      </c>
      <c r="Z56" s="770"/>
      <c r="AA56" s="770"/>
      <c r="AB56" s="771"/>
      <c r="AC56" s="685"/>
      <c r="AD56" s="1240" t="s">
        <v>420</v>
      </c>
      <c r="AE56" s="88"/>
      <c r="AF56" s="8">
        <v>130</v>
      </c>
      <c r="AG56" s="8">
        <v>1</v>
      </c>
      <c r="AH56" s="204">
        <v>2130</v>
      </c>
      <c r="AI56" s="660" t="s">
        <v>323</v>
      </c>
    </row>
    <row r="57" spans="1:35" ht="15" customHeight="1">
      <c r="A57" s="616"/>
      <c r="B57" s="700" t="s">
        <v>202</v>
      </c>
      <c r="C57" s="701"/>
      <c r="D57" s="700" t="s">
        <v>11</v>
      </c>
      <c r="E57" s="701"/>
      <c r="F57" s="769" t="s">
        <v>203</v>
      </c>
      <c r="G57" s="770"/>
      <c r="H57" s="770"/>
      <c r="I57" s="771"/>
      <c r="J57" s="686"/>
      <c r="K57" s="1241"/>
      <c r="L57" s="88"/>
      <c r="M57" s="8"/>
      <c r="N57" s="8"/>
      <c r="O57" s="124"/>
      <c r="P57" s="660"/>
      <c r="T57" s="616"/>
      <c r="U57" s="700" t="s">
        <v>202</v>
      </c>
      <c r="V57" s="701"/>
      <c r="W57" s="700" t="s">
        <v>11</v>
      </c>
      <c r="X57" s="701"/>
      <c r="Y57" s="769" t="s">
        <v>203</v>
      </c>
      <c r="Z57" s="770"/>
      <c r="AA57" s="770"/>
      <c r="AB57" s="771"/>
      <c r="AC57" s="686"/>
      <c r="AD57" s="1241"/>
      <c r="AE57" s="88"/>
      <c r="AF57" s="8"/>
      <c r="AG57" s="8"/>
      <c r="AH57" s="204"/>
      <c r="AI57" s="660"/>
    </row>
    <row r="58" spans="1:35" ht="15" customHeight="1">
      <c r="A58" s="614" t="s">
        <v>127</v>
      </c>
      <c r="B58" s="700" t="s">
        <v>10</v>
      </c>
      <c r="C58" s="701"/>
      <c r="D58" s="700" t="s">
        <v>43</v>
      </c>
      <c r="E58" s="701"/>
      <c r="F58" s="769" t="s">
        <v>810</v>
      </c>
      <c r="G58" s="770"/>
      <c r="H58" s="770"/>
      <c r="I58" s="771"/>
      <c r="J58" s="685" t="s">
        <v>984</v>
      </c>
      <c r="K58" s="1242"/>
      <c r="L58" s="88"/>
      <c r="M58" s="8">
        <v>130</v>
      </c>
      <c r="N58" s="8">
        <v>1</v>
      </c>
      <c r="O58" s="124">
        <v>500</v>
      </c>
      <c r="P58" s="660" t="s">
        <v>12</v>
      </c>
      <c r="T58" s="614" t="s">
        <v>127</v>
      </c>
      <c r="U58" s="700" t="s">
        <v>10</v>
      </c>
      <c r="V58" s="701"/>
      <c r="W58" s="700" t="s">
        <v>43</v>
      </c>
      <c r="X58" s="701"/>
      <c r="Y58" s="769" t="s">
        <v>810</v>
      </c>
      <c r="Z58" s="770"/>
      <c r="AA58" s="770"/>
      <c r="AB58" s="771"/>
      <c r="AC58" s="685" t="s">
        <v>984</v>
      </c>
      <c r="AD58" s="1242"/>
      <c r="AE58" s="88"/>
      <c r="AF58" s="8">
        <v>130</v>
      </c>
      <c r="AG58" s="8">
        <v>1</v>
      </c>
      <c r="AH58" s="204">
        <v>500</v>
      </c>
      <c r="AI58" s="660" t="s">
        <v>12</v>
      </c>
    </row>
    <row r="59" spans="1:35" ht="15" customHeight="1" thickBot="1">
      <c r="A59" s="684"/>
      <c r="B59" s="693" t="s">
        <v>13</v>
      </c>
      <c r="C59" s="694"/>
      <c r="D59" s="693" t="s">
        <v>14</v>
      </c>
      <c r="E59" s="694"/>
      <c r="F59" s="783" t="s">
        <v>811</v>
      </c>
      <c r="G59" s="784"/>
      <c r="H59" s="784"/>
      <c r="I59" s="785"/>
      <c r="J59" s="686"/>
      <c r="K59" s="1255"/>
      <c r="L59" s="224"/>
      <c r="M59" s="24"/>
      <c r="N59" s="24"/>
      <c r="O59" s="363"/>
      <c r="P59" s="692"/>
      <c r="T59" s="684"/>
      <c r="U59" s="693" t="s">
        <v>13</v>
      </c>
      <c r="V59" s="694"/>
      <c r="W59" s="693" t="s">
        <v>14</v>
      </c>
      <c r="X59" s="694"/>
      <c r="Y59" s="783" t="s">
        <v>811</v>
      </c>
      <c r="Z59" s="784"/>
      <c r="AA59" s="784"/>
      <c r="AB59" s="785"/>
      <c r="AC59" s="686"/>
      <c r="AD59" s="1255"/>
      <c r="AE59" s="224"/>
      <c r="AF59" s="24"/>
      <c r="AG59" s="24"/>
      <c r="AH59" s="322"/>
      <c r="AI59" s="692"/>
    </row>
    <row r="60" spans="1:35" ht="15" customHeight="1" thickTop="1">
      <c r="A60" s="772" t="s">
        <v>380</v>
      </c>
      <c r="B60" s="773" t="s">
        <v>10</v>
      </c>
      <c r="C60" s="774"/>
      <c r="D60" s="773" t="s">
        <v>14</v>
      </c>
      <c r="E60" s="774"/>
      <c r="F60" s="775" t="s">
        <v>445</v>
      </c>
      <c r="G60" s="776"/>
      <c r="H60" s="776"/>
      <c r="I60" s="777"/>
      <c r="J60" s="677" t="s">
        <v>1403</v>
      </c>
      <c r="K60" s="788" t="s">
        <v>986</v>
      </c>
      <c r="L60" s="105"/>
      <c r="M60" s="14">
        <v>130</v>
      </c>
      <c r="N60" s="14">
        <v>1</v>
      </c>
      <c r="O60" s="51">
        <v>2130</v>
      </c>
      <c r="P60" s="708" t="s">
        <v>825</v>
      </c>
      <c r="T60" s="772" t="s">
        <v>380</v>
      </c>
      <c r="U60" s="773" t="s">
        <v>10</v>
      </c>
      <c r="V60" s="774"/>
      <c r="W60" s="773" t="s">
        <v>14</v>
      </c>
      <c r="X60" s="774"/>
      <c r="Y60" s="775" t="s">
        <v>445</v>
      </c>
      <c r="Z60" s="776"/>
      <c r="AA60" s="776"/>
      <c r="AB60" s="777"/>
      <c r="AC60" s="677" t="s">
        <v>1034</v>
      </c>
      <c r="AD60" s="788" t="s">
        <v>986</v>
      </c>
      <c r="AE60" s="105"/>
      <c r="AF60" s="14">
        <v>130</v>
      </c>
      <c r="AG60" s="14">
        <v>1</v>
      </c>
      <c r="AH60" s="317">
        <v>2130</v>
      </c>
      <c r="AI60" s="708" t="s">
        <v>825</v>
      </c>
    </row>
    <row r="61" spans="1:35" ht="15" customHeight="1">
      <c r="A61" s="664"/>
      <c r="B61" s="700" t="s">
        <v>81</v>
      </c>
      <c r="C61" s="701"/>
      <c r="D61" s="700" t="s">
        <v>14</v>
      </c>
      <c r="E61" s="701"/>
      <c r="F61" s="769" t="s">
        <v>448</v>
      </c>
      <c r="G61" s="770"/>
      <c r="H61" s="770"/>
      <c r="I61" s="771"/>
      <c r="J61" s="626"/>
      <c r="K61" s="789"/>
      <c r="L61" s="88"/>
      <c r="M61" s="8"/>
      <c r="N61" s="8"/>
      <c r="O61" s="124"/>
      <c r="P61" s="660"/>
      <c r="T61" s="664"/>
      <c r="U61" s="700" t="s">
        <v>81</v>
      </c>
      <c r="V61" s="701"/>
      <c r="W61" s="700" t="s">
        <v>14</v>
      </c>
      <c r="X61" s="701"/>
      <c r="Y61" s="769" t="s">
        <v>448</v>
      </c>
      <c r="Z61" s="770"/>
      <c r="AA61" s="770"/>
      <c r="AB61" s="771"/>
      <c r="AC61" s="626"/>
      <c r="AD61" s="789"/>
      <c r="AE61" s="88"/>
      <c r="AF61" s="8"/>
      <c r="AG61" s="8"/>
      <c r="AH61" s="204"/>
      <c r="AI61" s="660"/>
    </row>
    <row r="62" spans="1:35" ht="15" customHeight="1">
      <c r="A62" s="665"/>
      <c r="B62" s="700" t="s">
        <v>83</v>
      </c>
      <c r="C62" s="701"/>
      <c r="D62" s="700" t="s">
        <v>11</v>
      </c>
      <c r="E62" s="701"/>
      <c r="F62" s="769" t="s">
        <v>1165</v>
      </c>
      <c r="G62" s="770"/>
      <c r="H62" s="770"/>
      <c r="I62" s="771"/>
      <c r="J62" s="627"/>
      <c r="K62" s="790"/>
      <c r="L62" s="88"/>
      <c r="M62" s="8"/>
      <c r="N62" s="8"/>
      <c r="O62" s="124"/>
      <c r="P62" s="660"/>
      <c r="T62" s="665"/>
      <c r="U62" s="700" t="s">
        <v>83</v>
      </c>
      <c r="V62" s="701"/>
      <c r="W62" s="700" t="s">
        <v>11</v>
      </c>
      <c r="X62" s="701"/>
      <c r="Y62" s="769" t="s">
        <v>1165</v>
      </c>
      <c r="Z62" s="770"/>
      <c r="AA62" s="770"/>
      <c r="AB62" s="771"/>
      <c r="AC62" s="627"/>
      <c r="AD62" s="790"/>
      <c r="AE62" s="88"/>
      <c r="AF62" s="8"/>
      <c r="AG62" s="8"/>
      <c r="AH62" s="204"/>
      <c r="AI62" s="660"/>
    </row>
    <row r="63" spans="1:35" ht="15" customHeight="1">
      <c r="A63" s="59" t="s">
        <v>335</v>
      </c>
      <c r="B63" s="679" t="s">
        <v>868</v>
      </c>
      <c r="C63" s="680"/>
      <c r="D63" s="618" t="s">
        <v>72</v>
      </c>
      <c r="E63" s="619"/>
      <c r="F63" s="681" t="s">
        <v>1181</v>
      </c>
      <c r="G63" s="682"/>
      <c r="H63" s="682"/>
      <c r="I63" s="683"/>
      <c r="J63" s="255" t="s">
        <v>980</v>
      </c>
      <c r="K63" s="96"/>
      <c r="L63" s="97" t="s">
        <v>425</v>
      </c>
      <c r="M63" s="25">
        <v>130</v>
      </c>
      <c r="N63" s="25">
        <v>1</v>
      </c>
      <c r="O63" s="32">
        <v>8130</v>
      </c>
      <c r="P63" s="122" t="s">
        <v>901</v>
      </c>
      <c r="T63" s="59" t="s">
        <v>335</v>
      </c>
      <c r="U63" s="679" t="s">
        <v>868</v>
      </c>
      <c r="V63" s="680"/>
      <c r="W63" s="618" t="s">
        <v>72</v>
      </c>
      <c r="X63" s="619"/>
      <c r="Y63" s="681" t="s">
        <v>1181</v>
      </c>
      <c r="Z63" s="682"/>
      <c r="AA63" s="682"/>
      <c r="AB63" s="683"/>
      <c r="AC63" s="255" t="s">
        <v>980</v>
      </c>
      <c r="AD63" s="96"/>
      <c r="AE63" s="97" t="s">
        <v>425</v>
      </c>
      <c r="AF63" s="25">
        <v>130</v>
      </c>
      <c r="AG63" s="25">
        <v>1</v>
      </c>
      <c r="AH63" s="321">
        <v>8130</v>
      </c>
      <c r="AI63" s="122" t="s">
        <v>901</v>
      </c>
    </row>
    <row r="64" spans="1:35" ht="26.25" customHeight="1">
      <c r="A64" s="59" t="s">
        <v>156</v>
      </c>
      <c r="B64" s="1250" t="s">
        <v>485</v>
      </c>
      <c r="C64" s="1251"/>
      <c r="D64" s="1250" t="s">
        <v>49</v>
      </c>
      <c r="E64" s="1251"/>
      <c r="F64" s="1252" t="s">
        <v>1149</v>
      </c>
      <c r="G64" s="1253"/>
      <c r="H64" s="1253"/>
      <c r="I64" s="1254"/>
      <c r="J64" s="304" t="s">
        <v>1176</v>
      </c>
      <c r="K64" s="305" t="s">
        <v>1404</v>
      </c>
      <c r="L64" s="97" t="s">
        <v>425</v>
      </c>
      <c r="M64" s="25">
        <v>130</v>
      </c>
      <c r="N64" s="25">
        <v>1</v>
      </c>
      <c r="O64" s="32">
        <v>13130</v>
      </c>
      <c r="P64" s="9" t="s">
        <v>904</v>
      </c>
      <c r="T64" s="59" t="s">
        <v>156</v>
      </c>
      <c r="U64" s="618" t="s">
        <v>205</v>
      </c>
      <c r="V64" s="619"/>
      <c r="W64" s="618" t="s">
        <v>206</v>
      </c>
      <c r="X64" s="619"/>
      <c r="Y64" s="620" t="s">
        <v>903</v>
      </c>
      <c r="Z64" s="621"/>
      <c r="AA64" s="621"/>
      <c r="AB64" s="622"/>
      <c r="AC64" s="304" t="s">
        <v>1176</v>
      </c>
      <c r="AD64" s="305" t="s">
        <v>1175</v>
      </c>
      <c r="AE64" s="97" t="s">
        <v>425</v>
      </c>
      <c r="AF64" s="25">
        <v>130</v>
      </c>
      <c r="AG64" s="25">
        <v>1</v>
      </c>
      <c r="AH64" s="321">
        <v>8130</v>
      </c>
      <c r="AI64" s="9" t="s">
        <v>904</v>
      </c>
    </row>
    <row r="65" spans="1:35" ht="26.25" customHeight="1">
      <c r="A65" s="231" t="s">
        <v>70</v>
      </c>
      <c r="B65" s="618" t="s">
        <v>147</v>
      </c>
      <c r="C65" s="619"/>
      <c r="D65" s="618" t="s">
        <v>49</v>
      </c>
      <c r="E65" s="619"/>
      <c r="F65" s="620" t="s">
        <v>518</v>
      </c>
      <c r="G65" s="621"/>
      <c r="H65" s="621"/>
      <c r="I65" s="622"/>
      <c r="J65" s="296" t="s">
        <v>1089</v>
      </c>
      <c r="K65" s="420" t="s">
        <v>1290</v>
      </c>
      <c r="L65" s="97" t="s">
        <v>425</v>
      </c>
      <c r="M65" s="25">
        <v>130</v>
      </c>
      <c r="N65" s="25">
        <v>1</v>
      </c>
      <c r="O65" s="32">
        <v>20130</v>
      </c>
      <c r="P65" s="9" t="s">
        <v>905</v>
      </c>
      <c r="T65" s="231" t="s">
        <v>70</v>
      </c>
      <c r="U65" s="618" t="s">
        <v>147</v>
      </c>
      <c r="V65" s="619"/>
      <c r="W65" s="618" t="s">
        <v>49</v>
      </c>
      <c r="X65" s="619"/>
      <c r="Y65" s="620" t="s">
        <v>518</v>
      </c>
      <c r="Z65" s="621"/>
      <c r="AA65" s="621"/>
      <c r="AB65" s="622"/>
      <c r="AC65" s="296" t="s">
        <v>1089</v>
      </c>
      <c r="AD65" s="420" t="s">
        <v>1087</v>
      </c>
      <c r="AE65" s="97" t="s">
        <v>425</v>
      </c>
      <c r="AF65" s="25">
        <v>130</v>
      </c>
      <c r="AG65" s="25">
        <v>1</v>
      </c>
      <c r="AH65" s="321">
        <v>20130</v>
      </c>
      <c r="AI65" s="9" t="s">
        <v>905</v>
      </c>
    </row>
    <row r="66" spans="1:35" ht="15" customHeight="1">
      <c r="A66" s="614" t="s">
        <v>141</v>
      </c>
      <c r="B66" s="700" t="s">
        <v>10</v>
      </c>
      <c r="C66" s="701"/>
      <c r="D66" s="700" t="s">
        <v>43</v>
      </c>
      <c r="E66" s="701"/>
      <c r="F66" s="662" t="s">
        <v>890</v>
      </c>
      <c r="G66" s="663"/>
      <c r="H66" s="663"/>
      <c r="I66" s="750"/>
      <c r="J66" s="735" t="s">
        <v>1405</v>
      </c>
      <c r="K66" s="671"/>
      <c r="L66" s="88"/>
      <c r="M66" s="8">
        <v>130</v>
      </c>
      <c r="N66" s="8">
        <v>1</v>
      </c>
      <c r="O66" s="124">
        <v>3130</v>
      </c>
      <c r="P66" s="660" t="s">
        <v>1164</v>
      </c>
      <c r="T66" s="614" t="s">
        <v>141</v>
      </c>
      <c r="U66" s="700" t="s">
        <v>10</v>
      </c>
      <c r="V66" s="701"/>
      <c r="W66" s="700" t="s">
        <v>43</v>
      </c>
      <c r="X66" s="701"/>
      <c r="Y66" s="662" t="s">
        <v>890</v>
      </c>
      <c r="Z66" s="663"/>
      <c r="AA66" s="663"/>
      <c r="AB66" s="750"/>
      <c r="AC66" s="735" t="s">
        <v>1094</v>
      </c>
      <c r="AD66" s="671"/>
      <c r="AE66" s="88"/>
      <c r="AF66" s="8">
        <v>130</v>
      </c>
      <c r="AG66" s="8">
        <v>1</v>
      </c>
      <c r="AH66" s="204">
        <v>3130</v>
      </c>
      <c r="AI66" s="660" t="s">
        <v>1164</v>
      </c>
    </row>
    <row r="67" spans="1:35" ht="15" customHeight="1">
      <c r="A67" s="615"/>
      <c r="B67" s="700" t="s">
        <v>81</v>
      </c>
      <c r="C67" s="701"/>
      <c r="D67" s="700" t="s">
        <v>11</v>
      </c>
      <c r="E67" s="701"/>
      <c r="F67" s="662" t="s">
        <v>891</v>
      </c>
      <c r="G67" s="663"/>
      <c r="H67" s="663"/>
      <c r="I67" s="750"/>
      <c r="J67" s="1244"/>
      <c r="K67" s="672"/>
      <c r="L67" s="88"/>
      <c r="M67" s="8"/>
      <c r="N67" s="8"/>
      <c r="O67" s="124"/>
      <c r="P67" s="660"/>
      <c r="T67" s="615"/>
      <c r="U67" s="700" t="s">
        <v>81</v>
      </c>
      <c r="V67" s="701"/>
      <c r="W67" s="700" t="s">
        <v>11</v>
      </c>
      <c r="X67" s="701"/>
      <c r="Y67" s="662" t="s">
        <v>891</v>
      </c>
      <c r="Z67" s="663"/>
      <c r="AA67" s="663"/>
      <c r="AB67" s="750"/>
      <c r="AC67" s="1244"/>
      <c r="AD67" s="672"/>
      <c r="AE67" s="88"/>
      <c r="AF67" s="8"/>
      <c r="AG67" s="8"/>
      <c r="AH67" s="204"/>
      <c r="AI67" s="660"/>
    </row>
    <row r="68" spans="1:35" ht="15" customHeight="1">
      <c r="A68" s="616"/>
      <c r="B68" s="700" t="s">
        <v>83</v>
      </c>
      <c r="C68" s="701"/>
      <c r="D68" s="700" t="s">
        <v>11</v>
      </c>
      <c r="E68" s="701"/>
      <c r="F68" s="769" t="s">
        <v>892</v>
      </c>
      <c r="G68" s="770"/>
      <c r="H68" s="770"/>
      <c r="I68" s="771"/>
      <c r="J68" s="1245"/>
      <c r="K68" s="673"/>
      <c r="L68" s="88"/>
      <c r="M68" s="8"/>
      <c r="N68" s="8"/>
      <c r="O68" s="124"/>
      <c r="P68" s="660"/>
      <c r="T68" s="616"/>
      <c r="U68" s="700" t="s">
        <v>83</v>
      </c>
      <c r="V68" s="701"/>
      <c r="W68" s="700" t="s">
        <v>11</v>
      </c>
      <c r="X68" s="701"/>
      <c r="Y68" s="769" t="s">
        <v>892</v>
      </c>
      <c r="Z68" s="770"/>
      <c r="AA68" s="770"/>
      <c r="AB68" s="771"/>
      <c r="AC68" s="1245"/>
      <c r="AD68" s="673"/>
      <c r="AE68" s="88"/>
      <c r="AF68" s="8"/>
      <c r="AG68" s="8"/>
      <c r="AH68" s="204"/>
      <c r="AI68" s="660"/>
    </row>
    <row r="69" spans="1:35" ht="15" customHeight="1">
      <c r="A69" s="229" t="s">
        <v>352</v>
      </c>
      <c r="B69" s="618" t="s">
        <v>147</v>
      </c>
      <c r="C69" s="619"/>
      <c r="D69" s="618" t="s">
        <v>49</v>
      </c>
      <c r="E69" s="619"/>
      <c r="F69" s="620" t="s">
        <v>966</v>
      </c>
      <c r="G69" s="621"/>
      <c r="H69" s="621"/>
      <c r="I69" s="622"/>
      <c r="J69" s="25" t="s">
        <v>1139</v>
      </c>
      <c r="K69" s="32"/>
      <c r="L69" s="97" t="s">
        <v>425</v>
      </c>
      <c r="M69" s="25">
        <v>130</v>
      </c>
      <c r="N69" s="25">
        <v>1</v>
      </c>
      <c r="O69" s="32">
        <v>1330</v>
      </c>
      <c r="P69" s="9" t="s">
        <v>797</v>
      </c>
      <c r="T69" s="229" t="s">
        <v>352</v>
      </c>
      <c r="U69" s="618" t="s">
        <v>147</v>
      </c>
      <c r="V69" s="619"/>
      <c r="W69" s="618" t="s">
        <v>49</v>
      </c>
      <c r="X69" s="619"/>
      <c r="Y69" s="620" t="s">
        <v>966</v>
      </c>
      <c r="Z69" s="621"/>
      <c r="AA69" s="621"/>
      <c r="AB69" s="622"/>
      <c r="AC69" s="25" t="s">
        <v>1139</v>
      </c>
      <c r="AD69" s="32"/>
      <c r="AE69" s="97" t="s">
        <v>425</v>
      </c>
      <c r="AF69" s="25">
        <v>130</v>
      </c>
      <c r="AG69" s="25">
        <v>1</v>
      </c>
      <c r="AH69" s="321">
        <v>1330</v>
      </c>
      <c r="AI69" s="9" t="s">
        <v>797</v>
      </c>
    </row>
    <row r="70" spans="1:35" ht="15" customHeight="1">
      <c r="A70" s="73" t="s">
        <v>78</v>
      </c>
      <c r="B70" s="618" t="s">
        <v>211</v>
      </c>
      <c r="C70" s="619"/>
      <c r="D70" s="618" t="s">
        <v>72</v>
      </c>
      <c r="E70" s="619"/>
      <c r="F70" s="620" t="s">
        <v>893</v>
      </c>
      <c r="G70" s="621"/>
      <c r="H70" s="621"/>
      <c r="I70" s="622"/>
      <c r="J70" s="274" t="s">
        <v>987</v>
      </c>
      <c r="K70" s="25"/>
      <c r="L70" s="97" t="s">
        <v>436</v>
      </c>
      <c r="M70" s="25">
        <v>130</v>
      </c>
      <c r="N70" s="408">
        <v>1</v>
      </c>
      <c r="O70" s="122">
        <v>10130</v>
      </c>
      <c r="P70" s="9" t="s">
        <v>466</v>
      </c>
      <c r="T70" s="73" t="s">
        <v>78</v>
      </c>
      <c r="U70" s="618" t="s">
        <v>211</v>
      </c>
      <c r="V70" s="619"/>
      <c r="W70" s="618" t="s">
        <v>72</v>
      </c>
      <c r="X70" s="619"/>
      <c r="Y70" s="620" t="s">
        <v>893</v>
      </c>
      <c r="Z70" s="621"/>
      <c r="AA70" s="621"/>
      <c r="AB70" s="622"/>
      <c r="AC70" s="274" t="s">
        <v>987</v>
      </c>
      <c r="AD70" s="25"/>
      <c r="AE70" s="97" t="s">
        <v>436</v>
      </c>
      <c r="AF70" s="25">
        <v>130</v>
      </c>
      <c r="AG70" s="408">
        <v>1</v>
      </c>
      <c r="AH70" s="361">
        <v>10130</v>
      </c>
      <c r="AI70" s="9" t="s">
        <v>466</v>
      </c>
    </row>
    <row r="71" spans="1:35" ht="15" customHeight="1">
      <c r="A71" s="59" t="s">
        <v>919</v>
      </c>
      <c r="B71" s="618" t="s">
        <v>147</v>
      </c>
      <c r="C71" s="619"/>
      <c r="D71" s="618" t="s">
        <v>49</v>
      </c>
      <c r="E71" s="619"/>
      <c r="F71" s="620" t="s">
        <v>1150</v>
      </c>
      <c r="G71" s="621"/>
      <c r="H71" s="621"/>
      <c r="I71" s="622"/>
      <c r="J71" s="25" t="s">
        <v>1080</v>
      </c>
      <c r="K71" s="109"/>
      <c r="L71" s="97" t="s">
        <v>1158</v>
      </c>
      <c r="M71" s="25">
        <v>130</v>
      </c>
      <c r="N71" s="25">
        <v>1</v>
      </c>
      <c r="O71" s="32">
        <v>2630</v>
      </c>
      <c r="P71" s="9" t="s">
        <v>799</v>
      </c>
      <c r="T71" s="59" t="s">
        <v>919</v>
      </c>
      <c r="U71" s="618" t="s">
        <v>147</v>
      </c>
      <c r="V71" s="619"/>
      <c r="W71" s="618" t="s">
        <v>49</v>
      </c>
      <c r="X71" s="619"/>
      <c r="Y71" s="620" t="s">
        <v>1150</v>
      </c>
      <c r="Z71" s="621"/>
      <c r="AA71" s="621"/>
      <c r="AB71" s="622"/>
      <c r="AC71" s="25" t="s">
        <v>1080</v>
      </c>
      <c r="AD71" s="109"/>
      <c r="AE71" s="97" t="s">
        <v>1158</v>
      </c>
      <c r="AF71" s="25">
        <v>130</v>
      </c>
      <c r="AG71" s="25">
        <v>1</v>
      </c>
      <c r="AH71" s="321">
        <v>2630</v>
      </c>
      <c r="AI71" s="9" t="s">
        <v>799</v>
      </c>
    </row>
    <row r="72" spans="1:35" ht="15" customHeight="1">
      <c r="A72" s="59" t="s">
        <v>1154</v>
      </c>
      <c r="B72" s="618" t="s">
        <v>62</v>
      </c>
      <c r="C72" s="619"/>
      <c r="D72" s="618" t="s">
        <v>63</v>
      </c>
      <c r="E72" s="619"/>
      <c r="F72" s="620" t="s">
        <v>1153</v>
      </c>
      <c r="G72" s="621"/>
      <c r="H72" s="621"/>
      <c r="I72" s="622"/>
      <c r="J72" s="274" t="s">
        <v>987</v>
      </c>
      <c r="K72" s="25"/>
      <c r="L72" s="97" t="s">
        <v>425</v>
      </c>
      <c r="M72" s="25">
        <v>130</v>
      </c>
      <c r="N72" s="25">
        <v>1</v>
      </c>
      <c r="O72" s="32">
        <v>20130</v>
      </c>
      <c r="P72" s="9" t="s">
        <v>1133</v>
      </c>
      <c r="T72" s="59" t="s">
        <v>1154</v>
      </c>
      <c r="U72" s="618" t="s">
        <v>62</v>
      </c>
      <c r="V72" s="619"/>
      <c r="W72" s="618" t="s">
        <v>63</v>
      </c>
      <c r="X72" s="619"/>
      <c r="Y72" s="620" t="s">
        <v>1153</v>
      </c>
      <c r="Z72" s="621"/>
      <c r="AA72" s="621"/>
      <c r="AB72" s="622"/>
      <c r="AC72" s="274" t="s">
        <v>987</v>
      </c>
      <c r="AD72" s="25"/>
      <c r="AE72" s="97" t="s">
        <v>425</v>
      </c>
      <c r="AF72" s="25">
        <v>130</v>
      </c>
      <c r="AG72" s="25">
        <v>1</v>
      </c>
      <c r="AH72" s="321">
        <v>20130</v>
      </c>
      <c r="AI72" s="9" t="s">
        <v>1133</v>
      </c>
    </row>
    <row r="73" spans="1:35" ht="31.5" customHeight="1">
      <c r="A73" s="59" t="s">
        <v>1155</v>
      </c>
      <c r="B73" s="618" t="s">
        <v>178</v>
      </c>
      <c r="C73" s="619"/>
      <c r="D73" s="618" t="s">
        <v>72</v>
      </c>
      <c r="E73" s="619"/>
      <c r="F73" s="620" t="s">
        <v>922</v>
      </c>
      <c r="G73" s="621"/>
      <c r="H73" s="621"/>
      <c r="I73" s="622"/>
      <c r="J73" s="313" t="s">
        <v>1401</v>
      </c>
      <c r="K73" s="421" t="s">
        <v>1091</v>
      </c>
      <c r="L73" s="97" t="s">
        <v>436</v>
      </c>
      <c r="M73" s="25">
        <v>130</v>
      </c>
      <c r="N73" s="25">
        <v>1</v>
      </c>
      <c r="O73" s="32">
        <v>6130</v>
      </c>
      <c r="P73" s="9" t="s">
        <v>1163</v>
      </c>
      <c r="T73" s="59" t="s">
        <v>1155</v>
      </c>
      <c r="U73" s="618" t="s">
        <v>178</v>
      </c>
      <c r="V73" s="619"/>
      <c r="W73" s="618" t="s">
        <v>72</v>
      </c>
      <c r="X73" s="619"/>
      <c r="Y73" s="620" t="s">
        <v>922</v>
      </c>
      <c r="Z73" s="621"/>
      <c r="AA73" s="621"/>
      <c r="AB73" s="622"/>
      <c r="AC73" s="313" t="s">
        <v>1138</v>
      </c>
      <c r="AD73" s="421" t="s">
        <v>1091</v>
      </c>
      <c r="AE73" s="97" t="s">
        <v>436</v>
      </c>
      <c r="AF73" s="25">
        <v>130</v>
      </c>
      <c r="AG73" s="25">
        <v>1</v>
      </c>
      <c r="AH73" s="321">
        <v>6130</v>
      </c>
      <c r="AI73" s="9" t="s">
        <v>1163</v>
      </c>
    </row>
    <row r="74" spans="1:35" ht="18" customHeight="1">
      <c r="A74" s="417" t="s">
        <v>1406</v>
      </c>
      <c r="B74" s="415"/>
      <c r="C74" s="415"/>
      <c r="D74" s="415"/>
      <c r="E74" s="415"/>
      <c r="F74" s="415"/>
      <c r="G74" s="415"/>
      <c r="H74" s="415"/>
      <c r="I74" s="415"/>
      <c r="J74" s="410"/>
      <c r="K74" s="410"/>
      <c r="L74" s="414"/>
      <c r="M74" s="410"/>
      <c r="N74" s="410"/>
      <c r="O74" s="565"/>
      <c r="P74" s="413"/>
      <c r="T74" s="417" t="s">
        <v>1162</v>
      </c>
      <c r="U74" s="415"/>
      <c r="V74" s="415"/>
      <c r="W74" s="415"/>
      <c r="X74" s="415"/>
      <c r="Y74" s="415"/>
      <c r="Z74" s="415"/>
      <c r="AA74" s="415"/>
      <c r="AB74" s="415"/>
      <c r="AC74" s="410"/>
      <c r="AD74" s="410"/>
      <c r="AE74" s="414"/>
      <c r="AF74" s="410"/>
      <c r="AG74" s="410"/>
      <c r="AH74" s="411"/>
      <c r="AI74" s="413"/>
    </row>
    <row r="75" spans="1:35" ht="18" customHeight="1">
      <c r="A75" s="418"/>
      <c r="B75" s="399"/>
      <c r="C75" s="399"/>
      <c r="D75" s="399"/>
      <c r="E75" s="399"/>
      <c r="F75" s="399"/>
      <c r="G75" s="399"/>
      <c r="H75" s="399"/>
      <c r="I75" s="399"/>
      <c r="J75" s="118"/>
      <c r="K75" s="118"/>
      <c r="L75" s="419"/>
      <c r="M75" s="118"/>
      <c r="N75" s="118"/>
      <c r="O75" s="45"/>
      <c r="P75" s="120"/>
    </row>
    <row r="76" spans="1:35" ht="18" customHeight="1">
      <c r="A76" s="418"/>
      <c r="B76" s="399"/>
      <c r="C76" s="399"/>
      <c r="D76" s="399"/>
      <c r="E76" s="399"/>
      <c r="F76" s="399"/>
      <c r="G76" s="399"/>
      <c r="H76" s="399"/>
      <c r="I76" s="399"/>
      <c r="J76" s="118"/>
      <c r="K76" s="118"/>
      <c r="L76" s="419"/>
      <c r="M76" s="118"/>
      <c r="N76" s="118"/>
      <c r="O76" s="45"/>
      <c r="P76" s="120"/>
    </row>
    <row r="77" spans="1:35" ht="18" customHeight="1">
      <c r="A77" s="531"/>
      <c r="B77" s="531"/>
      <c r="C77" s="531"/>
      <c r="D77" s="531"/>
      <c r="E77" s="531"/>
      <c r="F77" s="531"/>
      <c r="G77" s="531"/>
      <c r="H77" s="531"/>
      <c r="I77" s="531"/>
      <c r="J77" s="531"/>
      <c r="K77" s="531"/>
      <c r="L77" s="531"/>
      <c r="M77" s="531"/>
      <c r="N77" s="531"/>
      <c r="O77" s="531"/>
      <c r="P77" s="531"/>
    </row>
    <row r="78" spans="1:35" ht="18.600000000000001" customHeight="1">
      <c r="A78" s="215" t="s">
        <v>1122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531"/>
    </row>
    <row r="79" spans="1:35" ht="18.600000000000001" customHeight="1">
      <c r="A79" s="243" t="s">
        <v>1172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465"/>
      <c r="M79" s="39"/>
      <c r="N79" s="39"/>
      <c r="O79" s="39"/>
      <c r="P79" s="531"/>
    </row>
    <row r="80" spans="1:35" ht="14.4" customHeight="1">
      <c r="A80" s="49" t="s">
        <v>366</v>
      </c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 t="s">
        <v>983</v>
      </c>
      <c r="N80" s="39"/>
      <c r="O80" s="39"/>
      <c r="P80" s="531"/>
    </row>
    <row r="81" spans="1:18" ht="15" customHeight="1">
      <c r="A81" s="754" t="s">
        <v>2</v>
      </c>
      <c r="B81" s="756" t="s">
        <v>3</v>
      </c>
      <c r="C81" s="757"/>
      <c r="D81" s="760" t="s">
        <v>4</v>
      </c>
      <c r="E81" s="761"/>
      <c r="F81" s="756" t="s">
        <v>5</v>
      </c>
      <c r="G81" s="764"/>
      <c r="H81" s="764"/>
      <c r="I81" s="757"/>
      <c r="J81" s="713" t="s">
        <v>491</v>
      </c>
      <c r="K81" s="766" t="s">
        <v>7</v>
      </c>
      <c r="L81" s="185" t="s">
        <v>1157</v>
      </c>
      <c r="M81" s="696" t="s">
        <v>1095</v>
      </c>
      <c r="N81" s="716" t="s">
        <v>1096</v>
      </c>
      <c r="O81" s="766" t="s">
        <v>1097</v>
      </c>
      <c r="P81" s="715" t="s">
        <v>8</v>
      </c>
    </row>
    <row r="82" spans="1:18" ht="15" customHeight="1">
      <c r="A82" s="755"/>
      <c r="B82" s="758"/>
      <c r="C82" s="759"/>
      <c r="D82" s="762"/>
      <c r="E82" s="763"/>
      <c r="F82" s="758"/>
      <c r="G82" s="765"/>
      <c r="H82" s="765"/>
      <c r="I82" s="759"/>
      <c r="J82" s="714"/>
      <c r="K82" s="767"/>
      <c r="L82" s="186" t="s">
        <v>410</v>
      </c>
      <c r="M82" s="706"/>
      <c r="N82" s="1239"/>
      <c r="O82" s="767"/>
      <c r="P82" s="715"/>
    </row>
    <row r="83" spans="1:18" ht="15" customHeight="1">
      <c r="A83" s="59" t="s">
        <v>233</v>
      </c>
      <c r="B83" s="618" t="s">
        <v>178</v>
      </c>
      <c r="C83" s="619"/>
      <c r="D83" s="618" t="s">
        <v>240</v>
      </c>
      <c r="E83" s="619"/>
      <c r="F83" s="620" t="s">
        <v>1067</v>
      </c>
      <c r="G83" s="621"/>
      <c r="H83" s="621"/>
      <c r="I83" s="622"/>
      <c r="J83" s="23" t="s">
        <v>1084</v>
      </c>
      <c r="K83" s="273" t="s">
        <v>986</v>
      </c>
      <c r="L83" s="97" t="s">
        <v>425</v>
      </c>
      <c r="M83" s="25">
        <v>120</v>
      </c>
      <c r="N83" s="25">
        <v>1</v>
      </c>
      <c r="O83" s="32">
        <v>20120</v>
      </c>
      <c r="P83" s="9" t="s">
        <v>1160</v>
      </c>
    </row>
    <row r="84" spans="1:18" ht="15" customHeight="1">
      <c r="A84" s="59" t="s">
        <v>298</v>
      </c>
      <c r="B84" s="679" t="s">
        <v>868</v>
      </c>
      <c r="C84" s="680"/>
      <c r="D84" s="618" t="s">
        <v>72</v>
      </c>
      <c r="E84" s="619"/>
      <c r="F84" s="681" t="s">
        <v>1181</v>
      </c>
      <c r="G84" s="682"/>
      <c r="H84" s="682"/>
      <c r="I84" s="683"/>
      <c r="J84" s="255" t="s">
        <v>879</v>
      </c>
      <c r="K84" s="96" t="s">
        <v>880</v>
      </c>
      <c r="L84" s="97" t="s">
        <v>436</v>
      </c>
      <c r="M84" s="25">
        <v>120</v>
      </c>
      <c r="N84" s="25">
        <v>1</v>
      </c>
      <c r="O84" s="32">
        <v>8120</v>
      </c>
      <c r="P84" s="122" t="s">
        <v>901</v>
      </c>
      <c r="Q84" s="429"/>
      <c r="R84" s="45"/>
    </row>
    <row r="85" spans="1:18" ht="15" customHeight="1">
      <c r="A85" s="57" t="s">
        <v>239</v>
      </c>
      <c r="B85" s="618" t="s">
        <v>236</v>
      </c>
      <c r="C85" s="619"/>
      <c r="D85" s="618" t="s">
        <v>49</v>
      </c>
      <c r="E85" s="619"/>
      <c r="F85" s="620" t="s">
        <v>1171</v>
      </c>
      <c r="G85" s="621"/>
      <c r="H85" s="621"/>
      <c r="I85" s="622"/>
      <c r="J85" s="15" t="s">
        <v>984</v>
      </c>
      <c r="K85" s="15"/>
      <c r="L85" s="97" t="s">
        <v>436</v>
      </c>
      <c r="M85" s="25">
        <v>120</v>
      </c>
      <c r="N85" s="25">
        <v>1</v>
      </c>
      <c r="O85" s="32">
        <v>12120</v>
      </c>
      <c r="P85" s="9" t="s">
        <v>1161</v>
      </c>
    </row>
    <row r="86" spans="1:18" ht="15" customHeight="1">
      <c r="A86" s="614" t="s">
        <v>242</v>
      </c>
      <c r="B86" s="700" t="s">
        <v>10</v>
      </c>
      <c r="C86" s="701"/>
      <c r="D86" s="700" t="s">
        <v>11</v>
      </c>
      <c r="E86" s="701"/>
      <c r="F86" s="769" t="s">
        <v>415</v>
      </c>
      <c r="G86" s="770"/>
      <c r="H86" s="770"/>
      <c r="I86" s="771"/>
      <c r="J86" s="1268" t="s">
        <v>1398</v>
      </c>
      <c r="K86" s="1270" t="s">
        <v>1065</v>
      </c>
      <c r="L86" s="88"/>
      <c r="M86" s="8">
        <v>120</v>
      </c>
      <c r="N86" s="8">
        <v>1</v>
      </c>
      <c r="O86" s="124">
        <v>10120</v>
      </c>
      <c r="P86" s="660" t="s">
        <v>875</v>
      </c>
    </row>
    <row r="87" spans="1:18" ht="15" customHeight="1">
      <c r="A87" s="616"/>
      <c r="B87" s="700" t="s">
        <v>13</v>
      </c>
      <c r="C87" s="701"/>
      <c r="D87" s="700" t="s">
        <v>11</v>
      </c>
      <c r="E87" s="701"/>
      <c r="F87" s="769" t="s">
        <v>418</v>
      </c>
      <c r="G87" s="770"/>
      <c r="H87" s="770"/>
      <c r="I87" s="771"/>
      <c r="J87" s="1269"/>
      <c r="K87" s="1271"/>
      <c r="L87" s="88"/>
      <c r="M87" s="8"/>
      <c r="N87" s="8"/>
      <c r="O87" s="124"/>
      <c r="P87" s="660"/>
    </row>
    <row r="88" spans="1:18" ht="15" customHeight="1">
      <c r="A88" s="614" t="s">
        <v>807</v>
      </c>
      <c r="B88" s="700" t="s">
        <v>10</v>
      </c>
      <c r="C88" s="701"/>
      <c r="D88" s="700" t="s">
        <v>43</v>
      </c>
      <c r="E88" s="701"/>
      <c r="F88" s="769" t="s">
        <v>823</v>
      </c>
      <c r="G88" s="770"/>
      <c r="H88" s="770"/>
      <c r="I88" s="771"/>
      <c r="J88" s="625" t="s">
        <v>1397</v>
      </c>
      <c r="K88" s="1258" t="s">
        <v>782</v>
      </c>
      <c r="L88" s="88"/>
      <c r="M88" s="8">
        <v>120</v>
      </c>
      <c r="N88" s="8">
        <v>1</v>
      </c>
      <c r="O88" s="124">
        <v>1320</v>
      </c>
      <c r="P88" s="660" t="s">
        <v>914</v>
      </c>
    </row>
    <row r="89" spans="1:18" ht="15" customHeight="1">
      <c r="A89" s="616"/>
      <c r="B89" s="700" t="s">
        <v>13</v>
      </c>
      <c r="C89" s="701"/>
      <c r="D89" s="700" t="s">
        <v>11</v>
      </c>
      <c r="E89" s="701"/>
      <c r="F89" s="769" t="s">
        <v>414</v>
      </c>
      <c r="G89" s="770"/>
      <c r="H89" s="770"/>
      <c r="I89" s="771"/>
      <c r="J89" s="627"/>
      <c r="K89" s="1259"/>
      <c r="L89" s="88"/>
      <c r="M89" s="8"/>
      <c r="N89" s="8"/>
      <c r="O89" s="124"/>
      <c r="P89" s="660"/>
    </row>
    <row r="90" spans="1:18" ht="15" customHeight="1">
      <c r="A90" s="614" t="s">
        <v>808</v>
      </c>
      <c r="B90" s="700" t="s">
        <v>35</v>
      </c>
      <c r="C90" s="701"/>
      <c r="D90" s="700" t="s">
        <v>11</v>
      </c>
      <c r="E90" s="701"/>
      <c r="F90" s="662" t="s">
        <v>303</v>
      </c>
      <c r="G90" s="663"/>
      <c r="H90" s="663"/>
      <c r="I90" s="750"/>
      <c r="J90" s="685"/>
      <c r="K90" s="1240" t="s">
        <v>37</v>
      </c>
      <c r="L90" s="88"/>
      <c r="M90" s="8">
        <v>120</v>
      </c>
      <c r="N90" s="8">
        <v>1</v>
      </c>
      <c r="O90" s="124">
        <v>1000</v>
      </c>
      <c r="P90" s="660" t="s">
        <v>1159</v>
      </c>
    </row>
    <row r="91" spans="1:18" ht="15" customHeight="1">
      <c r="A91" s="616"/>
      <c r="B91" s="700" t="s">
        <v>304</v>
      </c>
      <c r="C91" s="701"/>
      <c r="D91" s="700" t="s">
        <v>11</v>
      </c>
      <c r="E91" s="701"/>
      <c r="F91" s="662" t="s">
        <v>393</v>
      </c>
      <c r="G91" s="663"/>
      <c r="H91" s="663"/>
      <c r="I91" s="750"/>
      <c r="J91" s="686"/>
      <c r="K91" s="1241"/>
      <c r="L91" s="88"/>
      <c r="M91" s="8"/>
      <c r="N91" s="8"/>
      <c r="O91" s="124"/>
      <c r="P91" s="660"/>
    </row>
    <row r="92" spans="1:18" ht="15" customHeight="1">
      <c r="A92" s="59" t="s">
        <v>549</v>
      </c>
      <c r="B92" s="618" t="s">
        <v>164</v>
      </c>
      <c r="C92" s="619"/>
      <c r="D92" s="618" t="s">
        <v>63</v>
      </c>
      <c r="E92" s="619"/>
      <c r="F92" s="620" t="s">
        <v>788</v>
      </c>
      <c r="G92" s="621"/>
      <c r="H92" s="621"/>
      <c r="I92" s="622"/>
      <c r="J92" s="25"/>
      <c r="K92" s="25"/>
      <c r="L92" s="97" t="s">
        <v>425</v>
      </c>
      <c r="M92" s="25">
        <v>120</v>
      </c>
      <c r="N92" s="25">
        <v>1</v>
      </c>
      <c r="O92" s="32">
        <v>5120</v>
      </c>
      <c r="P92" s="9" t="s">
        <v>789</v>
      </c>
    </row>
    <row r="93" spans="1:18" ht="15" customHeight="1">
      <c r="A93" s="57" t="s">
        <v>434</v>
      </c>
      <c r="B93" s="618" t="s">
        <v>1114</v>
      </c>
      <c r="C93" s="619"/>
      <c r="D93" s="618" t="s">
        <v>1115</v>
      </c>
      <c r="E93" s="619"/>
      <c r="F93" s="620" t="s">
        <v>1152</v>
      </c>
      <c r="G93" s="621"/>
      <c r="H93" s="621"/>
      <c r="I93" s="622"/>
      <c r="J93" s="67" t="s">
        <v>1083</v>
      </c>
      <c r="K93" s="407"/>
      <c r="L93" s="97" t="s">
        <v>425</v>
      </c>
      <c r="M93" s="25">
        <v>120</v>
      </c>
      <c r="N93" s="25">
        <v>1</v>
      </c>
      <c r="O93" s="32">
        <v>10120</v>
      </c>
      <c r="P93" s="9" t="s">
        <v>517</v>
      </c>
    </row>
    <row r="94" spans="1:18" ht="31.5" customHeight="1">
      <c r="A94" s="229" t="s">
        <v>309</v>
      </c>
      <c r="B94" s="618" t="s">
        <v>147</v>
      </c>
      <c r="C94" s="619"/>
      <c r="D94" s="618" t="s">
        <v>49</v>
      </c>
      <c r="E94" s="619"/>
      <c r="F94" s="620" t="s">
        <v>518</v>
      </c>
      <c r="G94" s="621"/>
      <c r="H94" s="621"/>
      <c r="I94" s="622"/>
      <c r="J94" s="296" t="s">
        <v>1089</v>
      </c>
      <c r="K94" s="420" t="s">
        <v>1290</v>
      </c>
      <c r="L94" s="97" t="s">
        <v>425</v>
      </c>
      <c r="M94" s="25">
        <v>120</v>
      </c>
      <c r="N94" s="25">
        <v>1</v>
      </c>
      <c r="O94" s="32">
        <v>4120</v>
      </c>
      <c r="P94" s="9" t="s">
        <v>520</v>
      </c>
    </row>
    <row r="95" spans="1:18" ht="15" customHeight="1">
      <c r="A95" s="614" t="s">
        <v>809</v>
      </c>
      <c r="B95" s="700" t="s">
        <v>199</v>
      </c>
      <c r="C95" s="701"/>
      <c r="D95" s="700" t="s">
        <v>11</v>
      </c>
      <c r="E95" s="701"/>
      <c r="F95" s="769" t="s">
        <v>419</v>
      </c>
      <c r="G95" s="770"/>
      <c r="H95" s="770"/>
      <c r="I95" s="771"/>
      <c r="J95" s="685"/>
      <c r="K95" s="1240" t="s">
        <v>420</v>
      </c>
      <c r="L95" s="88"/>
      <c r="M95" s="8">
        <v>120</v>
      </c>
      <c r="N95" s="8">
        <v>1</v>
      </c>
      <c r="O95" s="124">
        <v>2120</v>
      </c>
      <c r="P95" s="660" t="s">
        <v>323</v>
      </c>
    </row>
    <row r="96" spans="1:18" ht="15" customHeight="1">
      <c r="A96" s="616"/>
      <c r="B96" s="700" t="s">
        <v>202</v>
      </c>
      <c r="C96" s="701"/>
      <c r="D96" s="700" t="s">
        <v>11</v>
      </c>
      <c r="E96" s="701"/>
      <c r="F96" s="769" t="s">
        <v>203</v>
      </c>
      <c r="G96" s="770"/>
      <c r="H96" s="770"/>
      <c r="I96" s="771"/>
      <c r="J96" s="686"/>
      <c r="K96" s="1241"/>
      <c r="L96" s="88"/>
      <c r="M96" s="8"/>
      <c r="N96" s="8"/>
      <c r="O96" s="124"/>
      <c r="P96" s="660"/>
    </row>
    <row r="97" spans="1:16" ht="15" customHeight="1">
      <c r="A97" s="614" t="s">
        <v>127</v>
      </c>
      <c r="B97" s="700" t="s">
        <v>10</v>
      </c>
      <c r="C97" s="701"/>
      <c r="D97" s="700" t="s">
        <v>43</v>
      </c>
      <c r="E97" s="701"/>
      <c r="F97" s="769" t="s">
        <v>810</v>
      </c>
      <c r="G97" s="770"/>
      <c r="H97" s="770"/>
      <c r="I97" s="771"/>
      <c r="J97" s="685" t="s">
        <v>984</v>
      </c>
      <c r="K97" s="1242"/>
      <c r="L97" s="88"/>
      <c r="M97" s="8">
        <v>120</v>
      </c>
      <c r="N97" s="8">
        <v>1</v>
      </c>
      <c r="O97" s="124">
        <v>5120</v>
      </c>
      <c r="P97" s="660" t="s">
        <v>12</v>
      </c>
    </row>
    <row r="98" spans="1:16" ht="15" customHeight="1" thickBot="1">
      <c r="A98" s="615"/>
      <c r="B98" s="1272" t="s">
        <v>13</v>
      </c>
      <c r="C98" s="1273"/>
      <c r="D98" s="1272" t="s">
        <v>14</v>
      </c>
      <c r="E98" s="1273"/>
      <c r="F98" s="1274" t="s">
        <v>811</v>
      </c>
      <c r="G98" s="1275"/>
      <c r="H98" s="1275"/>
      <c r="I98" s="1276"/>
      <c r="J98" s="689"/>
      <c r="K98" s="1243"/>
      <c r="L98" s="224"/>
      <c r="M98" s="24"/>
      <c r="N98" s="26"/>
      <c r="O98" s="50"/>
      <c r="P98" s="698"/>
    </row>
    <row r="99" spans="1:16" ht="15" customHeight="1" thickTop="1">
      <c r="A99" s="430" t="s">
        <v>380</v>
      </c>
      <c r="B99" s="813" t="s">
        <v>147</v>
      </c>
      <c r="C99" s="814"/>
      <c r="D99" s="813" t="s">
        <v>49</v>
      </c>
      <c r="E99" s="814"/>
      <c r="F99" s="1236" t="s">
        <v>966</v>
      </c>
      <c r="G99" s="1237"/>
      <c r="H99" s="1237"/>
      <c r="I99" s="1238"/>
      <c r="J99" s="303" t="s">
        <v>1139</v>
      </c>
      <c r="K99" s="431"/>
      <c r="L99" s="302" t="s">
        <v>425</v>
      </c>
      <c r="M99" s="78">
        <v>120</v>
      </c>
      <c r="N99" s="303">
        <v>1</v>
      </c>
      <c r="O99" s="431">
        <v>1320</v>
      </c>
      <c r="P99" s="432" t="s">
        <v>797</v>
      </c>
    </row>
    <row r="100" spans="1:16" ht="15" customHeight="1">
      <c r="A100" s="664" t="s">
        <v>269</v>
      </c>
      <c r="B100" s="700" t="s">
        <v>10</v>
      </c>
      <c r="C100" s="701"/>
      <c r="D100" s="700" t="s">
        <v>14</v>
      </c>
      <c r="E100" s="701"/>
      <c r="F100" s="769" t="s">
        <v>445</v>
      </c>
      <c r="G100" s="770"/>
      <c r="H100" s="770"/>
      <c r="I100" s="771"/>
      <c r="J100" s="626" t="s">
        <v>1403</v>
      </c>
      <c r="K100" s="822" t="s">
        <v>986</v>
      </c>
      <c r="L100" s="88"/>
      <c r="M100" s="8">
        <v>120</v>
      </c>
      <c r="N100" s="14">
        <v>1</v>
      </c>
      <c r="O100" s="51">
        <v>2120</v>
      </c>
      <c r="P100" s="708" t="s">
        <v>825</v>
      </c>
    </row>
    <row r="101" spans="1:16" ht="15" customHeight="1">
      <c r="A101" s="664"/>
      <c r="B101" s="700" t="s">
        <v>81</v>
      </c>
      <c r="C101" s="701"/>
      <c r="D101" s="700" t="s">
        <v>14</v>
      </c>
      <c r="E101" s="701"/>
      <c r="F101" s="769" t="s">
        <v>448</v>
      </c>
      <c r="G101" s="770"/>
      <c r="H101" s="770"/>
      <c r="I101" s="771"/>
      <c r="J101" s="626"/>
      <c r="K101" s="789"/>
      <c r="L101" s="88"/>
      <c r="M101" s="8"/>
      <c r="N101" s="8"/>
      <c r="O101" s="124"/>
      <c r="P101" s="660"/>
    </row>
    <row r="102" spans="1:16" ht="15" customHeight="1">
      <c r="A102" s="665"/>
      <c r="B102" s="700" t="s">
        <v>83</v>
      </c>
      <c r="C102" s="701"/>
      <c r="D102" s="700" t="s">
        <v>11</v>
      </c>
      <c r="E102" s="701"/>
      <c r="F102" s="769" t="s">
        <v>1165</v>
      </c>
      <c r="G102" s="770"/>
      <c r="H102" s="770"/>
      <c r="I102" s="771"/>
      <c r="J102" s="627"/>
      <c r="K102" s="790"/>
      <c r="L102" s="88"/>
      <c r="M102" s="8"/>
      <c r="N102" s="8"/>
      <c r="O102" s="124"/>
      <c r="P102" s="660"/>
    </row>
    <row r="103" spans="1:16" ht="31.5" customHeight="1">
      <c r="A103" s="59" t="s">
        <v>156</v>
      </c>
      <c r="B103" s="618" t="s">
        <v>205</v>
      </c>
      <c r="C103" s="619"/>
      <c r="D103" s="618" t="s">
        <v>206</v>
      </c>
      <c r="E103" s="619"/>
      <c r="F103" s="620" t="s">
        <v>903</v>
      </c>
      <c r="G103" s="621"/>
      <c r="H103" s="621"/>
      <c r="I103" s="622"/>
      <c r="J103" s="304" t="s">
        <v>1176</v>
      </c>
      <c r="K103" s="305" t="s">
        <v>1404</v>
      </c>
      <c r="L103" s="97" t="s">
        <v>425</v>
      </c>
      <c r="M103" s="25">
        <v>120</v>
      </c>
      <c r="N103" s="25">
        <v>1</v>
      </c>
      <c r="O103" s="32">
        <v>8120</v>
      </c>
      <c r="P103" s="9" t="s">
        <v>904</v>
      </c>
    </row>
    <row r="104" spans="1:16" ht="31.5" customHeight="1">
      <c r="A104" s="231" t="s">
        <v>70</v>
      </c>
      <c r="B104" s="618" t="s">
        <v>147</v>
      </c>
      <c r="C104" s="619"/>
      <c r="D104" s="618" t="s">
        <v>49</v>
      </c>
      <c r="E104" s="619"/>
      <c r="F104" s="620" t="s">
        <v>518</v>
      </c>
      <c r="G104" s="621"/>
      <c r="H104" s="621"/>
      <c r="I104" s="622"/>
      <c r="J104" s="296" t="s">
        <v>1089</v>
      </c>
      <c r="K104" s="420" t="s">
        <v>1290</v>
      </c>
      <c r="L104" s="97" t="s">
        <v>425</v>
      </c>
      <c r="M104" s="25">
        <v>120</v>
      </c>
      <c r="N104" s="25">
        <v>1</v>
      </c>
      <c r="O104" s="32">
        <v>20120</v>
      </c>
      <c r="P104" s="9" t="s">
        <v>905</v>
      </c>
    </row>
    <row r="105" spans="1:16" ht="31.5" customHeight="1">
      <c r="A105" s="73" t="s">
        <v>141</v>
      </c>
      <c r="B105" s="618" t="s">
        <v>178</v>
      </c>
      <c r="C105" s="619"/>
      <c r="D105" s="618" t="s">
        <v>72</v>
      </c>
      <c r="E105" s="619"/>
      <c r="F105" s="620" t="s">
        <v>922</v>
      </c>
      <c r="G105" s="621"/>
      <c r="H105" s="621"/>
      <c r="I105" s="622"/>
      <c r="J105" s="313" t="s">
        <v>1401</v>
      </c>
      <c r="K105" s="421" t="s">
        <v>1091</v>
      </c>
      <c r="L105" s="97" t="s">
        <v>436</v>
      </c>
      <c r="M105" s="25">
        <v>120</v>
      </c>
      <c r="N105" s="25">
        <v>1</v>
      </c>
      <c r="O105" s="32">
        <v>6120</v>
      </c>
      <c r="P105" s="9" t="s">
        <v>1163</v>
      </c>
    </row>
    <row r="106" spans="1:16" ht="15" customHeight="1">
      <c r="A106" s="73" t="s">
        <v>282</v>
      </c>
      <c r="B106" s="618" t="s">
        <v>147</v>
      </c>
      <c r="C106" s="619"/>
      <c r="D106" s="618" t="s">
        <v>49</v>
      </c>
      <c r="E106" s="619"/>
      <c r="F106" s="620" t="s">
        <v>1150</v>
      </c>
      <c r="G106" s="621"/>
      <c r="H106" s="621"/>
      <c r="I106" s="622"/>
      <c r="J106" s="25" t="s">
        <v>1080</v>
      </c>
      <c r="K106" s="109"/>
      <c r="L106" s="97" t="s">
        <v>1158</v>
      </c>
      <c r="M106" s="25">
        <v>120</v>
      </c>
      <c r="N106" s="25">
        <v>1</v>
      </c>
      <c r="O106" s="32">
        <v>2620</v>
      </c>
      <c r="P106" s="9" t="s">
        <v>799</v>
      </c>
    </row>
    <row r="107" spans="1:16" ht="15" customHeight="1">
      <c r="A107" s="73" t="s">
        <v>794</v>
      </c>
      <c r="B107" s="618" t="s">
        <v>211</v>
      </c>
      <c r="C107" s="619"/>
      <c r="D107" s="618" t="s">
        <v>72</v>
      </c>
      <c r="E107" s="619"/>
      <c r="F107" s="620" t="s">
        <v>893</v>
      </c>
      <c r="G107" s="621"/>
      <c r="H107" s="621"/>
      <c r="I107" s="622"/>
      <c r="J107" s="274" t="s">
        <v>987</v>
      </c>
      <c r="K107" s="25"/>
      <c r="L107" s="97" t="s">
        <v>436</v>
      </c>
      <c r="M107" s="25">
        <v>120</v>
      </c>
      <c r="N107" s="408">
        <v>1</v>
      </c>
      <c r="O107" s="32">
        <v>10120</v>
      </c>
      <c r="P107" s="9" t="s">
        <v>466</v>
      </c>
    </row>
    <row r="108" spans="1:16" ht="15" customHeight="1">
      <c r="A108" s="614" t="s">
        <v>913</v>
      </c>
      <c r="B108" s="700" t="s">
        <v>10</v>
      </c>
      <c r="C108" s="701"/>
      <c r="D108" s="700" t="s">
        <v>43</v>
      </c>
      <c r="E108" s="701"/>
      <c r="F108" s="662" t="s">
        <v>890</v>
      </c>
      <c r="G108" s="663"/>
      <c r="H108" s="663"/>
      <c r="I108" s="750"/>
      <c r="J108" s="735" t="s">
        <v>1405</v>
      </c>
      <c r="K108" s="671"/>
      <c r="L108" s="88"/>
      <c r="M108" s="8">
        <v>120</v>
      </c>
      <c r="N108" s="8">
        <v>1</v>
      </c>
      <c r="O108" s="124">
        <v>3120</v>
      </c>
      <c r="P108" s="660" t="s">
        <v>1164</v>
      </c>
    </row>
    <row r="109" spans="1:16" ht="15" customHeight="1">
      <c r="A109" s="615"/>
      <c r="B109" s="700" t="s">
        <v>81</v>
      </c>
      <c r="C109" s="701"/>
      <c r="D109" s="700" t="s">
        <v>11</v>
      </c>
      <c r="E109" s="701"/>
      <c r="F109" s="662" t="s">
        <v>891</v>
      </c>
      <c r="G109" s="663"/>
      <c r="H109" s="663"/>
      <c r="I109" s="750"/>
      <c r="J109" s="1244"/>
      <c r="K109" s="672"/>
      <c r="L109" s="88"/>
      <c r="M109" s="8"/>
      <c r="N109" s="8"/>
      <c r="O109" s="124"/>
      <c r="P109" s="660"/>
    </row>
    <row r="110" spans="1:16" ht="15" customHeight="1">
      <c r="A110" s="616"/>
      <c r="B110" s="700" t="s">
        <v>83</v>
      </c>
      <c r="C110" s="701"/>
      <c r="D110" s="700" t="s">
        <v>11</v>
      </c>
      <c r="E110" s="701"/>
      <c r="F110" s="769" t="s">
        <v>892</v>
      </c>
      <c r="G110" s="770"/>
      <c r="H110" s="770"/>
      <c r="I110" s="771"/>
      <c r="J110" s="1245"/>
      <c r="K110" s="673"/>
      <c r="L110" s="88"/>
      <c r="M110" s="8"/>
      <c r="N110" s="8"/>
      <c r="O110" s="124"/>
      <c r="P110" s="660"/>
    </row>
    <row r="111" spans="1:16" ht="26.25" customHeight="1">
      <c r="A111" s="417" t="s">
        <v>1162</v>
      </c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531"/>
    </row>
    <row r="112" spans="1:16" ht="14.4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531"/>
    </row>
    <row r="113" spans="1:16" ht="18.600000000000001" customHeight="1">
      <c r="A113" s="215" t="s">
        <v>1122</v>
      </c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531"/>
    </row>
    <row r="114" spans="1:16" ht="18.600000000000001" customHeight="1">
      <c r="A114" s="243" t="s">
        <v>162</v>
      </c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465"/>
      <c r="M114" s="39"/>
      <c r="N114" s="39"/>
      <c r="O114" s="39"/>
      <c r="P114" s="531"/>
    </row>
    <row r="115" spans="1:16" ht="14.4" customHeight="1">
      <c r="A115" s="49" t="s">
        <v>366</v>
      </c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 t="s">
        <v>983</v>
      </c>
      <c r="N115" s="39"/>
      <c r="O115" s="39"/>
      <c r="P115" s="531"/>
    </row>
    <row r="116" spans="1:16" ht="14.4" customHeight="1">
      <c r="A116" s="754" t="s">
        <v>2</v>
      </c>
      <c r="B116" s="756" t="s">
        <v>3</v>
      </c>
      <c r="C116" s="757"/>
      <c r="D116" s="760" t="s">
        <v>4</v>
      </c>
      <c r="E116" s="761"/>
      <c r="F116" s="756" t="s">
        <v>5</v>
      </c>
      <c r="G116" s="764"/>
      <c r="H116" s="764"/>
      <c r="I116" s="757"/>
      <c r="J116" s="713" t="s">
        <v>491</v>
      </c>
      <c r="K116" s="766" t="s">
        <v>7</v>
      </c>
      <c r="L116" s="185" t="s">
        <v>407</v>
      </c>
      <c r="M116" s="806" t="s">
        <v>8</v>
      </c>
      <c r="N116" s="807"/>
      <c r="O116" s="808"/>
      <c r="P116" s="531"/>
    </row>
    <row r="117" spans="1:16" ht="14.4" customHeight="1">
      <c r="A117" s="755"/>
      <c r="B117" s="758"/>
      <c r="C117" s="759"/>
      <c r="D117" s="762"/>
      <c r="E117" s="763"/>
      <c r="F117" s="758"/>
      <c r="G117" s="765"/>
      <c r="H117" s="765"/>
      <c r="I117" s="759"/>
      <c r="J117" s="714"/>
      <c r="K117" s="767"/>
      <c r="L117" s="186" t="s">
        <v>410</v>
      </c>
      <c r="M117" s="809"/>
      <c r="N117" s="810"/>
      <c r="O117" s="811"/>
      <c r="P117" s="531"/>
    </row>
    <row r="118" spans="1:16" ht="14.4" customHeight="1">
      <c r="A118" s="59" t="s">
        <v>233</v>
      </c>
      <c r="B118" s="679" t="s">
        <v>868</v>
      </c>
      <c r="C118" s="680"/>
      <c r="D118" s="618" t="s">
        <v>72</v>
      </c>
      <c r="E118" s="619"/>
      <c r="F118" s="681" t="s">
        <v>869</v>
      </c>
      <c r="G118" s="682"/>
      <c r="H118" s="682"/>
      <c r="I118" s="683"/>
      <c r="J118" s="255" t="s">
        <v>879</v>
      </c>
      <c r="K118" s="96" t="s">
        <v>880</v>
      </c>
      <c r="L118" s="76" t="s">
        <v>425</v>
      </c>
      <c r="M118" s="674" t="s">
        <v>901</v>
      </c>
      <c r="N118" s="675"/>
      <c r="O118" s="676"/>
      <c r="P118" s="531"/>
    </row>
    <row r="119" spans="1:16" ht="14.4" customHeight="1">
      <c r="A119" s="59" t="s">
        <v>298</v>
      </c>
      <c r="B119" s="618" t="s">
        <v>178</v>
      </c>
      <c r="C119" s="619"/>
      <c r="D119" s="618" t="s">
        <v>240</v>
      </c>
      <c r="E119" s="619"/>
      <c r="F119" s="620" t="s">
        <v>428</v>
      </c>
      <c r="G119" s="621"/>
      <c r="H119" s="621"/>
      <c r="I119" s="622"/>
      <c r="J119" s="23" t="s">
        <v>786</v>
      </c>
      <c r="K119" s="96" t="s">
        <v>709</v>
      </c>
      <c r="L119" s="93" t="s">
        <v>425</v>
      </c>
      <c r="M119" s="652" t="s">
        <v>813</v>
      </c>
      <c r="N119" s="623"/>
      <c r="O119" s="624"/>
      <c r="P119" s="531"/>
    </row>
    <row r="120" spans="1:16" ht="14.4" customHeight="1">
      <c r="A120" s="57" t="s">
        <v>239</v>
      </c>
      <c r="B120" s="618" t="s">
        <v>236</v>
      </c>
      <c r="C120" s="619"/>
      <c r="D120" s="618" t="s">
        <v>49</v>
      </c>
      <c r="E120" s="619"/>
      <c r="F120" s="620" t="s">
        <v>804</v>
      </c>
      <c r="G120" s="621"/>
      <c r="H120" s="621"/>
      <c r="I120" s="622"/>
      <c r="J120" s="15"/>
      <c r="K120" s="15"/>
      <c r="L120" s="97" t="s">
        <v>436</v>
      </c>
      <c r="M120" s="652" t="s">
        <v>785</v>
      </c>
      <c r="N120" s="623"/>
      <c r="O120" s="624"/>
      <c r="P120" s="531"/>
    </row>
    <row r="121" spans="1:16" ht="14.4" customHeight="1">
      <c r="A121" s="614" t="s">
        <v>242</v>
      </c>
      <c r="B121" s="700" t="s">
        <v>10</v>
      </c>
      <c r="C121" s="701"/>
      <c r="D121" s="700" t="s">
        <v>11</v>
      </c>
      <c r="E121" s="701"/>
      <c r="F121" s="769" t="s">
        <v>415</v>
      </c>
      <c r="G121" s="770"/>
      <c r="H121" s="770"/>
      <c r="I121" s="771"/>
      <c r="J121" s="685" t="s">
        <v>783</v>
      </c>
      <c r="K121" s="802"/>
      <c r="L121" s="88"/>
      <c r="M121" s="656" t="s">
        <v>875</v>
      </c>
      <c r="N121" s="657"/>
      <c r="O121" s="658"/>
      <c r="P121" s="531"/>
    </row>
    <row r="122" spans="1:16" ht="14.4" customHeight="1">
      <c r="A122" s="616"/>
      <c r="B122" s="700" t="s">
        <v>13</v>
      </c>
      <c r="C122" s="701"/>
      <c r="D122" s="700" t="s">
        <v>11</v>
      </c>
      <c r="E122" s="701"/>
      <c r="F122" s="769" t="s">
        <v>418</v>
      </c>
      <c r="G122" s="770"/>
      <c r="H122" s="770"/>
      <c r="I122" s="771"/>
      <c r="J122" s="686"/>
      <c r="K122" s="803"/>
      <c r="L122" s="88"/>
      <c r="M122" s="634"/>
      <c r="N122" s="635"/>
      <c r="O122" s="636"/>
      <c r="P122" s="531"/>
    </row>
    <row r="123" spans="1:16" ht="14.4" customHeight="1">
      <c r="A123" s="614" t="s">
        <v>807</v>
      </c>
      <c r="B123" s="700" t="s">
        <v>10</v>
      </c>
      <c r="C123" s="701"/>
      <c r="D123" s="700" t="s">
        <v>43</v>
      </c>
      <c r="E123" s="701"/>
      <c r="F123" s="769" t="s">
        <v>823</v>
      </c>
      <c r="G123" s="770"/>
      <c r="H123" s="770"/>
      <c r="I123" s="771"/>
      <c r="J123" s="685" t="s">
        <v>781</v>
      </c>
      <c r="K123" s="802" t="s">
        <v>782</v>
      </c>
      <c r="L123" s="88"/>
      <c r="M123" s="656" t="s">
        <v>914</v>
      </c>
      <c r="N123" s="657"/>
      <c r="O123" s="658"/>
      <c r="P123" s="531"/>
    </row>
    <row r="124" spans="1:16" ht="14.4" customHeight="1">
      <c r="A124" s="616"/>
      <c r="B124" s="700" t="s">
        <v>13</v>
      </c>
      <c r="C124" s="701"/>
      <c r="D124" s="700" t="s">
        <v>11</v>
      </c>
      <c r="E124" s="701"/>
      <c r="F124" s="769" t="s">
        <v>414</v>
      </c>
      <c r="G124" s="770"/>
      <c r="H124" s="770"/>
      <c r="I124" s="771"/>
      <c r="J124" s="686"/>
      <c r="K124" s="803"/>
      <c r="L124" s="88"/>
      <c r="M124" s="634"/>
      <c r="N124" s="635"/>
      <c r="O124" s="636"/>
      <c r="P124" s="531"/>
    </row>
    <row r="125" spans="1:16" ht="14.4" customHeight="1">
      <c r="A125" s="614" t="s">
        <v>808</v>
      </c>
      <c r="B125" s="700" t="s">
        <v>35</v>
      </c>
      <c r="C125" s="701"/>
      <c r="D125" s="700" t="s">
        <v>11</v>
      </c>
      <c r="E125" s="701"/>
      <c r="F125" s="662" t="s">
        <v>303</v>
      </c>
      <c r="G125" s="663"/>
      <c r="H125" s="663"/>
      <c r="I125" s="750"/>
      <c r="J125" s="685"/>
      <c r="K125" s="702" t="s">
        <v>37</v>
      </c>
      <c r="L125" s="88"/>
      <c r="M125" s="656" t="s">
        <v>38</v>
      </c>
      <c r="N125" s="657"/>
      <c r="O125" s="658"/>
      <c r="P125" s="531"/>
    </row>
    <row r="126" spans="1:16" ht="14.4" customHeight="1">
      <c r="A126" s="616"/>
      <c r="B126" s="700" t="s">
        <v>304</v>
      </c>
      <c r="C126" s="701"/>
      <c r="D126" s="700" t="s">
        <v>11</v>
      </c>
      <c r="E126" s="701"/>
      <c r="F126" s="662" t="s">
        <v>393</v>
      </c>
      <c r="G126" s="663"/>
      <c r="H126" s="663"/>
      <c r="I126" s="750"/>
      <c r="J126" s="686"/>
      <c r="K126" s="691"/>
      <c r="L126" s="88"/>
      <c r="M126" s="634"/>
      <c r="N126" s="635"/>
      <c r="O126" s="636"/>
      <c r="P126" s="531"/>
    </row>
    <row r="127" spans="1:16" ht="14.4" customHeight="1">
      <c r="A127" s="59" t="s">
        <v>549</v>
      </c>
      <c r="B127" s="618" t="s">
        <v>164</v>
      </c>
      <c r="C127" s="619"/>
      <c r="D127" s="618" t="s">
        <v>63</v>
      </c>
      <c r="E127" s="619"/>
      <c r="F127" s="620" t="s">
        <v>788</v>
      </c>
      <c r="G127" s="621"/>
      <c r="H127" s="621"/>
      <c r="I127" s="622"/>
      <c r="J127" s="25"/>
      <c r="K127" s="25"/>
      <c r="L127" s="93" t="s">
        <v>425</v>
      </c>
      <c r="M127" s="652" t="s">
        <v>915</v>
      </c>
      <c r="N127" s="623"/>
      <c r="O127" s="624"/>
      <c r="P127" s="531"/>
    </row>
    <row r="128" spans="1:16" ht="14.4" customHeight="1">
      <c r="A128" s="57" t="s">
        <v>434</v>
      </c>
      <c r="B128" s="618" t="s">
        <v>178</v>
      </c>
      <c r="C128" s="619"/>
      <c r="D128" s="618" t="s">
        <v>179</v>
      </c>
      <c r="E128" s="619"/>
      <c r="F128" s="620" t="s">
        <v>515</v>
      </c>
      <c r="G128" s="621"/>
      <c r="H128" s="621"/>
      <c r="I128" s="622"/>
      <c r="J128" s="67" t="s">
        <v>790</v>
      </c>
      <c r="K128" s="67"/>
      <c r="L128" s="97" t="s">
        <v>436</v>
      </c>
      <c r="M128" s="652" t="s">
        <v>517</v>
      </c>
      <c r="N128" s="623"/>
      <c r="O128" s="624"/>
      <c r="P128" s="531"/>
    </row>
    <row r="129" spans="1:16" ht="14.4" customHeight="1">
      <c r="A129" s="229" t="s">
        <v>309</v>
      </c>
      <c r="B129" s="618" t="s">
        <v>147</v>
      </c>
      <c r="C129" s="619"/>
      <c r="D129" s="618" t="s">
        <v>49</v>
      </c>
      <c r="E129" s="619"/>
      <c r="F129" s="620" t="s">
        <v>518</v>
      </c>
      <c r="G129" s="621"/>
      <c r="H129" s="621"/>
      <c r="I129" s="622"/>
      <c r="J129" s="25" t="s">
        <v>562</v>
      </c>
      <c r="K129" s="25"/>
      <c r="L129" s="113" t="s">
        <v>425</v>
      </c>
      <c r="M129" s="652" t="s">
        <v>520</v>
      </c>
      <c r="N129" s="623"/>
      <c r="O129" s="624"/>
      <c r="P129" s="531"/>
    </row>
    <row r="130" spans="1:16" ht="14.4" customHeight="1">
      <c r="A130" s="614" t="s">
        <v>809</v>
      </c>
      <c r="B130" s="700" t="s">
        <v>199</v>
      </c>
      <c r="C130" s="701"/>
      <c r="D130" s="700" t="s">
        <v>11</v>
      </c>
      <c r="E130" s="701"/>
      <c r="F130" s="769" t="s">
        <v>419</v>
      </c>
      <c r="G130" s="770"/>
      <c r="H130" s="770"/>
      <c r="I130" s="771"/>
      <c r="J130" s="685"/>
      <c r="K130" s="702" t="s">
        <v>420</v>
      </c>
      <c r="L130" s="88"/>
      <c r="M130" s="656" t="s">
        <v>323</v>
      </c>
      <c r="N130" s="657"/>
      <c r="O130" s="658"/>
      <c r="P130" s="531"/>
    </row>
    <row r="131" spans="1:16" ht="14.4" customHeight="1">
      <c r="A131" s="616"/>
      <c r="B131" s="700" t="s">
        <v>202</v>
      </c>
      <c r="C131" s="701"/>
      <c r="D131" s="700" t="s">
        <v>11</v>
      </c>
      <c r="E131" s="701"/>
      <c r="F131" s="769" t="s">
        <v>203</v>
      </c>
      <c r="G131" s="770"/>
      <c r="H131" s="770"/>
      <c r="I131" s="771"/>
      <c r="J131" s="686"/>
      <c r="K131" s="691"/>
      <c r="L131" s="88"/>
      <c r="M131" s="634"/>
      <c r="N131" s="635"/>
      <c r="O131" s="636"/>
      <c r="P131" s="531"/>
    </row>
    <row r="132" spans="1:16" ht="14.4" customHeight="1">
      <c r="A132" s="614" t="s">
        <v>127</v>
      </c>
      <c r="B132" s="700" t="s">
        <v>10</v>
      </c>
      <c r="C132" s="701"/>
      <c r="D132" s="700" t="s">
        <v>43</v>
      </c>
      <c r="E132" s="701"/>
      <c r="F132" s="769" t="s">
        <v>810</v>
      </c>
      <c r="G132" s="770"/>
      <c r="H132" s="770"/>
      <c r="I132" s="771"/>
      <c r="J132" s="685"/>
      <c r="K132" s="687"/>
      <c r="L132" s="88"/>
      <c r="M132" s="656" t="s">
        <v>12</v>
      </c>
      <c r="N132" s="657"/>
      <c r="O132" s="658"/>
      <c r="P132" s="531"/>
    </row>
    <row r="133" spans="1:16" ht="14.4" customHeight="1" thickBot="1">
      <c r="A133" s="684"/>
      <c r="B133" s="693" t="s">
        <v>13</v>
      </c>
      <c r="C133" s="694"/>
      <c r="D133" s="693" t="s">
        <v>14</v>
      </c>
      <c r="E133" s="694"/>
      <c r="F133" s="783" t="s">
        <v>811</v>
      </c>
      <c r="G133" s="784"/>
      <c r="H133" s="784"/>
      <c r="I133" s="785"/>
      <c r="J133" s="1026"/>
      <c r="K133" s="688"/>
      <c r="L133" s="224"/>
      <c r="M133" s="780"/>
      <c r="N133" s="781"/>
      <c r="O133" s="782"/>
      <c r="P133" s="531"/>
    </row>
    <row r="134" spans="1:16" ht="14.4" customHeight="1" thickTop="1">
      <c r="A134" s="772" t="s">
        <v>380</v>
      </c>
      <c r="B134" s="773" t="s">
        <v>10</v>
      </c>
      <c r="C134" s="774"/>
      <c r="D134" s="773" t="s">
        <v>14</v>
      </c>
      <c r="E134" s="774"/>
      <c r="F134" s="775" t="s">
        <v>445</v>
      </c>
      <c r="G134" s="776"/>
      <c r="H134" s="776"/>
      <c r="I134" s="777"/>
      <c r="J134" s="677" t="s">
        <v>791</v>
      </c>
      <c r="K134" s="1262"/>
      <c r="L134" s="108"/>
      <c r="M134" s="732" t="s">
        <v>825</v>
      </c>
      <c r="N134" s="733"/>
      <c r="O134" s="734"/>
      <c r="P134" s="531"/>
    </row>
    <row r="135" spans="1:16" ht="14.4" customHeight="1">
      <c r="A135" s="664"/>
      <c r="B135" s="700" t="s">
        <v>81</v>
      </c>
      <c r="C135" s="701"/>
      <c r="D135" s="700" t="s">
        <v>14</v>
      </c>
      <c r="E135" s="701"/>
      <c r="F135" s="769" t="s">
        <v>448</v>
      </c>
      <c r="G135" s="770"/>
      <c r="H135" s="770"/>
      <c r="I135" s="771"/>
      <c r="J135" s="626"/>
      <c r="K135" s="1263"/>
      <c r="L135" s="108"/>
      <c r="M135" s="631"/>
      <c r="N135" s="632"/>
      <c r="O135" s="633"/>
      <c r="P135" s="531"/>
    </row>
    <row r="136" spans="1:16" ht="14.4" customHeight="1">
      <c r="A136" s="665"/>
      <c r="B136" s="700" t="s">
        <v>83</v>
      </c>
      <c r="C136" s="701"/>
      <c r="D136" s="700" t="s">
        <v>14</v>
      </c>
      <c r="E136" s="701"/>
      <c r="F136" s="769" t="s">
        <v>812</v>
      </c>
      <c r="G136" s="770"/>
      <c r="H136" s="770"/>
      <c r="I136" s="771"/>
      <c r="J136" s="627"/>
      <c r="K136" s="726"/>
      <c r="L136" s="108"/>
      <c r="M136" s="634"/>
      <c r="N136" s="635"/>
      <c r="O136" s="636"/>
      <c r="P136" s="531"/>
    </row>
    <row r="137" spans="1:16" ht="14.4" customHeight="1">
      <c r="A137" s="184" t="s">
        <v>269</v>
      </c>
      <c r="B137" s="618" t="s">
        <v>147</v>
      </c>
      <c r="C137" s="619"/>
      <c r="D137" s="618" t="s">
        <v>240</v>
      </c>
      <c r="E137" s="619"/>
      <c r="F137" s="620" t="s">
        <v>838</v>
      </c>
      <c r="G137" s="621"/>
      <c r="H137" s="621"/>
      <c r="I137" s="622"/>
      <c r="J137" s="25" t="s">
        <v>798</v>
      </c>
      <c r="K137" s="25"/>
      <c r="L137" s="97" t="s">
        <v>425</v>
      </c>
      <c r="M137" s="652" t="s">
        <v>799</v>
      </c>
      <c r="N137" s="623"/>
      <c r="O137" s="624"/>
      <c r="P137" s="531"/>
    </row>
    <row r="138" spans="1:16" ht="14.4" customHeight="1">
      <c r="A138" s="59" t="s">
        <v>156</v>
      </c>
      <c r="B138" s="618" t="s">
        <v>205</v>
      </c>
      <c r="C138" s="619"/>
      <c r="D138" s="618" t="s">
        <v>206</v>
      </c>
      <c r="E138" s="619"/>
      <c r="F138" s="620" t="s">
        <v>903</v>
      </c>
      <c r="G138" s="621"/>
      <c r="H138" s="621"/>
      <c r="I138" s="622"/>
      <c r="J138" s="25"/>
      <c r="K138" s="25" t="s">
        <v>881</v>
      </c>
      <c r="L138" s="97" t="s">
        <v>425</v>
      </c>
      <c r="M138" s="652" t="s">
        <v>904</v>
      </c>
      <c r="N138" s="623"/>
      <c r="O138" s="624"/>
      <c r="P138" s="531"/>
    </row>
    <row r="139" spans="1:16" ht="14.4" customHeight="1">
      <c r="A139" s="231" t="s">
        <v>70</v>
      </c>
      <c r="B139" s="618" t="s">
        <v>147</v>
      </c>
      <c r="C139" s="619"/>
      <c r="D139" s="618" t="s">
        <v>49</v>
      </c>
      <c r="E139" s="619"/>
      <c r="F139" s="620" t="s">
        <v>518</v>
      </c>
      <c r="G139" s="621"/>
      <c r="H139" s="621"/>
      <c r="I139" s="622"/>
      <c r="J139" s="25"/>
      <c r="K139" s="25" t="s">
        <v>881</v>
      </c>
      <c r="L139" s="97" t="s">
        <v>425</v>
      </c>
      <c r="M139" s="652" t="s">
        <v>905</v>
      </c>
      <c r="N139" s="623"/>
      <c r="O139" s="624"/>
      <c r="P139" s="531"/>
    </row>
    <row r="140" spans="1:16" ht="14.4" customHeight="1">
      <c r="A140" s="73" t="s">
        <v>141</v>
      </c>
      <c r="B140" s="618" t="s">
        <v>178</v>
      </c>
      <c r="C140" s="619"/>
      <c r="D140" s="618" t="s">
        <v>72</v>
      </c>
      <c r="E140" s="619"/>
      <c r="F140" s="620" t="s">
        <v>814</v>
      </c>
      <c r="G140" s="621"/>
      <c r="H140" s="621"/>
      <c r="I140" s="622"/>
      <c r="J140" s="15" t="s">
        <v>793</v>
      </c>
      <c r="K140" s="109" t="s">
        <v>821</v>
      </c>
      <c r="L140" s="97" t="s">
        <v>436</v>
      </c>
      <c r="M140" s="652" t="s">
        <v>878</v>
      </c>
      <c r="N140" s="623"/>
      <c r="O140" s="624"/>
      <c r="P140" s="531"/>
    </row>
    <row r="141" spans="1:16" ht="14.4" customHeight="1">
      <c r="A141" s="229" t="s">
        <v>352</v>
      </c>
      <c r="B141" s="618" t="s">
        <v>147</v>
      </c>
      <c r="C141" s="619"/>
      <c r="D141" s="618" t="s">
        <v>179</v>
      </c>
      <c r="E141" s="619"/>
      <c r="F141" s="620" t="s">
        <v>795</v>
      </c>
      <c r="G141" s="621"/>
      <c r="H141" s="621"/>
      <c r="I141" s="622"/>
      <c r="J141" s="25" t="s">
        <v>796</v>
      </c>
      <c r="K141" s="25"/>
      <c r="L141" s="97" t="s">
        <v>425</v>
      </c>
      <c r="M141" s="652" t="s">
        <v>797</v>
      </c>
      <c r="N141" s="623"/>
      <c r="O141" s="624"/>
      <c r="P141" s="531"/>
    </row>
    <row r="142" spans="1:16" ht="14.4" customHeight="1">
      <c r="A142" s="73" t="s">
        <v>794</v>
      </c>
      <c r="B142" s="618" t="s">
        <v>211</v>
      </c>
      <c r="C142" s="619"/>
      <c r="D142" s="618" t="s">
        <v>72</v>
      </c>
      <c r="E142" s="619"/>
      <c r="F142" s="620" t="s">
        <v>893</v>
      </c>
      <c r="G142" s="621"/>
      <c r="H142" s="621"/>
      <c r="I142" s="622"/>
      <c r="J142" s="25"/>
      <c r="K142" s="25"/>
      <c r="L142" s="97" t="s">
        <v>436</v>
      </c>
      <c r="M142" s="652" t="s">
        <v>909</v>
      </c>
      <c r="N142" s="623"/>
      <c r="O142" s="624"/>
      <c r="P142" s="531"/>
    </row>
    <row r="143" spans="1:16" ht="14.4" customHeight="1">
      <c r="A143" s="614" t="s">
        <v>913</v>
      </c>
      <c r="B143" s="700" t="s">
        <v>10</v>
      </c>
      <c r="C143" s="701"/>
      <c r="D143" s="700" t="s">
        <v>43</v>
      </c>
      <c r="E143" s="701"/>
      <c r="F143" s="662" t="s">
        <v>890</v>
      </c>
      <c r="G143" s="663"/>
      <c r="H143" s="663"/>
      <c r="I143" s="750"/>
      <c r="J143" s="685"/>
      <c r="K143" s="1265" t="s">
        <v>899</v>
      </c>
      <c r="L143" s="108"/>
      <c r="M143" s="656" t="s">
        <v>910</v>
      </c>
      <c r="N143" s="657"/>
      <c r="O143" s="658"/>
      <c r="P143" s="531"/>
    </row>
    <row r="144" spans="1:16" ht="14.4" customHeight="1">
      <c r="A144" s="615"/>
      <c r="B144" s="700" t="s">
        <v>81</v>
      </c>
      <c r="C144" s="701"/>
      <c r="D144" s="700" t="s">
        <v>11</v>
      </c>
      <c r="E144" s="701"/>
      <c r="F144" s="662" t="s">
        <v>891</v>
      </c>
      <c r="G144" s="663"/>
      <c r="H144" s="663"/>
      <c r="I144" s="750"/>
      <c r="J144" s="689"/>
      <c r="K144" s="1266"/>
      <c r="L144" s="108"/>
      <c r="M144" s="631"/>
      <c r="N144" s="632"/>
      <c r="O144" s="633"/>
      <c r="P144" s="531"/>
    </row>
    <row r="145" spans="1:16" ht="14.4" customHeight="1">
      <c r="A145" s="616"/>
      <c r="B145" s="700" t="s">
        <v>83</v>
      </c>
      <c r="C145" s="701"/>
      <c r="D145" s="700" t="s">
        <v>11</v>
      </c>
      <c r="E145" s="701"/>
      <c r="F145" s="769" t="s">
        <v>892</v>
      </c>
      <c r="G145" s="770"/>
      <c r="H145" s="770"/>
      <c r="I145" s="771"/>
      <c r="J145" s="686"/>
      <c r="K145" s="1267"/>
      <c r="L145" s="108"/>
      <c r="M145" s="634"/>
      <c r="N145" s="635"/>
      <c r="O145" s="636"/>
      <c r="P145" s="531"/>
    </row>
    <row r="146" spans="1:16" ht="14.4" customHeight="1">
      <c r="A146" s="49" t="s">
        <v>1173</v>
      </c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531"/>
    </row>
    <row r="147" spans="1:16" ht="14.4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531"/>
    </row>
    <row r="148" spans="1:16" ht="14.4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531"/>
    </row>
    <row r="149" spans="1:16" ht="14.4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531"/>
    </row>
    <row r="150" spans="1:16" ht="14.4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531"/>
    </row>
    <row r="151" spans="1:16" ht="14.4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531"/>
    </row>
    <row r="152" spans="1:16" ht="14.4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531"/>
    </row>
    <row r="153" spans="1:16" ht="14.4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531"/>
    </row>
    <row r="154" spans="1:16" ht="14.4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531"/>
    </row>
    <row r="155" spans="1:16" ht="14.4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531"/>
    </row>
    <row r="156" spans="1:16" ht="18" customHeight="1">
      <c r="A156" s="262" t="s">
        <v>1148</v>
      </c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9"/>
      <c r="N156" s="564"/>
      <c r="O156" s="45"/>
      <c r="P156" s="39"/>
    </row>
    <row r="157" spans="1:16" ht="18" customHeight="1">
      <c r="A157" s="243" t="s">
        <v>1121</v>
      </c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465"/>
      <c r="M157" s="399"/>
      <c r="N157" s="399"/>
      <c r="O157" s="45"/>
      <c r="P157" s="39"/>
    </row>
    <row r="158" spans="1:16" ht="14.25" customHeight="1">
      <c r="A158" s="49" t="s">
        <v>366</v>
      </c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401"/>
      <c r="N158" s="401"/>
      <c r="O158" s="563"/>
      <c r="P158" s="39" t="s">
        <v>983</v>
      </c>
    </row>
    <row r="159" spans="1:16" ht="14.25" customHeight="1">
      <c r="A159" s="710" t="s">
        <v>2</v>
      </c>
      <c r="B159" s="712" t="s">
        <v>3</v>
      </c>
      <c r="C159" s="712"/>
      <c r="D159" s="650" t="s">
        <v>4</v>
      </c>
      <c r="E159" s="650"/>
      <c r="F159" s="712" t="s">
        <v>5</v>
      </c>
      <c r="G159" s="712"/>
      <c r="H159" s="712"/>
      <c r="I159" s="712"/>
      <c r="J159" s="713" t="s">
        <v>491</v>
      </c>
      <c r="K159" s="715" t="s">
        <v>7</v>
      </c>
      <c r="L159" s="185" t="s">
        <v>1157</v>
      </c>
      <c r="M159" s="696" t="s">
        <v>1095</v>
      </c>
      <c r="N159" s="716" t="s">
        <v>1096</v>
      </c>
      <c r="O159" s="715" t="s">
        <v>1097</v>
      </c>
      <c r="P159" s="715" t="s">
        <v>8</v>
      </c>
    </row>
    <row r="160" spans="1:16" ht="14.25" customHeight="1">
      <c r="A160" s="711"/>
      <c r="B160" s="712"/>
      <c r="C160" s="712"/>
      <c r="D160" s="650"/>
      <c r="E160" s="650"/>
      <c r="F160" s="712"/>
      <c r="G160" s="712"/>
      <c r="H160" s="712"/>
      <c r="I160" s="712"/>
      <c r="J160" s="714"/>
      <c r="K160" s="715"/>
      <c r="L160" s="186" t="s">
        <v>410</v>
      </c>
      <c r="M160" s="706"/>
      <c r="N160" s="717"/>
      <c r="O160" s="715"/>
      <c r="P160" s="715"/>
    </row>
    <row r="161" spans="1:16" ht="15" customHeight="1">
      <c r="A161" s="614" t="s">
        <v>106</v>
      </c>
      <c r="B161" s="661" t="s">
        <v>10</v>
      </c>
      <c r="C161" s="661"/>
      <c r="D161" s="661" t="s">
        <v>43</v>
      </c>
      <c r="E161" s="661"/>
      <c r="F161" s="659" t="s">
        <v>810</v>
      </c>
      <c r="G161" s="659"/>
      <c r="H161" s="659"/>
      <c r="I161" s="659"/>
      <c r="J161" s="685" t="s">
        <v>984</v>
      </c>
      <c r="K161" s="687"/>
      <c r="L161" s="88"/>
      <c r="M161" s="8">
        <v>140</v>
      </c>
      <c r="N161" s="8">
        <v>1</v>
      </c>
      <c r="O161" s="124">
        <v>500</v>
      </c>
      <c r="P161" s="660" t="s">
        <v>1144</v>
      </c>
    </row>
    <row r="162" spans="1:16" ht="15" customHeight="1">
      <c r="A162" s="616"/>
      <c r="B162" s="700" t="s">
        <v>13</v>
      </c>
      <c r="C162" s="701"/>
      <c r="D162" s="700" t="s">
        <v>14</v>
      </c>
      <c r="E162" s="701"/>
      <c r="F162" s="659" t="s">
        <v>811</v>
      </c>
      <c r="G162" s="659"/>
      <c r="H162" s="659"/>
      <c r="I162" s="659"/>
      <c r="J162" s="686"/>
      <c r="K162" s="726"/>
      <c r="L162" s="88"/>
      <c r="M162" s="8"/>
      <c r="N162" s="8"/>
      <c r="O162" s="124"/>
      <c r="P162" s="660"/>
    </row>
    <row r="163" spans="1:16" ht="15" customHeight="1">
      <c r="A163" s="614" t="s">
        <v>233</v>
      </c>
      <c r="B163" s="661" t="s">
        <v>10</v>
      </c>
      <c r="C163" s="661"/>
      <c r="D163" s="638" t="s">
        <v>43</v>
      </c>
      <c r="E163" s="639"/>
      <c r="F163" s="653" t="s">
        <v>823</v>
      </c>
      <c r="G163" s="653"/>
      <c r="H163" s="653"/>
      <c r="I163" s="653"/>
      <c r="J163" s="625" t="s">
        <v>1397</v>
      </c>
      <c r="K163" s="703"/>
      <c r="L163" s="88"/>
      <c r="M163" s="8">
        <v>140</v>
      </c>
      <c r="N163" s="8">
        <v>2</v>
      </c>
      <c r="O163" s="124">
        <v>2680</v>
      </c>
      <c r="P163" s="660" t="s">
        <v>1127</v>
      </c>
    </row>
    <row r="164" spans="1:16" ht="15" customHeight="1">
      <c r="A164" s="616"/>
      <c r="B164" s="700" t="s">
        <v>13</v>
      </c>
      <c r="C164" s="701"/>
      <c r="D164" s="700" t="s">
        <v>11</v>
      </c>
      <c r="E164" s="701"/>
      <c r="F164" s="653" t="s">
        <v>414</v>
      </c>
      <c r="G164" s="653"/>
      <c r="H164" s="653"/>
      <c r="I164" s="653"/>
      <c r="J164" s="627"/>
      <c r="K164" s="673"/>
      <c r="L164" s="88"/>
      <c r="M164" s="8"/>
      <c r="N164" s="8"/>
      <c r="O164" s="124"/>
      <c r="P164" s="660"/>
    </row>
    <row r="165" spans="1:16" ht="15" customHeight="1">
      <c r="A165" s="614" t="s">
        <v>27</v>
      </c>
      <c r="B165" s="661" t="s">
        <v>10</v>
      </c>
      <c r="C165" s="661"/>
      <c r="D165" s="700" t="s">
        <v>11</v>
      </c>
      <c r="E165" s="701"/>
      <c r="F165" s="659" t="s">
        <v>415</v>
      </c>
      <c r="G165" s="659"/>
      <c r="H165" s="659"/>
      <c r="I165" s="659"/>
      <c r="J165" s="1268" t="s">
        <v>1398</v>
      </c>
      <c r="K165" s="1277" t="s">
        <v>1136</v>
      </c>
      <c r="L165" s="88"/>
      <c r="M165" s="8">
        <v>140</v>
      </c>
      <c r="N165" s="8">
        <v>1</v>
      </c>
      <c r="O165" s="124">
        <v>10140</v>
      </c>
      <c r="P165" s="660" t="s">
        <v>1128</v>
      </c>
    </row>
    <row r="166" spans="1:16" ht="15" customHeight="1">
      <c r="A166" s="616"/>
      <c r="B166" s="700" t="s">
        <v>13</v>
      </c>
      <c r="C166" s="701"/>
      <c r="D166" s="700" t="s">
        <v>11</v>
      </c>
      <c r="E166" s="701"/>
      <c r="F166" s="659" t="s">
        <v>418</v>
      </c>
      <c r="G166" s="659"/>
      <c r="H166" s="659"/>
      <c r="I166" s="659"/>
      <c r="J166" s="1269"/>
      <c r="K166" s="1278"/>
      <c r="L166" s="88"/>
      <c r="M166" s="8"/>
      <c r="N166" s="8"/>
      <c r="O166" s="124"/>
      <c r="P166" s="660"/>
    </row>
    <row r="167" spans="1:16" ht="15" customHeight="1">
      <c r="A167" s="614" t="s">
        <v>384</v>
      </c>
      <c r="B167" s="661" t="s">
        <v>199</v>
      </c>
      <c r="C167" s="661"/>
      <c r="D167" s="661" t="s">
        <v>11</v>
      </c>
      <c r="E167" s="661"/>
      <c r="F167" s="659" t="s">
        <v>419</v>
      </c>
      <c r="G167" s="659"/>
      <c r="H167" s="659"/>
      <c r="I167" s="659"/>
      <c r="J167" s="685"/>
      <c r="K167" s="702" t="s">
        <v>420</v>
      </c>
      <c r="L167" s="88"/>
      <c r="M167" s="8">
        <v>140</v>
      </c>
      <c r="N167" s="8">
        <v>1</v>
      </c>
      <c r="O167" s="124">
        <v>4140</v>
      </c>
      <c r="P167" s="660" t="s">
        <v>1142</v>
      </c>
    </row>
    <row r="168" spans="1:16" ht="15" customHeight="1">
      <c r="A168" s="616"/>
      <c r="B168" s="661" t="s">
        <v>202</v>
      </c>
      <c r="C168" s="661"/>
      <c r="D168" s="661" t="s">
        <v>11</v>
      </c>
      <c r="E168" s="661"/>
      <c r="F168" s="659" t="s">
        <v>203</v>
      </c>
      <c r="G168" s="659"/>
      <c r="H168" s="659"/>
      <c r="I168" s="659"/>
      <c r="J168" s="686"/>
      <c r="K168" s="691"/>
      <c r="L168" s="88"/>
      <c r="M168" s="8"/>
      <c r="N168" s="8"/>
      <c r="O168" s="124"/>
      <c r="P168" s="660"/>
    </row>
    <row r="169" spans="1:16" ht="15" customHeight="1">
      <c r="A169" s="614" t="s">
        <v>421</v>
      </c>
      <c r="B169" s="661" t="s">
        <v>35</v>
      </c>
      <c r="C169" s="661"/>
      <c r="D169" s="661" t="s">
        <v>11</v>
      </c>
      <c r="E169" s="661"/>
      <c r="F169" s="699" t="s">
        <v>303</v>
      </c>
      <c r="G169" s="699"/>
      <c r="H169" s="699"/>
      <c r="I169" s="699"/>
      <c r="J169" s="685"/>
      <c r="K169" s="702" t="s">
        <v>37</v>
      </c>
      <c r="L169" s="88"/>
      <c r="M169" s="8">
        <v>140</v>
      </c>
      <c r="N169" s="8">
        <v>1</v>
      </c>
      <c r="O169" s="124">
        <v>1000</v>
      </c>
      <c r="P169" s="660" t="s">
        <v>1143</v>
      </c>
    </row>
    <row r="170" spans="1:16" ht="15" customHeight="1">
      <c r="A170" s="616"/>
      <c r="B170" s="661" t="s">
        <v>304</v>
      </c>
      <c r="C170" s="661"/>
      <c r="D170" s="661" t="s">
        <v>11</v>
      </c>
      <c r="E170" s="661"/>
      <c r="F170" s="699" t="s">
        <v>422</v>
      </c>
      <c r="G170" s="699"/>
      <c r="H170" s="699"/>
      <c r="I170" s="699"/>
      <c r="J170" s="686"/>
      <c r="K170" s="691"/>
      <c r="L170" s="88"/>
      <c r="M170" s="8"/>
      <c r="N170" s="8"/>
      <c r="O170" s="124"/>
      <c r="P170" s="660"/>
    </row>
    <row r="171" spans="1:16" ht="15" customHeight="1">
      <c r="A171" s="59" t="s">
        <v>423</v>
      </c>
      <c r="B171" s="650" t="s">
        <v>236</v>
      </c>
      <c r="C171" s="650"/>
      <c r="D171" s="650" t="s">
        <v>49</v>
      </c>
      <c r="E171" s="650"/>
      <c r="F171" s="651" t="s">
        <v>804</v>
      </c>
      <c r="G171" s="651"/>
      <c r="H171" s="651"/>
      <c r="I171" s="651"/>
      <c r="J171" s="15" t="s">
        <v>984</v>
      </c>
      <c r="K171" s="15"/>
      <c r="L171" s="97" t="s">
        <v>436</v>
      </c>
      <c r="M171" s="25">
        <v>140</v>
      </c>
      <c r="N171" s="25">
        <v>1</v>
      </c>
      <c r="O171" s="32">
        <v>12140</v>
      </c>
      <c r="P171" s="10" t="s">
        <v>785</v>
      </c>
    </row>
    <row r="172" spans="1:16" ht="15" customHeight="1">
      <c r="A172" s="59" t="s">
        <v>427</v>
      </c>
      <c r="B172" s="706" t="s">
        <v>178</v>
      </c>
      <c r="C172" s="706"/>
      <c r="D172" s="650" t="s">
        <v>240</v>
      </c>
      <c r="E172" s="650"/>
      <c r="F172" s="707" t="s">
        <v>1067</v>
      </c>
      <c r="G172" s="707"/>
      <c r="H172" s="707"/>
      <c r="I172" s="707"/>
      <c r="J172" s="23" t="s">
        <v>1084</v>
      </c>
      <c r="K172" s="96" t="s">
        <v>709</v>
      </c>
      <c r="L172" s="93" t="s">
        <v>425</v>
      </c>
      <c r="M172" s="25">
        <v>140</v>
      </c>
      <c r="N172" s="25">
        <v>2</v>
      </c>
      <c r="O172" s="43">
        <v>40280</v>
      </c>
      <c r="P172" s="10" t="s">
        <v>787</v>
      </c>
    </row>
    <row r="173" spans="1:16" ht="30" customHeight="1">
      <c r="A173" s="59" t="s">
        <v>47</v>
      </c>
      <c r="B173" s="650" t="s">
        <v>211</v>
      </c>
      <c r="C173" s="650"/>
      <c r="D173" s="650" t="s">
        <v>63</v>
      </c>
      <c r="E173" s="650"/>
      <c r="F173" s="651" t="s">
        <v>788</v>
      </c>
      <c r="G173" s="651"/>
      <c r="H173" s="651"/>
      <c r="I173" s="651"/>
      <c r="J173" s="269" t="s">
        <v>1085</v>
      </c>
      <c r="K173" s="25"/>
      <c r="L173" s="93" t="s">
        <v>425</v>
      </c>
      <c r="M173" s="25">
        <v>140</v>
      </c>
      <c r="N173" s="25">
        <v>2</v>
      </c>
      <c r="O173" s="32">
        <v>10280</v>
      </c>
      <c r="P173" s="9" t="s">
        <v>789</v>
      </c>
    </row>
    <row r="174" spans="1:16" ht="15" customHeight="1">
      <c r="A174" s="73" t="s">
        <v>434</v>
      </c>
      <c r="B174" s="618" t="s">
        <v>178</v>
      </c>
      <c r="C174" s="619"/>
      <c r="D174" s="618" t="s">
        <v>179</v>
      </c>
      <c r="E174" s="619"/>
      <c r="F174" s="620" t="s">
        <v>515</v>
      </c>
      <c r="G174" s="621"/>
      <c r="H174" s="621"/>
      <c r="I174" s="622"/>
      <c r="J174" s="67" t="s">
        <v>1083</v>
      </c>
      <c r="K174" s="67"/>
      <c r="L174" s="93" t="s">
        <v>425</v>
      </c>
      <c r="M174" s="25">
        <v>140</v>
      </c>
      <c r="N174" s="25">
        <v>1</v>
      </c>
      <c r="O174" s="52">
        <v>10140</v>
      </c>
      <c r="P174" s="11" t="s">
        <v>1147</v>
      </c>
    </row>
    <row r="175" spans="1:16" ht="30" customHeight="1" thickBot="1">
      <c r="A175" s="98" t="s">
        <v>439</v>
      </c>
      <c r="B175" s="650" t="s">
        <v>147</v>
      </c>
      <c r="C175" s="650"/>
      <c r="D175" s="727" t="s">
        <v>49</v>
      </c>
      <c r="E175" s="727"/>
      <c r="F175" s="728" t="s">
        <v>518</v>
      </c>
      <c r="G175" s="728"/>
      <c r="H175" s="728"/>
      <c r="I175" s="728"/>
      <c r="J175" s="296" t="s">
        <v>1089</v>
      </c>
      <c r="K175" s="311" t="s">
        <v>1290</v>
      </c>
      <c r="L175" s="100" t="s">
        <v>425</v>
      </c>
      <c r="M175" s="99">
        <v>140</v>
      </c>
      <c r="N175" s="99">
        <v>1</v>
      </c>
      <c r="O175" s="48">
        <v>4140</v>
      </c>
      <c r="P175" s="12" t="s">
        <v>520</v>
      </c>
    </row>
    <row r="176" spans="1:16" ht="15" customHeight="1" thickTop="1">
      <c r="A176" s="729" t="s">
        <v>443</v>
      </c>
      <c r="B176" s="730" t="s">
        <v>10</v>
      </c>
      <c r="C176" s="730"/>
      <c r="D176" s="638" t="s">
        <v>14</v>
      </c>
      <c r="E176" s="639"/>
      <c r="F176" s="731" t="s">
        <v>445</v>
      </c>
      <c r="G176" s="731"/>
      <c r="H176" s="731"/>
      <c r="I176" s="731"/>
      <c r="J176" s="677" t="s">
        <v>1399</v>
      </c>
      <c r="K176" s="788" t="s">
        <v>986</v>
      </c>
      <c r="L176" s="105"/>
      <c r="M176" s="14">
        <v>140</v>
      </c>
      <c r="N176" s="14">
        <v>1</v>
      </c>
      <c r="O176" s="542">
        <v>2140</v>
      </c>
      <c r="P176" s="1264" t="s">
        <v>825</v>
      </c>
    </row>
    <row r="177" spans="1:16" ht="15" customHeight="1">
      <c r="A177" s="615"/>
      <c r="B177" s="637" t="s">
        <v>227</v>
      </c>
      <c r="C177" s="637"/>
      <c r="D177" s="638" t="s">
        <v>14</v>
      </c>
      <c r="E177" s="639"/>
      <c r="F177" s="653" t="s">
        <v>448</v>
      </c>
      <c r="G177" s="653"/>
      <c r="H177" s="653"/>
      <c r="I177" s="653"/>
      <c r="J177" s="626"/>
      <c r="K177" s="789"/>
      <c r="L177" s="108"/>
      <c r="M177" s="8"/>
      <c r="N177" s="8"/>
      <c r="O177" s="51"/>
      <c r="P177" s="1264"/>
    </row>
    <row r="178" spans="1:16" ht="15" customHeight="1">
      <c r="A178" s="616"/>
      <c r="B178" s="637" t="s">
        <v>83</v>
      </c>
      <c r="C178" s="637"/>
      <c r="D178" s="638" t="s">
        <v>14</v>
      </c>
      <c r="E178" s="639"/>
      <c r="F178" s="659" t="s">
        <v>449</v>
      </c>
      <c r="G178" s="659"/>
      <c r="H178" s="659"/>
      <c r="I178" s="659"/>
      <c r="J178" s="627"/>
      <c r="K178" s="790"/>
      <c r="L178" s="108"/>
      <c r="M178" s="8"/>
      <c r="N178" s="8"/>
      <c r="O178" s="51"/>
      <c r="P178" s="708"/>
    </row>
    <row r="179" spans="1:16" ht="15" customHeight="1">
      <c r="A179" s="664" t="s">
        <v>450</v>
      </c>
      <c r="B179" s="637" t="s">
        <v>10</v>
      </c>
      <c r="C179" s="637"/>
      <c r="D179" s="638" t="s">
        <v>43</v>
      </c>
      <c r="E179" s="639"/>
      <c r="F179" s="666" t="s">
        <v>890</v>
      </c>
      <c r="G179" s="667"/>
      <c r="H179" s="667"/>
      <c r="I179" s="667"/>
      <c r="J179" s="735" t="s">
        <v>1400</v>
      </c>
      <c r="K179" s="738"/>
      <c r="L179" s="108"/>
      <c r="M179" s="8">
        <v>140</v>
      </c>
      <c r="N179" s="8">
        <v>1</v>
      </c>
      <c r="O179" s="51">
        <v>3140</v>
      </c>
      <c r="P179" s="1264" t="s">
        <v>910</v>
      </c>
    </row>
    <row r="180" spans="1:16" ht="15" customHeight="1">
      <c r="A180" s="664"/>
      <c r="B180" s="637" t="s">
        <v>81</v>
      </c>
      <c r="C180" s="637"/>
      <c r="D180" s="661" t="s">
        <v>11</v>
      </c>
      <c r="E180" s="661"/>
      <c r="F180" s="662" t="s">
        <v>891</v>
      </c>
      <c r="G180" s="663"/>
      <c r="H180" s="663"/>
      <c r="I180" s="663"/>
      <c r="J180" s="736"/>
      <c r="K180" s="672"/>
      <c r="L180" s="108"/>
      <c r="M180" s="8"/>
      <c r="N180" s="8"/>
      <c r="O180" s="51"/>
      <c r="P180" s="1264"/>
    </row>
    <row r="181" spans="1:16" ht="15" customHeight="1">
      <c r="A181" s="665"/>
      <c r="B181" s="637" t="s">
        <v>83</v>
      </c>
      <c r="C181" s="637"/>
      <c r="D181" s="661" t="s">
        <v>11</v>
      </c>
      <c r="E181" s="661"/>
      <c r="F181" s="659" t="s">
        <v>912</v>
      </c>
      <c r="G181" s="659"/>
      <c r="H181" s="659"/>
      <c r="I181" s="659"/>
      <c r="J181" s="737"/>
      <c r="K181" s="673"/>
      <c r="L181" s="108"/>
      <c r="M181" s="8"/>
      <c r="N181" s="8"/>
      <c r="O181" s="51"/>
      <c r="P181" s="708"/>
    </row>
    <row r="182" spans="1:16" ht="30" customHeight="1">
      <c r="A182" s="59" t="s">
        <v>455</v>
      </c>
      <c r="B182" s="650" t="s">
        <v>178</v>
      </c>
      <c r="C182" s="650"/>
      <c r="D182" s="650" t="s">
        <v>72</v>
      </c>
      <c r="E182" s="650"/>
      <c r="F182" s="651" t="s">
        <v>922</v>
      </c>
      <c r="G182" s="651"/>
      <c r="H182" s="651"/>
      <c r="I182" s="651"/>
      <c r="J182" s="313" t="s">
        <v>1401</v>
      </c>
      <c r="K182" s="312" t="s">
        <v>1091</v>
      </c>
      <c r="L182" s="97" t="s">
        <v>436</v>
      </c>
      <c r="M182" s="25">
        <v>140</v>
      </c>
      <c r="N182" s="25">
        <v>1</v>
      </c>
      <c r="O182" s="32">
        <v>5140</v>
      </c>
      <c r="P182" s="9" t="s">
        <v>1146</v>
      </c>
    </row>
    <row r="183" spans="1:16" ht="15" customHeight="1">
      <c r="A183" s="73" t="s">
        <v>794</v>
      </c>
      <c r="B183" s="650" t="s">
        <v>211</v>
      </c>
      <c r="C183" s="650"/>
      <c r="D183" s="650" t="s">
        <v>72</v>
      </c>
      <c r="E183" s="650"/>
      <c r="F183" s="651" t="s">
        <v>465</v>
      </c>
      <c r="G183" s="651"/>
      <c r="H183" s="651"/>
      <c r="I183" s="651"/>
      <c r="J183" s="274" t="s">
        <v>987</v>
      </c>
      <c r="K183" s="25"/>
      <c r="L183" s="97" t="s">
        <v>436</v>
      </c>
      <c r="M183" s="25">
        <v>140</v>
      </c>
      <c r="N183" s="25">
        <v>2</v>
      </c>
      <c r="O183" s="32">
        <v>20280</v>
      </c>
      <c r="P183" s="9" t="s">
        <v>1134</v>
      </c>
    </row>
    <row r="184" spans="1:16" ht="15" customHeight="1">
      <c r="A184" s="184" t="s">
        <v>464</v>
      </c>
      <c r="B184" s="650" t="s">
        <v>147</v>
      </c>
      <c r="C184" s="650"/>
      <c r="D184" s="650" t="s">
        <v>49</v>
      </c>
      <c r="E184" s="650"/>
      <c r="F184" s="651" t="s">
        <v>966</v>
      </c>
      <c r="G184" s="651"/>
      <c r="H184" s="651"/>
      <c r="I184" s="651"/>
      <c r="J184" s="25" t="s">
        <v>1139</v>
      </c>
      <c r="K184" s="25"/>
      <c r="L184" s="97" t="s">
        <v>425</v>
      </c>
      <c r="M184" s="25">
        <v>140</v>
      </c>
      <c r="N184" s="25">
        <v>2</v>
      </c>
      <c r="O184" s="32">
        <v>2680</v>
      </c>
      <c r="P184" s="9" t="s">
        <v>1145</v>
      </c>
    </row>
    <row r="185" spans="1:16" ht="15" customHeight="1">
      <c r="A185" s="73" t="s">
        <v>467</v>
      </c>
      <c r="B185" s="650" t="s">
        <v>147</v>
      </c>
      <c r="C185" s="650"/>
      <c r="D185" s="650" t="s">
        <v>49</v>
      </c>
      <c r="E185" s="650"/>
      <c r="F185" s="651" t="s">
        <v>1150</v>
      </c>
      <c r="G185" s="651"/>
      <c r="H185" s="651"/>
      <c r="I185" s="651"/>
      <c r="J185" s="25" t="s">
        <v>1080</v>
      </c>
      <c r="K185" s="109"/>
      <c r="L185" s="97" t="s">
        <v>1158</v>
      </c>
      <c r="M185" s="25">
        <v>140</v>
      </c>
      <c r="N185" s="25">
        <v>1</v>
      </c>
      <c r="O185" s="32">
        <v>2640</v>
      </c>
      <c r="P185" s="9" t="s">
        <v>1131</v>
      </c>
    </row>
    <row r="186" spans="1:16" ht="15" customHeight="1">
      <c r="A186" s="184" t="s">
        <v>1123</v>
      </c>
      <c r="B186" s="650" t="s">
        <v>147</v>
      </c>
      <c r="C186" s="650"/>
      <c r="D186" s="650" t="s">
        <v>49</v>
      </c>
      <c r="E186" s="650"/>
      <c r="F186" s="651" t="s">
        <v>518</v>
      </c>
      <c r="G186" s="651"/>
      <c r="H186" s="651"/>
      <c r="I186" s="651"/>
      <c r="J186" s="25"/>
      <c r="K186" s="25" t="s">
        <v>1125</v>
      </c>
      <c r="L186" s="97" t="s">
        <v>425</v>
      </c>
      <c r="M186" s="323">
        <v>140</v>
      </c>
      <c r="N186" s="25">
        <v>1</v>
      </c>
      <c r="O186" s="32">
        <v>20140</v>
      </c>
      <c r="P186" s="9" t="s">
        <v>905</v>
      </c>
    </row>
    <row r="187" spans="1:16" ht="30" customHeight="1">
      <c r="A187" s="59" t="s">
        <v>1124</v>
      </c>
      <c r="B187" s="650" t="s">
        <v>205</v>
      </c>
      <c r="C187" s="650"/>
      <c r="D187" s="650" t="s">
        <v>206</v>
      </c>
      <c r="E187" s="650"/>
      <c r="F187" s="651" t="s">
        <v>903</v>
      </c>
      <c r="G187" s="651"/>
      <c r="H187" s="651"/>
      <c r="I187" s="651"/>
      <c r="J187" s="314" t="s">
        <v>1177</v>
      </c>
      <c r="K187" s="305" t="s">
        <v>1404</v>
      </c>
      <c r="L187" s="97" t="s">
        <v>425</v>
      </c>
      <c r="M187" s="323">
        <v>140</v>
      </c>
      <c r="N187" s="323">
        <v>1</v>
      </c>
      <c r="O187" s="32">
        <v>8140</v>
      </c>
      <c r="P187" s="9" t="s">
        <v>904</v>
      </c>
    </row>
    <row r="188" spans="1:16" ht="15" customHeight="1">
      <c r="A188" s="59" t="s">
        <v>476</v>
      </c>
      <c r="B188" s="679" t="s">
        <v>868</v>
      </c>
      <c r="C188" s="680"/>
      <c r="D188" s="618" t="s">
        <v>72</v>
      </c>
      <c r="E188" s="619"/>
      <c r="F188" s="681" t="s">
        <v>1181</v>
      </c>
      <c r="G188" s="682"/>
      <c r="H188" s="682"/>
      <c r="I188" s="683"/>
      <c r="J188" s="255" t="s">
        <v>980</v>
      </c>
      <c r="K188" s="96"/>
      <c r="L188" s="76" t="s">
        <v>425</v>
      </c>
      <c r="M188" s="320">
        <v>140</v>
      </c>
      <c r="N188" s="320">
        <v>1</v>
      </c>
      <c r="O188" s="43">
        <v>8140</v>
      </c>
      <c r="P188" s="122" t="s">
        <v>901</v>
      </c>
    </row>
    <row r="189" spans="1:16" ht="15" customHeight="1">
      <c r="A189" s="739" t="s">
        <v>480</v>
      </c>
      <c r="B189" s="661" t="s">
        <v>10</v>
      </c>
      <c r="C189" s="661"/>
      <c r="D189" s="661" t="s">
        <v>43</v>
      </c>
      <c r="E189" s="661"/>
      <c r="F189" s="659" t="s">
        <v>185</v>
      </c>
      <c r="G189" s="659"/>
      <c r="H189" s="659"/>
      <c r="I189" s="659"/>
      <c r="J189" s="625" t="s">
        <v>1140</v>
      </c>
      <c r="K189" s="1279" t="s">
        <v>982</v>
      </c>
      <c r="L189" s="433"/>
      <c r="M189" s="434">
        <v>140</v>
      </c>
      <c r="N189" s="324">
        <v>1</v>
      </c>
      <c r="O189" s="124">
        <v>10140</v>
      </c>
      <c r="P189" s="660" t="s">
        <v>1132</v>
      </c>
    </row>
    <row r="190" spans="1:16" ht="15" customHeight="1">
      <c r="A190" s="739"/>
      <c r="B190" s="661" t="s">
        <v>13</v>
      </c>
      <c r="C190" s="661"/>
      <c r="D190" s="661" t="s">
        <v>49</v>
      </c>
      <c r="E190" s="661"/>
      <c r="F190" s="659" t="s">
        <v>69</v>
      </c>
      <c r="G190" s="659"/>
      <c r="H190" s="659"/>
      <c r="I190" s="659"/>
      <c r="J190" s="627"/>
      <c r="K190" s="1280"/>
      <c r="L190" s="433"/>
      <c r="M190" s="434"/>
      <c r="N190" s="324"/>
      <c r="O190" s="124"/>
      <c r="P190" s="660"/>
    </row>
    <row r="191" spans="1:16" ht="26.25" customHeight="1">
      <c r="A191" s="412" t="s">
        <v>985</v>
      </c>
      <c r="B191" s="395"/>
      <c r="C191" s="395"/>
      <c r="D191" s="395"/>
      <c r="E191" s="395"/>
      <c r="F191" s="395"/>
      <c r="G191" s="395"/>
      <c r="H191" s="395"/>
      <c r="I191" s="395"/>
      <c r="J191" s="395"/>
      <c r="K191" s="395"/>
      <c r="L191" s="395"/>
      <c r="M191" s="395"/>
      <c r="N191" s="395"/>
      <c r="O191" s="395"/>
      <c r="P191" s="395"/>
    </row>
    <row r="192" spans="1:16">
      <c r="A192" s="531"/>
      <c r="B192" s="531"/>
      <c r="C192" s="531"/>
      <c r="D192" s="531"/>
      <c r="E192" s="531"/>
      <c r="F192" s="531"/>
      <c r="G192" s="531"/>
      <c r="H192" s="531"/>
      <c r="I192" s="531"/>
      <c r="J192" s="531"/>
      <c r="K192" s="531"/>
      <c r="L192" s="531"/>
      <c r="M192" s="531"/>
      <c r="N192" s="531"/>
      <c r="O192" s="531"/>
      <c r="P192" s="531"/>
    </row>
    <row r="195" spans="1:32" ht="18" customHeight="1">
      <c r="A195" s="262" t="s">
        <v>1120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399"/>
      <c r="N195" s="398"/>
      <c r="O195" s="400"/>
      <c r="P195" s="1"/>
    </row>
    <row r="196" spans="1:32" ht="18" customHeight="1">
      <c r="A196" s="243" t="s">
        <v>1121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399"/>
      <c r="N196" s="399"/>
      <c r="O196" s="400"/>
      <c r="P196" s="1"/>
    </row>
    <row r="197" spans="1:32" ht="14.25" customHeight="1" thickBot="1">
      <c r="A197" s="49" t="s">
        <v>366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401"/>
      <c r="N197" s="401"/>
      <c r="O197" s="402"/>
      <c r="P197" s="1" t="s">
        <v>983</v>
      </c>
    </row>
    <row r="198" spans="1:32" ht="14.25" customHeight="1">
      <c r="A198" s="710" t="s">
        <v>2</v>
      </c>
      <c r="B198" s="712" t="s">
        <v>3</v>
      </c>
      <c r="C198" s="712"/>
      <c r="D198" s="650" t="s">
        <v>4</v>
      </c>
      <c r="E198" s="650"/>
      <c r="F198" s="712" t="s">
        <v>5</v>
      </c>
      <c r="G198" s="712"/>
      <c r="H198" s="712"/>
      <c r="I198" s="712"/>
      <c r="J198" s="713" t="s">
        <v>491</v>
      </c>
      <c r="K198" s="715" t="s">
        <v>7</v>
      </c>
      <c r="L198" s="185" t="s">
        <v>407</v>
      </c>
      <c r="M198" s="696" t="s">
        <v>1095</v>
      </c>
      <c r="N198" s="1260" t="s">
        <v>1096</v>
      </c>
      <c r="O198" s="1261" t="s">
        <v>1097</v>
      </c>
      <c r="P198" s="715" t="s">
        <v>8</v>
      </c>
      <c r="U198" s="832" t="s">
        <v>1356</v>
      </c>
      <c r="V198" s="644" t="s">
        <v>1357</v>
      </c>
      <c r="W198" s="644"/>
      <c r="X198" s="644" t="s">
        <v>1358</v>
      </c>
      <c r="Y198" s="644"/>
      <c r="Z198" s="644"/>
      <c r="AA198" s="644"/>
      <c r="AB198" s="644"/>
      <c r="AC198" s="644"/>
      <c r="AD198" s="553" t="s">
        <v>1359</v>
      </c>
      <c r="AE198" s="553" t="s">
        <v>1360</v>
      </c>
      <c r="AF198" s="554" t="s">
        <v>1361</v>
      </c>
    </row>
    <row r="199" spans="1:32" ht="14.25" customHeight="1">
      <c r="A199" s="711"/>
      <c r="B199" s="712"/>
      <c r="C199" s="712"/>
      <c r="D199" s="650"/>
      <c r="E199" s="650"/>
      <c r="F199" s="712"/>
      <c r="G199" s="712"/>
      <c r="H199" s="712"/>
      <c r="I199" s="712"/>
      <c r="J199" s="714"/>
      <c r="K199" s="715"/>
      <c r="L199" s="186" t="s">
        <v>410</v>
      </c>
      <c r="M199" s="706"/>
      <c r="N199" s="717"/>
      <c r="O199" s="1261"/>
      <c r="P199" s="715"/>
      <c r="U199" s="833"/>
      <c r="V199" s="645"/>
      <c r="W199" s="646"/>
      <c r="X199" s="646"/>
      <c r="Y199" s="646"/>
      <c r="Z199" s="646"/>
      <c r="AA199" s="646"/>
      <c r="AB199" s="646"/>
      <c r="AC199" s="646"/>
      <c r="AD199" s="555"/>
      <c r="AE199" s="555"/>
      <c r="AF199" s="556"/>
    </row>
    <row r="200" spans="1:32" ht="14.25" customHeight="1">
      <c r="A200" s="614" t="s">
        <v>106</v>
      </c>
      <c r="B200" s="661" t="s">
        <v>10</v>
      </c>
      <c r="C200" s="661"/>
      <c r="D200" s="661" t="s">
        <v>43</v>
      </c>
      <c r="E200" s="661"/>
      <c r="F200" s="659" t="s">
        <v>810</v>
      </c>
      <c r="G200" s="659"/>
      <c r="H200" s="659"/>
      <c r="I200" s="659"/>
      <c r="J200" s="685"/>
      <c r="K200" s="687"/>
      <c r="L200" s="88"/>
      <c r="M200" s="8">
        <v>100</v>
      </c>
      <c r="N200" s="8">
        <v>1</v>
      </c>
      <c r="O200" s="204">
        <v>500</v>
      </c>
      <c r="P200" s="660" t="s">
        <v>12</v>
      </c>
      <c r="U200" s="833"/>
      <c r="V200" s="645"/>
      <c r="W200" s="646"/>
      <c r="X200" s="646"/>
      <c r="Y200" s="646"/>
      <c r="Z200" s="646"/>
      <c r="AA200" s="646"/>
      <c r="AB200" s="646"/>
      <c r="AC200" s="646"/>
      <c r="AD200" s="555"/>
      <c r="AE200" s="555"/>
      <c r="AF200" s="556"/>
    </row>
    <row r="201" spans="1:32" ht="14.25" customHeight="1" thickBot="1">
      <c r="A201" s="616"/>
      <c r="B201" s="700" t="s">
        <v>13</v>
      </c>
      <c r="C201" s="701"/>
      <c r="D201" s="700" t="s">
        <v>14</v>
      </c>
      <c r="E201" s="701"/>
      <c r="F201" s="659" t="s">
        <v>811</v>
      </c>
      <c r="G201" s="659"/>
      <c r="H201" s="659"/>
      <c r="I201" s="659"/>
      <c r="J201" s="686"/>
      <c r="K201" s="726"/>
      <c r="L201" s="88"/>
      <c r="M201" s="8"/>
      <c r="N201" s="8"/>
      <c r="O201" s="204"/>
      <c r="P201" s="660"/>
      <c r="U201" s="834"/>
      <c r="V201" s="647" t="s">
        <v>1407</v>
      </c>
      <c r="W201" s="617"/>
      <c r="X201" s="617" t="s">
        <v>1363</v>
      </c>
      <c r="Y201" s="617"/>
      <c r="Z201" s="617"/>
      <c r="AA201" s="617"/>
      <c r="AB201" s="617"/>
      <c r="AC201" s="617"/>
      <c r="AD201" s="557" t="s">
        <v>1364</v>
      </c>
      <c r="AE201" s="557" t="s">
        <v>1365</v>
      </c>
      <c r="AF201" s="558" t="s">
        <v>1366</v>
      </c>
    </row>
    <row r="202" spans="1:32" ht="14.25" customHeight="1">
      <c r="A202" s="614" t="s">
        <v>233</v>
      </c>
      <c r="B202" s="661" t="s">
        <v>10</v>
      </c>
      <c r="C202" s="661"/>
      <c r="D202" s="638" t="s">
        <v>43</v>
      </c>
      <c r="E202" s="639"/>
      <c r="F202" s="653" t="s">
        <v>823</v>
      </c>
      <c r="G202" s="653"/>
      <c r="H202" s="653"/>
      <c r="I202" s="653"/>
      <c r="J202" s="685" t="s">
        <v>969</v>
      </c>
      <c r="K202" s="703" t="s">
        <v>782</v>
      </c>
      <c r="L202" s="88"/>
      <c r="M202" s="8">
        <v>100</v>
      </c>
      <c r="N202" s="8">
        <v>2</v>
      </c>
      <c r="O202" s="204">
        <v>2600</v>
      </c>
      <c r="P202" s="660" t="s">
        <v>1127</v>
      </c>
    </row>
    <row r="203" spans="1:32" ht="14.25" customHeight="1">
      <c r="A203" s="616"/>
      <c r="B203" s="700" t="s">
        <v>13</v>
      </c>
      <c r="C203" s="701"/>
      <c r="D203" s="700" t="s">
        <v>11</v>
      </c>
      <c r="E203" s="701"/>
      <c r="F203" s="653" t="s">
        <v>414</v>
      </c>
      <c r="G203" s="653"/>
      <c r="H203" s="653"/>
      <c r="I203" s="653"/>
      <c r="J203" s="686"/>
      <c r="K203" s="673"/>
      <c r="L203" s="88"/>
      <c r="M203" s="8"/>
      <c r="N203" s="8"/>
      <c r="O203" s="204"/>
      <c r="P203" s="660"/>
    </row>
    <row r="204" spans="1:32" ht="14.25" customHeight="1">
      <c r="A204" s="614" t="s">
        <v>27</v>
      </c>
      <c r="B204" s="661" t="s">
        <v>10</v>
      </c>
      <c r="C204" s="661"/>
      <c r="D204" s="700" t="s">
        <v>11</v>
      </c>
      <c r="E204" s="701"/>
      <c r="F204" s="659" t="s">
        <v>415</v>
      </c>
      <c r="G204" s="659"/>
      <c r="H204" s="659"/>
      <c r="I204" s="659"/>
      <c r="J204" s="685" t="s">
        <v>783</v>
      </c>
      <c r="K204" s="687"/>
      <c r="L204" s="88"/>
      <c r="M204" s="8">
        <v>200</v>
      </c>
      <c r="N204" s="8">
        <v>1</v>
      </c>
      <c r="O204" s="204">
        <v>10200</v>
      </c>
      <c r="P204" s="660" t="s">
        <v>1128</v>
      </c>
    </row>
    <row r="205" spans="1:32" ht="14.25" customHeight="1">
      <c r="A205" s="616"/>
      <c r="B205" s="700" t="s">
        <v>13</v>
      </c>
      <c r="C205" s="701"/>
      <c r="D205" s="700" t="s">
        <v>11</v>
      </c>
      <c r="E205" s="701"/>
      <c r="F205" s="659" t="s">
        <v>418</v>
      </c>
      <c r="G205" s="659"/>
      <c r="H205" s="659"/>
      <c r="I205" s="659"/>
      <c r="J205" s="686"/>
      <c r="K205" s="726"/>
      <c r="L205" s="88"/>
      <c r="M205" s="8"/>
      <c r="N205" s="8"/>
      <c r="O205" s="204"/>
      <c r="P205" s="660"/>
    </row>
    <row r="206" spans="1:32" ht="14.25" customHeight="1">
      <c r="A206" s="614" t="s">
        <v>384</v>
      </c>
      <c r="B206" s="661" t="s">
        <v>199</v>
      </c>
      <c r="C206" s="661"/>
      <c r="D206" s="661" t="s">
        <v>11</v>
      </c>
      <c r="E206" s="661"/>
      <c r="F206" s="659" t="s">
        <v>419</v>
      </c>
      <c r="G206" s="659"/>
      <c r="H206" s="659"/>
      <c r="I206" s="659"/>
      <c r="J206" s="685"/>
      <c r="K206" s="702" t="s">
        <v>420</v>
      </c>
      <c r="L206" s="88"/>
      <c r="M206" s="8">
        <v>100</v>
      </c>
      <c r="N206" s="8">
        <v>1</v>
      </c>
      <c r="O206" s="204">
        <v>4100</v>
      </c>
      <c r="P206" s="660" t="s">
        <v>1129</v>
      </c>
    </row>
    <row r="207" spans="1:32" ht="14.25" customHeight="1">
      <c r="A207" s="616"/>
      <c r="B207" s="661" t="s">
        <v>202</v>
      </c>
      <c r="C207" s="661"/>
      <c r="D207" s="661" t="s">
        <v>11</v>
      </c>
      <c r="E207" s="661"/>
      <c r="F207" s="659" t="s">
        <v>203</v>
      </c>
      <c r="G207" s="659"/>
      <c r="H207" s="659"/>
      <c r="I207" s="659"/>
      <c r="J207" s="686"/>
      <c r="K207" s="691"/>
      <c r="L207" s="88"/>
      <c r="M207" s="8"/>
      <c r="N207" s="8"/>
      <c r="O207" s="204"/>
      <c r="P207" s="660"/>
    </row>
    <row r="208" spans="1:32" ht="14.25" customHeight="1">
      <c r="A208" s="614" t="s">
        <v>421</v>
      </c>
      <c r="B208" s="661" t="s">
        <v>35</v>
      </c>
      <c r="C208" s="661"/>
      <c r="D208" s="661" t="s">
        <v>11</v>
      </c>
      <c r="E208" s="661"/>
      <c r="F208" s="699" t="s">
        <v>303</v>
      </c>
      <c r="G208" s="699"/>
      <c r="H208" s="699"/>
      <c r="I208" s="699"/>
      <c r="J208" s="685"/>
      <c r="K208" s="702" t="s">
        <v>37</v>
      </c>
      <c r="L208" s="88"/>
      <c r="M208" s="8">
        <v>100</v>
      </c>
      <c r="N208" s="8">
        <v>1</v>
      </c>
      <c r="O208" s="204">
        <v>1000</v>
      </c>
      <c r="P208" s="660" t="s">
        <v>1130</v>
      </c>
    </row>
    <row r="209" spans="1:16" ht="14.25" customHeight="1">
      <c r="A209" s="616"/>
      <c r="B209" s="661" t="s">
        <v>304</v>
      </c>
      <c r="C209" s="661"/>
      <c r="D209" s="661" t="s">
        <v>11</v>
      </c>
      <c r="E209" s="661"/>
      <c r="F209" s="699" t="s">
        <v>422</v>
      </c>
      <c r="G209" s="699"/>
      <c r="H209" s="699"/>
      <c r="I209" s="699"/>
      <c r="J209" s="686"/>
      <c r="K209" s="691"/>
      <c r="L209" s="88"/>
      <c r="M209" s="8"/>
      <c r="N209" s="8"/>
      <c r="O209" s="204"/>
      <c r="P209" s="660"/>
    </row>
    <row r="210" spans="1:16" ht="14.25" customHeight="1">
      <c r="A210" s="59" t="s">
        <v>423</v>
      </c>
      <c r="B210" s="650" t="s">
        <v>236</v>
      </c>
      <c r="C210" s="650"/>
      <c r="D210" s="650" t="s">
        <v>49</v>
      </c>
      <c r="E210" s="650"/>
      <c r="F210" s="651" t="s">
        <v>804</v>
      </c>
      <c r="G210" s="651"/>
      <c r="H210" s="651"/>
      <c r="I210" s="651"/>
      <c r="J210" s="15"/>
      <c r="K210" s="15"/>
      <c r="L210" s="97" t="s">
        <v>436</v>
      </c>
      <c r="M210" s="25">
        <v>200</v>
      </c>
      <c r="N210" s="25">
        <v>1</v>
      </c>
      <c r="O210" s="321">
        <v>12200</v>
      </c>
      <c r="P210" s="10" t="s">
        <v>785</v>
      </c>
    </row>
    <row r="211" spans="1:16" ht="14.25" customHeight="1">
      <c r="A211" s="59" t="s">
        <v>427</v>
      </c>
      <c r="B211" s="706" t="s">
        <v>178</v>
      </c>
      <c r="C211" s="706"/>
      <c r="D211" s="650" t="s">
        <v>240</v>
      </c>
      <c r="E211" s="650"/>
      <c r="F211" s="707" t="s">
        <v>1067</v>
      </c>
      <c r="G211" s="707"/>
      <c r="H211" s="707"/>
      <c r="I211" s="707"/>
      <c r="J211" s="23" t="s">
        <v>786</v>
      </c>
      <c r="K211" s="96" t="s">
        <v>709</v>
      </c>
      <c r="L211" s="93" t="s">
        <v>425</v>
      </c>
      <c r="M211" s="25">
        <v>200</v>
      </c>
      <c r="N211" s="25">
        <v>2</v>
      </c>
      <c r="O211" s="319">
        <v>40400</v>
      </c>
      <c r="P211" s="10" t="s">
        <v>787</v>
      </c>
    </row>
    <row r="212" spans="1:16" ht="14.25" customHeight="1">
      <c r="A212" s="59" t="s">
        <v>47</v>
      </c>
      <c r="B212" s="650" t="s">
        <v>211</v>
      </c>
      <c r="C212" s="650"/>
      <c r="D212" s="650" t="s">
        <v>63</v>
      </c>
      <c r="E212" s="650"/>
      <c r="F212" s="651" t="s">
        <v>788</v>
      </c>
      <c r="G212" s="651"/>
      <c r="H212" s="651"/>
      <c r="I212" s="651"/>
      <c r="J212" s="25"/>
      <c r="K212" s="25"/>
      <c r="L212" s="93" t="s">
        <v>425</v>
      </c>
      <c r="M212" s="25">
        <v>150</v>
      </c>
      <c r="N212" s="25">
        <v>2</v>
      </c>
      <c r="O212" s="321">
        <v>10300</v>
      </c>
      <c r="P212" s="9" t="s">
        <v>789</v>
      </c>
    </row>
    <row r="213" spans="1:16" ht="14.25" customHeight="1">
      <c r="A213" s="73" t="s">
        <v>434</v>
      </c>
      <c r="B213" s="618" t="s">
        <v>178</v>
      </c>
      <c r="C213" s="619"/>
      <c r="D213" s="618" t="s">
        <v>179</v>
      </c>
      <c r="E213" s="619"/>
      <c r="F213" s="620" t="s">
        <v>515</v>
      </c>
      <c r="G213" s="621"/>
      <c r="H213" s="621"/>
      <c r="I213" s="622"/>
      <c r="J213" s="67" t="s">
        <v>970</v>
      </c>
      <c r="K213" s="67"/>
      <c r="L213" s="93" t="s">
        <v>425</v>
      </c>
      <c r="M213" s="25">
        <v>200</v>
      </c>
      <c r="N213" s="25">
        <v>1</v>
      </c>
      <c r="O213" s="318">
        <v>10200</v>
      </c>
      <c r="P213" s="11" t="s">
        <v>517</v>
      </c>
    </row>
    <row r="214" spans="1:16" ht="14.25" customHeight="1" thickBot="1">
      <c r="A214" s="98" t="s">
        <v>439</v>
      </c>
      <c r="B214" s="650" t="s">
        <v>147</v>
      </c>
      <c r="C214" s="650"/>
      <c r="D214" s="727" t="s">
        <v>49</v>
      </c>
      <c r="E214" s="727"/>
      <c r="F214" s="728" t="s">
        <v>518</v>
      </c>
      <c r="G214" s="728"/>
      <c r="H214" s="728"/>
      <c r="I214" s="728"/>
      <c r="J214" s="99" t="s">
        <v>562</v>
      </c>
      <c r="K214" s="99"/>
      <c r="L214" s="100" t="s">
        <v>425</v>
      </c>
      <c r="M214" s="99">
        <v>100</v>
      </c>
      <c r="N214" s="99">
        <v>1</v>
      </c>
      <c r="O214" s="336">
        <v>4100</v>
      </c>
      <c r="P214" s="12" t="s">
        <v>520</v>
      </c>
    </row>
    <row r="215" spans="1:16" ht="14.25" customHeight="1" thickTop="1">
      <c r="A215" s="729" t="s">
        <v>443</v>
      </c>
      <c r="B215" s="730" t="s">
        <v>10</v>
      </c>
      <c r="C215" s="730"/>
      <c r="D215" s="638" t="s">
        <v>14</v>
      </c>
      <c r="E215" s="639"/>
      <c r="F215" s="731" t="s">
        <v>445</v>
      </c>
      <c r="G215" s="731"/>
      <c r="H215" s="731"/>
      <c r="I215" s="731"/>
      <c r="J215" s="677" t="s">
        <v>971</v>
      </c>
      <c r="K215" s="1262"/>
      <c r="L215" s="105"/>
      <c r="M215" s="14">
        <v>100</v>
      </c>
      <c r="N215" s="14">
        <v>1</v>
      </c>
      <c r="O215" s="337">
        <v>2100</v>
      </c>
      <c r="P215" s="1264" t="s">
        <v>825</v>
      </c>
    </row>
    <row r="216" spans="1:16" ht="14.25" customHeight="1">
      <c r="A216" s="615"/>
      <c r="B216" s="637" t="s">
        <v>227</v>
      </c>
      <c r="C216" s="637"/>
      <c r="D216" s="638" t="s">
        <v>14</v>
      </c>
      <c r="E216" s="639"/>
      <c r="F216" s="653" t="s">
        <v>448</v>
      </c>
      <c r="G216" s="653"/>
      <c r="H216" s="653"/>
      <c r="I216" s="653"/>
      <c r="J216" s="626"/>
      <c r="K216" s="1263"/>
      <c r="L216" s="108"/>
      <c r="M216" s="8"/>
      <c r="N216" s="8"/>
      <c r="O216" s="317"/>
      <c r="P216" s="1264"/>
    </row>
    <row r="217" spans="1:16" ht="14.25" customHeight="1">
      <c r="A217" s="616"/>
      <c r="B217" s="637" t="s">
        <v>83</v>
      </c>
      <c r="C217" s="637"/>
      <c r="D217" s="638" t="s">
        <v>14</v>
      </c>
      <c r="E217" s="639"/>
      <c r="F217" s="659" t="s">
        <v>449</v>
      </c>
      <c r="G217" s="659"/>
      <c r="H217" s="659"/>
      <c r="I217" s="659"/>
      <c r="J217" s="627"/>
      <c r="K217" s="726"/>
      <c r="L217" s="108"/>
      <c r="M217" s="8"/>
      <c r="N217" s="8"/>
      <c r="O217" s="317"/>
      <c r="P217" s="708"/>
    </row>
    <row r="218" spans="1:16" ht="14.25" customHeight="1">
      <c r="A218" s="664" t="s">
        <v>450</v>
      </c>
      <c r="B218" s="637" t="s">
        <v>10</v>
      </c>
      <c r="C218" s="637"/>
      <c r="D218" s="638" t="s">
        <v>43</v>
      </c>
      <c r="E218" s="639"/>
      <c r="F218" s="666" t="s">
        <v>890</v>
      </c>
      <c r="G218" s="667"/>
      <c r="H218" s="667"/>
      <c r="I218" s="667"/>
      <c r="J218" s="685"/>
      <c r="K218" s="738"/>
      <c r="L218" s="108"/>
      <c r="M218" s="8">
        <v>100</v>
      </c>
      <c r="N218" s="8">
        <v>1</v>
      </c>
      <c r="O218" s="317">
        <v>3100</v>
      </c>
      <c r="P218" s="1264" t="s">
        <v>910</v>
      </c>
    </row>
    <row r="219" spans="1:16" ht="14.25" customHeight="1">
      <c r="A219" s="664"/>
      <c r="B219" s="637" t="s">
        <v>81</v>
      </c>
      <c r="C219" s="637"/>
      <c r="D219" s="661" t="s">
        <v>11</v>
      </c>
      <c r="E219" s="661"/>
      <c r="F219" s="662" t="s">
        <v>891</v>
      </c>
      <c r="G219" s="663"/>
      <c r="H219" s="663"/>
      <c r="I219" s="663"/>
      <c r="J219" s="689"/>
      <c r="K219" s="672"/>
      <c r="L219" s="108"/>
      <c r="M219" s="8"/>
      <c r="N219" s="8"/>
      <c r="O219" s="317"/>
      <c r="P219" s="1264"/>
    </row>
    <row r="220" spans="1:16" ht="14.25" customHeight="1">
      <c r="A220" s="665"/>
      <c r="B220" s="637" t="s">
        <v>83</v>
      </c>
      <c r="C220" s="637"/>
      <c r="D220" s="661" t="s">
        <v>11</v>
      </c>
      <c r="E220" s="661"/>
      <c r="F220" s="659" t="s">
        <v>912</v>
      </c>
      <c r="G220" s="659"/>
      <c r="H220" s="659"/>
      <c r="I220" s="659"/>
      <c r="J220" s="686"/>
      <c r="K220" s="673"/>
      <c r="L220" s="108"/>
      <c r="M220" s="8"/>
      <c r="N220" s="8"/>
      <c r="O220" s="317"/>
      <c r="P220" s="708"/>
    </row>
    <row r="221" spans="1:16" ht="14.25" customHeight="1">
      <c r="A221" s="59" t="s">
        <v>455</v>
      </c>
      <c r="B221" s="650" t="s">
        <v>178</v>
      </c>
      <c r="C221" s="650"/>
      <c r="D221" s="650" t="s">
        <v>72</v>
      </c>
      <c r="E221" s="650"/>
      <c r="F221" s="651" t="s">
        <v>922</v>
      </c>
      <c r="G221" s="651"/>
      <c r="H221" s="651"/>
      <c r="I221" s="651"/>
      <c r="J221" s="15" t="s">
        <v>793</v>
      </c>
      <c r="K221" s="109" t="s">
        <v>821</v>
      </c>
      <c r="L221" s="97" t="s">
        <v>436</v>
      </c>
      <c r="M221" s="25">
        <v>150</v>
      </c>
      <c r="N221" s="25">
        <v>1</v>
      </c>
      <c r="O221" s="321">
        <v>5150</v>
      </c>
      <c r="P221" s="9" t="s">
        <v>458</v>
      </c>
    </row>
    <row r="222" spans="1:16" ht="14.25" customHeight="1">
      <c r="A222" s="73" t="s">
        <v>794</v>
      </c>
      <c r="B222" s="650" t="s">
        <v>211</v>
      </c>
      <c r="C222" s="650"/>
      <c r="D222" s="650" t="s">
        <v>72</v>
      </c>
      <c r="E222" s="650"/>
      <c r="F222" s="651" t="s">
        <v>465</v>
      </c>
      <c r="G222" s="651"/>
      <c r="H222" s="651"/>
      <c r="I222" s="651"/>
      <c r="J222" s="25"/>
      <c r="K222" s="25"/>
      <c r="L222" s="97" t="s">
        <v>436</v>
      </c>
      <c r="M222" s="25">
        <v>200</v>
      </c>
      <c r="N222" s="25">
        <v>2</v>
      </c>
      <c r="O222" s="321">
        <v>20400</v>
      </c>
      <c r="P222" s="9" t="s">
        <v>1134</v>
      </c>
    </row>
    <row r="223" spans="1:16" ht="14.25" customHeight="1">
      <c r="A223" s="184" t="s">
        <v>464</v>
      </c>
      <c r="B223" s="650" t="s">
        <v>147</v>
      </c>
      <c r="C223" s="650"/>
      <c r="D223" s="650" t="s">
        <v>49</v>
      </c>
      <c r="E223" s="650"/>
      <c r="F223" s="651" t="s">
        <v>966</v>
      </c>
      <c r="G223" s="651"/>
      <c r="H223" s="651"/>
      <c r="I223" s="651"/>
      <c r="J223" s="25" t="s">
        <v>796</v>
      </c>
      <c r="K223" s="25"/>
      <c r="L223" s="97" t="s">
        <v>425</v>
      </c>
      <c r="M223" s="25">
        <v>100</v>
      </c>
      <c r="N223" s="25">
        <v>3</v>
      </c>
      <c r="O223" s="321">
        <v>3900</v>
      </c>
      <c r="P223" s="9" t="s">
        <v>797</v>
      </c>
    </row>
    <row r="224" spans="1:16" ht="14.25" customHeight="1">
      <c r="A224" s="184" t="s">
        <v>467</v>
      </c>
      <c r="B224" s="650" t="s">
        <v>147</v>
      </c>
      <c r="C224" s="650"/>
      <c r="D224" s="650" t="s">
        <v>240</v>
      </c>
      <c r="E224" s="650"/>
      <c r="F224" s="651" t="s">
        <v>838</v>
      </c>
      <c r="G224" s="651"/>
      <c r="H224" s="651"/>
      <c r="I224" s="651"/>
      <c r="J224" s="25" t="s">
        <v>798</v>
      </c>
      <c r="K224" s="109"/>
      <c r="L224" s="97" t="s">
        <v>425</v>
      </c>
      <c r="M224" s="25">
        <v>100</v>
      </c>
      <c r="N224" s="25">
        <v>1</v>
      </c>
      <c r="O224" s="321">
        <v>1300</v>
      </c>
      <c r="P224" s="9" t="s">
        <v>1131</v>
      </c>
    </row>
    <row r="225" spans="1:16" ht="14.25" customHeight="1">
      <c r="A225" s="184" t="s">
        <v>1123</v>
      </c>
      <c r="B225" s="650" t="s">
        <v>147</v>
      </c>
      <c r="C225" s="650"/>
      <c r="D225" s="650" t="s">
        <v>49</v>
      </c>
      <c r="E225" s="650"/>
      <c r="F225" s="651" t="s">
        <v>518</v>
      </c>
      <c r="G225" s="651"/>
      <c r="H225" s="651"/>
      <c r="I225" s="651"/>
      <c r="J225" s="25"/>
      <c r="K225" s="25" t="s">
        <v>1125</v>
      </c>
      <c r="L225" s="97" t="s">
        <v>425</v>
      </c>
      <c r="M225" s="323">
        <v>200</v>
      </c>
      <c r="N225" s="25">
        <v>1</v>
      </c>
      <c r="O225" s="321">
        <v>20200</v>
      </c>
      <c r="P225" s="9" t="s">
        <v>905</v>
      </c>
    </row>
    <row r="226" spans="1:16" ht="14.25" customHeight="1">
      <c r="A226" s="59" t="s">
        <v>1124</v>
      </c>
      <c r="B226" s="650" t="s">
        <v>205</v>
      </c>
      <c r="C226" s="650"/>
      <c r="D226" s="650" t="s">
        <v>206</v>
      </c>
      <c r="E226" s="650"/>
      <c r="F226" s="651" t="s">
        <v>903</v>
      </c>
      <c r="G226" s="651"/>
      <c r="H226" s="651"/>
      <c r="I226" s="651"/>
      <c r="J226" s="25"/>
      <c r="K226" s="25" t="s">
        <v>1125</v>
      </c>
      <c r="L226" s="97" t="s">
        <v>425</v>
      </c>
      <c r="M226" s="323">
        <v>200</v>
      </c>
      <c r="N226" s="323">
        <v>1</v>
      </c>
      <c r="O226" s="321">
        <v>8200</v>
      </c>
      <c r="P226" s="9" t="s">
        <v>904</v>
      </c>
    </row>
    <row r="227" spans="1:16" ht="14.25" customHeight="1">
      <c r="A227" s="59" t="s">
        <v>476</v>
      </c>
      <c r="B227" s="679" t="s">
        <v>868</v>
      </c>
      <c r="C227" s="680"/>
      <c r="D227" s="618" t="s">
        <v>72</v>
      </c>
      <c r="E227" s="619"/>
      <c r="F227" s="681" t="s">
        <v>869</v>
      </c>
      <c r="G227" s="682"/>
      <c r="H227" s="682"/>
      <c r="I227" s="683"/>
      <c r="J227" s="255" t="s">
        <v>879</v>
      </c>
      <c r="K227" s="96" t="s">
        <v>880</v>
      </c>
      <c r="L227" s="76" t="s">
        <v>425</v>
      </c>
      <c r="M227" s="320">
        <v>200</v>
      </c>
      <c r="N227" s="320">
        <v>1</v>
      </c>
      <c r="O227" s="319">
        <v>8200</v>
      </c>
      <c r="P227" s="122" t="s">
        <v>901</v>
      </c>
    </row>
    <row r="228" spans="1:16" ht="14.25" customHeight="1">
      <c r="A228" s="739" t="s">
        <v>480</v>
      </c>
      <c r="B228" s="661" t="s">
        <v>10</v>
      </c>
      <c r="C228" s="661"/>
      <c r="D228" s="661" t="s">
        <v>43</v>
      </c>
      <c r="E228" s="661"/>
      <c r="F228" s="659" t="s">
        <v>185</v>
      </c>
      <c r="G228" s="659"/>
      <c r="H228" s="659"/>
      <c r="I228" s="659"/>
      <c r="J228" s="685" t="s">
        <v>481</v>
      </c>
      <c r="K228" s="1020" t="s">
        <v>1126</v>
      </c>
      <c r="L228" s="88"/>
      <c r="M228" s="324">
        <v>200</v>
      </c>
      <c r="N228" s="324">
        <v>1</v>
      </c>
      <c r="O228" s="204">
        <v>10200</v>
      </c>
      <c r="P228" s="660" t="s">
        <v>1132</v>
      </c>
    </row>
    <row r="229" spans="1:16" ht="14.25" customHeight="1">
      <c r="A229" s="739"/>
      <c r="B229" s="661" t="s">
        <v>13</v>
      </c>
      <c r="C229" s="661"/>
      <c r="D229" s="661" t="s">
        <v>49</v>
      </c>
      <c r="E229" s="661"/>
      <c r="F229" s="659" t="s">
        <v>69</v>
      </c>
      <c r="G229" s="659"/>
      <c r="H229" s="659"/>
      <c r="I229" s="659"/>
      <c r="J229" s="686"/>
      <c r="K229" s="673"/>
      <c r="L229" s="88"/>
      <c r="M229" s="324"/>
      <c r="N229" s="324"/>
      <c r="O229" s="204"/>
      <c r="P229" s="660"/>
    </row>
    <row r="230" spans="1:16" ht="14.25" customHeight="1">
      <c r="A230" s="276" t="s">
        <v>803</v>
      </c>
      <c r="B230" s="395"/>
      <c r="C230" s="395"/>
      <c r="D230" s="395"/>
      <c r="E230" s="395"/>
      <c r="F230" s="395"/>
      <c r="G230" s="395"/>
      <c r="H230" s="395"/>
      <c r="I230" s="395"/>
      <c r="J230" s="395"/>
      <c r="K230" s="395"/>
      <c r="L230" s="395"/>
      <c r="M230" s="395"/>
      <c r="N230" s="395"/>
      <c r="O230" s="395"/>
      <c r="P230" s="395"/>
    </row>
    <row r="233" spans="1:16" ht="18" customHeight="1">
      <c r="A233" s="215" t="s">
        <v>1120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9"/>
      <c r="P233" s="1"/>
    </row>
    <row r="234" spans="1:16" ht="18" customHeight="1">
      <c r="A234" s="243" t="s">
        <v>902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9"/>
      <c r="P234" s="1"/>
    </row>
    <row r="235" spans="1:16" ht="13.95" customHeight="1">
      <c r="A235" s="49" t="s">
        <v>366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9"/>
      <c r="P235" s="1" t="s">
        <v>983</v>
      </c>
    </row>
    <row r="236" spans="1:16" ht="13.95" customHeight="1">
      <c r="A236" s="754" t="s">
        <v>2</v>
      </c>
      <c r="B236" s="756" t="s">
        <v>3</v>
      </c>
      <c r="C236" s="757"/>
      <c r="D236" s="760" t="s">
        <v>4</v>
      </c>
      <c r="E236" s="761"/>
      <c r="F236" s="756" t="s">
        <v>5</v>
      </c>
      <c r="G236" s="764"/>
      <c r="H236" s="764"/>
      <c r="I236" s="757"/>
      <c r="J236" s="713" t="s">
        <v>491</v>
      </c>
      <c r="K236" s="766" t="s">
        <v>7</v>
      </c>
      <c r="L236" s="185" t="s">
        <v>407</v>
      </c>
      <c r="M236" s="696" t="s">
        <v>1095</v>
      </c>
      <c r="N236" s="1260" t="s">
        <v>1096</v>
      </c>
      <c r="O236" s="1261" t="s">
        <v>1097</v>
      </c>
      <c r="P236" s="806" t="s">
        <v>8</v>
      </c>
    </row>
    <row r="237" spans="1:16" ht="13.95" customHeight="1">
      <c r="A237" s="755"/>
      <c r="B237" s="758"/>
      <c r="C237" s="759"/>
      <c r="D237" s="762"/>
      <c r="E237" s="763"/>
      <c r="F237" s="758"/>
      <c r="G237" s="765"/>
      <c r="H237" s="765"/>
      <c r="I237" s="759"/>
      <c r="J237" s="714"/>
      <c r="K237" s="767"/>
      <c r="L237" s="186" t="s">
        <v>410</v>
      </c>
      <c r="M237" s="706"/>
      <c r="N237" s="717"/>
      <c r="O237" s="1261"/>
      <c r="P237" s="809"/>
    </row>
    <row r="238" spans="1:16" ht="13.95" customHeight="1">
      <c r="A238" s="59" t="s">
        <v>233</v>
      </c>
      <c r="B238" s="679" t="s">
        <v>868</v>
      </c>
      <c r="C238" s="680"/>
      <c r="D238" s="618" t="s">
        <v>72</v>
      </c>
      <c r="E238" s="619"/>
      <c r="F238" s="681" t="s">
        <v>869</v>
      </c>
      <c r="G238" s="682"/>
      <c r="H238" s="682"/>
      <c r="I238" s="683"/>
      <c r="J238" s="255" t="s">
        <v>879</v>
      </c>
      <c r="K238" s="404" t="s">
        <v>880</v>
      </c>
      <c r="L238" s="397"/>
      <c r="M238" s="25"/>
      <c r="N238" s="25"/>
      <c r="O238" s="321"/>
      <c r="P238" s="396" t="s">
        <v>901</v>
      </c>
    </row>
    <row r="239" spans="1:16" ht="13.95" customHeight="1">
      <c r="A239" s="59" t="s">
        <v>298</v>
      </c>
      <c r="B239" s="618" t="s">
        <v>178</v>
      </c>
      <c r="C239" s="619"/>
      <c r="D239" s="618" t="s">
        <v>240</v>
      </c>
      <c r="E239" s="619"/>
      <c r="F239" s="620" t="s">
        <v>428</v>
      </c>
      <c r="G239" s="621"/>
      <c r="H239" s="621"/>
      <c r="I239" s="622"/>
      <c r="J239" s="23" t="s">
        <v>786</v>
      </c>
      <c r="K239" s="404" t="s">
        <v>709</v>
      </c>
      <c r="L239" s="113"/>
      <c r="M239" s="25"/>
      <c r="N239" s="25"/>
      <c r="O239" s="321"/>
      <c r="P239" s="216" t="s">
        <v>813</v>
      </c>
    </row>
    <row r="240" spans="1:16" ht="13.95" customHeight="1">
      <c r="A240" s="57" t="s">
        <v>239</v>
      </c>
      <c r="B240" s="618" t="s">
        <v>236</v>
      </c>
      <c r="C240" s="619"/>
      <c r="D240" s="618" t="s">
        <v>49</v>
      </c>
      <c r="E240" s="619"/>
      <c r="F240" s="620" t="s">
        <v>804</v>
      </c>
      <c r="G240" s="621"/>
      <c r="H240" s="621"/>
      <c r="I240" s="622"/>
      <c r="J240" s="15"/>
      <c r="K240" s="405"/>
      <c r="L240" s="113"/>
      <c r="M240" s="25"/>
      <c r="N240" s="25"/>
      <c r="O240" s="321"/>
      <c r="P240" s="216" t="s">
        <v>785</v>
      </c>
    </row>
    <row r="241" spans="1:16" ht="13.95" customHeight="1">
      <c r="A241" s="614" t="s">
        <v>242</v>
      </c>
      <c r="B241" s="700" t="s">
        <v>10</v>
      </c>
      <c r="C241" s="701"/>
      <c r="D241" s="700" t="s">
        <v>11</v>
      </c>
      <c r="E241" s="701"/>
      <c r="F241" s="769" t="s">
        <v>415</v>
      </c>
      <c r="G241" s="770"/>
      <c r="H241" s="770"/>
      <c r="I241" s="771"/>
      <c r="J241" s="685" t="s">
        <v>783</v>
      </c>
      <c r="K241" s="1258"/>
      <c r="L241" s="25"/>
      <c r="M241" s="25"/>
      <c r="N241" s="25"/>
      <c r="O241" s="321"/>
      <c r="P241" s="656" t="s">
        <v>875</v>
      </c>
    </row>
    <row r="242" spans="1:16" ht="13.95" customHeight="1">
      <c r="A242" s="616"/>
      <c r="B242" s="700" t="s">
        <v>13</v>
      </c>
      <c r="C242" s="701"/>
      <c r="D242" s="700" t="s">
        <v>11</v>
      </c>
      <c r="E242" s="701"/>
      <c r="F242" s="769" t="s">
        <v>418</v>
      </c>
      <c r="G242" s="770"/>
      <c r="H242" s="770"/>
      <c r="I242" s="771"/>
      <c r="J242" s="686"/>
      <c r="K242" s="1259"/>
      <c r="L242" s="25"/>
      <c r="M242" s="25"/>
      <c r="N242" s="25"/>
      <c r="O242" s="321"/>
      <c r="P242" s="634"/>
    </row>
    <row r="243" spans="1:16" ht="13.95" customHeight="1">
      <c r="A243" s="614" t="s">
        <v>807</v>
      </c>
      <c r="B243" s="700" t="s">
        <v>10</v>
      </c>
      <c r="C243" s="701"/>
      <c r="D243" s="700" t="s">
        <v>43</v>
      </c>
      <c r="E243" s="701"/>
      <c r="F243" s="769" t="s">
        <v>823</v>
      </c>
      <c r="G243" s="770"/>
      <c r="H243" s="770"/>
      <c r="I243" s="771"/>
      <c r="J243" s="685" t="s">
        <v>781</v>
      </c>
      <c r="K243" s="1258" t="s">
        <v>782</v>
      </c>
      <c r="L243" s="25"/>
      <c r="M243" s="25"/>
      <c r="N243" s="25"/>
      <c r="O243" s="321"/>
      <c r="P243" s="656" t="s">
        <v>914</v>
      </c>
    </row>
    <row r="244" spans="1:16" ht="13.95" customHeight="1">
      <c r="A244" s="616"/>
      <c r="B244" s="700" t="s">
        <v>13</v>
      </c>
      <c r="C244" s="701"/>
      <c r="D244" s="700" t="s">
        <v>11</v>
      </c>
      <c r="E244" s="701"/>
      <c r="F244" s="769" t="s">
        <v>414</v>
      </c>
      <c r="G244" s="770"/>
      <c r="H244" s="770"/>
      <c r="I244" s="771"/>
      <c r="J244" s="686"/>
      <c r="K244" s="1259"/>
      <c r="L244" s="25"/>
      <c r="M244" s="25"/>
      <c r="N244" s="25"/>
      <c r="O244" s="321"/>
      <c r="P244" s="634"/>
    </row>
    <row r="245" spans="1:16" ht="13.95" customHeight="1">
      <c r="A245" s="614" t="s">
        <v>808</v>
      </c>
      <c r="B245" s="700" t="s">
        <v>35</v>
      </c>
      <c r="C245" s="701"/>
      <c r="D245" s="700" t="s">
        <v>11</v>
      </c>
      <c r="E245" s="701"/>
      <c r="F245" s="662" t="s">
        <v>303</v>
      </c>
      <c r="G245" s="663"/>
      <c r="H245" s="663"/>
      <c r="I245" s="750"/>
      <c r="J245" s="685"/>
      <c r="K245" s="1240" t="s">
        <v>37</v>
      </c>
      <c r="L245" s="25"/>
      <c r="M245" s="25"/>
      <c r="N245" s="25"/>
      <c r="O245" s="321"/>
      <c r="P245" s="656" t="s">
        <v>38</v>
      </c>
    </row>
    <row r="246" spans="1:16" ht="13.95" customHeight="1">
      <c r="A246" s="616"/>
      <c r="B246" s="700" t="s">
        <v>304</v>
      </c>
      <c r="C246" s="701"/>
      <c r="D246" s="700" t="s">
        <v>11</v>
      </c>
      <c r="E246" s="701"/>
      <c r="F246" s="662" t="s">
        <v>393</v>
      </c>
      <c r="G246" s="663"/>
      <c r="H246" s="663"/>
      <c r="I246" s="750"/>
      <c r="J246" s="686"/>
      <c r="K246" s="1241"/>
      <c r="L246" s="25"/>
      <c r="M246" s="25"/>
      <c r="N246" s="25"/>
      <c r="O246" s="321"/>
      <c r="P246" s="634"/>
    </row>
    <row r="247" spans="1:16" ht="13.95" customHeight="1">
      <c r="A247" s="59" t="s">
        <v>578</v>
      </c>
      <c r="B247" s="618" t="s">
        <v>164</v>
      </c>
      <c r="C247" s="619"/>
      <c r="D247" s="618" t="s">
        <v>63</v>
      </c>
      <c r="E247" s="619"/>
      <c r="F247" s="620" t="s">
        <v>788</v>
      </c>
      <c r="G247" s="621"/>
      <c r="H247" s="621"/>
      <c r="I247" s="622"/>
      <c r="J247" s="25" t="s">
        <v>911</v>
      </c>
      <c r="K247" s="406" t="s">
        <v>885</v>
      </c>
      <c r="L247" s="113"/>
      <c r="M247" s="25"/>
      <c r="N247" s="25"/>
      <c r="O247" s="321"/>
      <c r="P247" s="216" t="s">
        <v>789</v>
      </c>
    </row>
    <row r="248" spans="1:16" ht="13.95" customHeight="1">
      <c r="A248" s="57" t="s">
        <v>309</v>
      </c>
      <c r="B248" s="618" t="s">
        <v>178</v>
      </c>
      <c r="C248" s="619"/>
      <c r="D248" s="618" t="s">
        <v>179</v>
      </c>
      <c r="E248" s="619"/>
      <c r="F248" s="620" t="s">
        <v>515</v>
      </c>
      <c r="G248" s="621"/>
      <c r="H248" s="621"/>
      <c r="I248" s="622"/>
      <c r="J248" s="67" t="s">
        <v>790</v>
      </c>
      <c r="K248" s="407"/>
      <c r="L248" s="113"/>
      <c r="M248" s="25"/>
      <c r="N248" s="25"/>
      <c r="O248" s="321"/>
      <c r="P248" s="216" t="s">
        <v>517</v>
      </c>
    </row>
    <row r="249" spans="1:16" ht="13.95" customHeight="1">
      <c r="A249" s="229" t="s">
        <v>870</v>
      </c>
      <c r="B249" s="618" t="s">
        <v>147</v>
      </c>
      <c r="C249" s="619"/>
      <c r="D249" s="618" t="s">
        <v>49</v>
      </c>
      <c r="E249" s="619"/>
      <c r="F249" s="620" t="s">
        <v>518</v>
      </c>
      <c r="G249" s="621"/>
      <c r="H249" s="621"/>
      <c r="I249" s="622"/>
      <c r="J249" s="25" t="s">
        <v>562</v>
      </c>
      <c r="K249" s="406"/>
      <c r="L249" s="113"/>
      <c r="M249" s="25"/>
      <c r="N249" s="25"/>
      <c r="O249" s="321"/>
      <c r="P249" s="216" t="s">
        <v>520</v>
      </c>
    </row>
    <row r="250" spans="1:16" ht="13.95" customHeight="1">
      <c r="A250" s="614" t="s">
        <v>125</v>
      </c>
      <c r="B250" s="700" t="s">
        <v>199</v>
      </c>
      <c r="C250" s="701"/>
      <c r="D250" s="700" t="s">
        <v>11</v>
      </c>
      <c r="E250" s="701"/>
      <c r="F250" s="769" t="s">
        <v>419</v>
      </c>
      <c r="G250" s="770"/>
      <c r="H250" s="770"/>
      <c r="I250" s="771"/>
      <c r="J250" s="685"/>
      <c r="K250" s="1240" t="s">
        <v>420</v>
      </c>
      <c r="L250" s="25"/>
      <c r="M250" s="25"/>
      <c r="N250" s="25"/>
      <c r="O250" s="321"/>
      <c r="P250" s="656" t="s">
        <v>323</v>
      </c>
    </row>
    <row r="251" spans="1:16" ht="13.95" customHeight="1">
      <c r="A251" s="616"/>
      <c r="B251" s="700" t="s">
        <v>202</v>
      </c>
      <c r="C251" s="701"/>
      <c r="D251" s="700" t="s">
        <v>11</v>
      </c>
      <c r="E251" s="701"/>
      <c r="F251" s="769" t="s">
        <v>203</v>
      </c>
      <c r="G251" s="770"/>
      <c r="H251" s="770"/>
      <c r="I251" s="771"/>
      <c r="J251" s="686"/>
      <c r="K251" s="1241"/>
      <c r="L251" s="25"/>
      <c r="M251" s="25"/>
      <c r="N251" s="25"/>
      <c r="O251" s="321"/>
      <c r="P251" s="634"/>
    </row>
    <row r="252" spans="1:16" ht="13.95" customHeight="1">
      <c r="A252" s="614" t="s">
        <v>127</v>
      </c>
      <c r="B252" s="700" t="s">
        <v>10</v>
      </c>
      <c r="C252" s="701"/>
      <c r="D252" s="700" t="s">
        <v>43</v>
      </c>
      <c r="E252" s="701"/>
      <c r="F252" s="769" t="s">
        <v>810</v>
      </c>
      <c r="G252" s="770"/>
      <c r="H252" s="770"/>
      <c r="I252" s="771"/>
      <c r="J252" s="685"/>
      <c r="K252" s="1242"/>
      <c r="L252" s="25"/>
      <c r="M252" s="25"/>
      <c r="N252" s="25"/>
      <c r="O252" s="321"/>
      <c r="P252" s="656" t="s">
        <v>12</v>
      </c>
    </row>
    <row r="253" spans="1:16" ht="13.95" customHeight="1" thickBot="1">
      <c r="A253" s="684"/>
      <c r="B253" s="693" t="s">
        <v>13</v>
      </c>
      <c r="C253" s="694"/>
      <c r="D253" s="693" t="s">
        <v>14</v>
      </c>
      <c r="E253" s="694"/>
      <c r="F253" s="783" t="s">
        <v>811</v>
      </c>
      <c r="G253" s="784"/>
      <c r="H253" s="784"/>
      <c r="I253" s="785"/>
      <c r="J253" s="1026"/>
      <c r="K253" s="1255"/>
      <c r="L253" s="99"/>
      <c r="M253" s="99"/>
      <c r="N253" s="99"/>
      <c r="O253" s="336"/>
      <c r="P253" s="780"/>
    </row>
    <row r="254" spans="1:16" ht="13.95" customHeight="1" thickTop="1">
      <c r="A254" s="772" t="s">
        <v>380</v>
      </c>
      <c r="B254" s="773" t="s">
        <v>10</v>
      </c>
      <c r="C254" s="774"/>
      <c r="D254" s="773" t="s">
        <v>14</v>
      </c>
      <c r="E254" s="774"/>
      <c r="F254" s="775" t="s">
        <v>445</v>
      </c>
      <c r="G254" s="776"/>
      <c r="H254" s="776"/>
      <c r="I254" s="777"/>
      <c r="J254" s="677" t="s">
        <v>791</v>
      </c>
      <c r="K254" s="1256"/>
      <c r="L254" s="78"/>
      <c r="M254" s="78"/>
      <c r="N254" s="78"/>
      <c r="O254" s="319"/>
      <c r="P254" s="732" t="s">
        <v>825</v>
      </c>
    </row>
    <row r="255" spans="1:16" ht="13.95" customHeight="1">
      <c r="A255" s="664"/>
      <c r="B255" s="700" t="s">
        <v>81</v>
      </c>
      <c r="C255" s="701"/>
      <c r="D255" s="700" t="s">
        <v>14</v>
      </c>
      <c r="E255" s="701"/>
      <c r="F255" s="769" t="s">
        <v>448</v>
      </c>
      <c r="G255" s="770"/>
      <c r="H255" s="770"/>
      <c r="I255" s="771"/>
      <c r="J255" s="626"/>
      <c r="K255" s="1243"/>
      <c r="L255" s="25"/>
      <c r="M255" s="25"/>
      <c r="N255" s="25"/>
      <c r="O255" s="321"/>
      <c r="P255" s="631"/>
    </row>
    <row r="256" spans="1:16" ht="13.95" customHeight="1">
      <c r="A256" s="665"/>
      <c r="B256" s="700" t="s">
        <v>83</v>
      </c>
      <c r="C256" s="701"/>
      <c r="D256" s="700" t="s">
        <v>14</v>
      </c>
      <c r="E256" s="701"/>
      <c r="F256" s="769" t="s">
        <v>812</v>
      </c>
      <c r="G256" s="770"/>
      <c r="H256" s="770"/>
      <c r="I256" s="771"/>
      <c r="J256" s="627"/>
      <c r="K256" s="1257"/>
      <c r="L256" s="25"/>
      <c r="M256" s="25"/>
      <c r="N256" s="25"/>
      <c r="O256" s="321"/>
      <c r="P256" s="634"/>
    </row>
    <row r="257" spans="1:16" ht="13.95" customHeight="1">
      <c r="A257" s="184" t="s">
        <v>269</v>
      </c>
      <c r="B257" s="618" t="s">
        <v>147</v>
      </c>
      <c r="C257" s="619"/>
      <c r="D257" s="618" t="s">
        <v>240</v>
      </c>
      <c r="E257" s="619"/>
      <c r="F257" s="620" t="s">
        <v>838</v>
      </c>
      <c r="G257" s="621"/>
      <c r="H257" s="621"/>
      <c r="I257" s="622"/>
      <c r="J257" s="25" t="s">
        <v>798</v>
      </c>
      <c r="K257" s="406"/>
      <c r="L257" s="113"/>
      <c r="M257" s="25"/>
      <c r="N257" s="25"/>
      <c r="O257" s="321"/>
      <c r="P257" s="216" t="s">
        <v>799</v>
      </c>
    </row>
    <row r="258" spans="1:16" ht="13.95" customHeight="1">
      <c r="A258" s="59" t="s">
        <v>156</v>
      </c>
      <c r="B258" s="618" t="s">
        <v>205</v>
      </c>
      <c r="C258" s="619"/>
      <c r="D258" s="618" t="s">
        <v>206</v>
      </c>
      <c r="E258" s="619"/>
      <c r="F258" s="620" t="s">
        <v>903</v>
      </c>
      <c r="G258" s="621"/>
      <c r="H258" s="621"/>
      <c r="I258" s="622"/>
      <c r="J258" s="25"/>
      <c r="K258" s="406" t="s">
        <v>881</v>
      </c>
      <c r="L258" s="113"/>
      <c r="M258" s="25"/>
      <c r="N258" s="25"/>
      <c r="O258" s="321"/>
      <c r="P258" s="216" t="s">
        <v>904</v>
      </c>
    </row>
    <row r="259" spans="1:16" ht="13.95" customHeight="1">
      <c r="A259" s="231" t="s">
        <v>70</v>
      </c>
      <c r="B259" s="618" t="s">
        <v>147</v>
      </c>
      <c r="C259" s="619"/>
      <c r="D259" s="618" t="s">
        <v>49</v>
      </c>
      <c r="E259" s="619"/>
      <c r="F259" s="620" t="s">
        <v>518</v>
      </c>
      <c r="G259" s="621"/>
      <c r="H259" s="621"/>
      <c r="I259" s="622"/>
      <c r="J259" s="25"/>
      <c r="K259" s="406" t="s">
        <v>881</v>
      </c>
      <c r="L259" s="113"/>
      <c r="M259" s="25"/>
      <c r="N259" s="25"/>
      <c r="O259" s="321"/>
      <c r="P259" s="216" t="s">
        <v>905</v>
      </c>
    </row>
    <row r="260" spans="1:16" ht="13.95" customHeight="1">
      <c r="A260" s="73" t="s">
        <v>141</v>
      </c>
      <c r="B260" s="618" t="s">
        <v>178</v>
      </c>
      <c r="C260" s="619"/>
      <c r="D260" s="618" t="s">
        <v>72</v>
      </c>
      <c r="E260" s="619"/>
      <c r="F260" s="620" t="s">
        <v>814</v>
      </c>
      <c r="G260" s="621"/>
      <c r="H260" s="621"/>
      <c r="I260" s="622"/>
      <c r="J260" s="15" t="s">
        <v>793</v>
      </c>
      <c r="K260" s="114" t="s">
        <v>821</v>
      </c>
      <c r="L260" s="113"/>
      <c r="M260" s="25"/>
      <c r="N260" s="25"/>
      <c r="O260" s="321"/>
      <c r="P260" s="216" t="s">
        <v>878</v>
      </c>
    </row>
    <row r="261" spans="1:16" ht="13.95" customHeight="1">
      <c r="A261" s="229" t="s">
        <v>352</v>
      </c>
      <c r="B261" s="618" t="s">
        <v>147</v>
      </c>
      <c r="C261" s="619"/>
      <c r="D261" s="618" t="s">
        <v>240</v>
      </c>
      <c r="E261" s="619"/>
      <c r="F261" s="620" t="s">
        <v>906</v>
      </c>
      <c r="G261" s="621"/>
      <c r="H261" s="621"/>
      <c r="I261" s="622"/>
      <c r="J261" s="25" t="s">
        <v>796</v>
      </c>
      <c r="K261" s="406"/>
      <c r="L261" s="113"/>
      <c r="M261" s="25"/>
      <c r="N261" s="25"/>
      <c r="O261" s="321"/>
      <c r="P261" s="216" t="s">
        <v>797</v>
      </c>
    </row>
    <row r="262" spans="1:16" ht="13.95" customHeight="1">
      <c r="A262" s="614" t="s">
        <v>75</v>
      </c>
      <c r="B262" s="700" t="s">
        <v>10</v>
      </c>
      <c r="C262" s="701"/>
      <c r="D262" s="700" t="s">
        <v>43</v>
      </c>
      <c r="E262" s="701"/>
      <c r="F262" s="662" t="s">
        <v>890</v>
      </c>
      <c r="G262" s="663"/>
      <c r="H262" s="663"/>
      <c r="I262" s="750"/>
      <c r="J262" s="685"/>
      <c r="K262" s="1247" t="s">
        <v>899</v>
      </c>
      <c r="L262" s="25"/>
      <c r="M262" s="25"/>
      <c r="N262" s="25"/>
      <c r="O262" s="321"/>
      <c r="P262" s="656" t="s">
        <v>910</v>
      </c>
    </row>
    <row r="263" spans="1:16" ht="13.95" customHeight="1">
      <c r="A263" s="615"/>
      <c r="B263" s="700" t="s">
        <v>81</v>
      </c>
      <c r="C263" s="701"/>
      <c r="D263" s="700" t="s">
        <v>11</v>
      </c>
      <c r="E263" s="701"/>
      <c r="F263" s="662" t="s">
        <v>891</v>
      </c>
      <c r="G263" s="663"/>
      <c r="H263" s="663"/>
      <c r="I263" s="750"/>
      <c r="J263" s="689"/>
      <c r="K263" s="1248"/>
      <c r="L263" s="25"/>
      <c r="M263" s="25"/>
      <c r="N263" s="25"/>
      <c r="O263" s="321"/>
      <c r="P263" s="631"/>
    </row>
    <row r="264" spans="1:16" ht="13.95" customHeight="1">
      <c r="A264" s="616"/>
      <c r="B264" s="700" t="s">
        <v>83</v>
      </c>
      <c r="C264" s="701"/>
      <c r="D264" s="700" t="s">
        <v>11</v>
      </c>
      <c r="E264" s="701"/>
      <c r="F264" s="769" t="s">
        <v>892</v>
      </c>
      <c r="G264" s="770"/>
      <c r="H264" s="770"/>
      <c r="I264" s="771"/>
      <c r="J264" s="686"/>
      <c r="K264" s="1249"/>
      <c r="L264" s="25"/>
      <c r="M264" s="25"/>
      <c r="N264" s="25"/>
      <c r="O264" s="321"/>
      <c r="P264" s="634"/>
    </row>
    <row r="265" spans="1:16" ht="13.95" customHeight="1">
      <c r="A265" s="73" t="s">
        <v>78</v>
      </c>
      <c r="B265" s="618" t="s">
        <v>211</v>
      </c>
      <c r="C265" s="619"/>
      <c r="D265" s="618" t="s">
        <v>72</v>
      </c>
      <c r="E265" s="619"/>
      <c r="F265" s="620" t="s">
        <v>893</v>
      </c>
      <c r="G265" s="621"/>
      <c r="H265" s="621"/>
      <c r="I265" s="622"/>
      <c r="J265" s="25"/>
      <c r="K265" s="406"/>
      <c r="L265" s="113"/>
      <c r="M265" s="408"/>
      <c r="N265" s="408"/>
      <c r="O265" s="361"/>
      <c r="P265" s="9" t="s">
        <v>466</v>
      </c>
    </row>
    <row r="266" spans="1:16" ht="13.95" customHeight="1">
      <c r="A266" s="59" t="s">
        <v>907</v>
      </c>
      <c r="B266" s="618" t="s">
        <v>62</v>
      </c>
      <c r="C266" s="619"/>
      <c r="D266" s="618" t="s">
        <v>63</v>
      </c>
      <c r="E266" s="619"/>
      <c r="F266" s="620" t="s">
        <v>882</v>
      </c>
      <c r="G266" s="621"/>
      <c r="H266" s="621"/>
      <c r="I266" s="622"/>
      <c r="J266" s="25"/>
      <c r="K266" s="406"/>
      <c r="L266" s="403"/>
      <c r="M266" s="25"/>
      <c r="N266" s="25"/>
      <c r="O266" s="321"/>
      <c r="P266" s="9" t="s">
        <v>1133</v>
      </c>
    </row>
    <row r="267" spans="1:16" ht="13.95" customHeight="1">
      <c r="A267" s="1246" t="s">
        <v>803</v>
      </c>
      <c r="B267" s="1246"/>
      <c r="C267" s="1246"/>
      <c r="D267" s="205"/>
      <c r="E267" s="205"/>
      <c r="F267" s="206"/>
      <c r="G267" s="206"/>
      <c r="H267" s="206"/>
      <c r="I267" s="206"/>
      <c r="J267" s="207"/>
      <c r="K267" s="409"/>
      <c r="L267" s="410"/>
      <c r="M267" s="410"/>
      <c r="N267" s="410"/>
      <c r="O267" s="411"/>
    </row>
    <row r="268" spans="1:16" ht="13.95" customHeight="1"/>
  </sheetData>
  <mergeCells count="1034">
    <mergeCell ref="U72:V72"/>
    <mergeCell ref="W72:X72"/>
    <mergeCell ref="Y72:AB72"/>
    <mergeCell ref="U73:V73"/>
    <mergeCell ref="W73:X73"/>
    <mergeCell ref="Y73:AB73"/>
    <mergeCell ref="U69:V69"/>
    <mergeCell ref="W69:X69"/>
    <mergeCell ref="Y69:AB69"/>
    <mergeCell ref="U70:V70"/>
    <mergeCell ref="W70:X70"/>
    <mergeCell ref="Y70:AB70"/>
    <mergeCell ref="U71:V71"/>
    <mergeCell ref="W71:X71"/>
    <mergeCell ref="Y71:AB71"/>
    <mergeCell ref="T66:T68"/>
    <mergeCell ref="U66:V66"/>
    <mergeCell ref="W66:X66"/>
    <mergeCell ref="Y66:AB66"/>
    <mergeCell ref="AC66:AC68"/>
    <mergeCell ref="AD66:AD68"/>
    <mergeCell ref="AI66:AI68"/>
    <mergeCell ref="U67:V67"/>
    <mergeCell ref="W67:X67"/>
    <mergeCell ref="Y67:AB67"/>
    <mergeCell ref="U68:V68"/>
    <mergeCell ref="W68:X68"/>
    <mergeCell ref="Y68:AB68"/>
    <mergeCell ref="U63:V63"/>
    <mergeCell ref="W63:X63"/>
    <mergeCell ref="Y63:AB63"/>
    <mergeCell ref="U64:V64"/>
    <mergeCell ref="W64:X64"/>
    <mergeCell ref="Y64:AB64"/>
    <mergeCell ref="U65:V65"/>
    <mergeCell ref="W65:X65"/>
    <mergeCell ref="Y65:AB65"/>
    <mergeCell ref="T60:T62"/>
    <mergeCell ref="U60:V60"/>
    <mergeCell ref="W60:X60"/>
    <mergeCell ref="Y60:AB60"/>
    <mergeCell ref="AC60:AC62"/>
    <mergeCell ref="AD60:AD62"/>
    <mergeCell ref="AI60:AI62"/>
    <mergeCell ref="U61:V61"/>
    <mergeCell ref="W61:X61"/>
    <mergeCell ref="Y61:AB61"/>
    <mergeCell ref="U62:V62"/>
    <mergeCell ref="W62:X62"/>
    <mergeCell ref="Y62:AB62"/>
    <mergeCell ref="T58:T59"/>
    <mergeCell ref="U58:V58"/>
    <mergeCell ref="W58:X58"/>
    <mergeCell ref="Y58:AB58"/>
    <mergeCell ref="AC58:AC59"/>
    <mergeCell ref="AD58:AD59"/>
    <mergeCell ref="AI58:AI59"/>
    <mergeCell ref="U59:V59"/>
    <mergeCell ref="W59:X59"/>
    <mergeCell ref="Y59:AB59"/>
    <mergeCell ref="T56:T57"/>
    <mergeCell ref="U56:V56"/>
    <mergeCell ref="W56:X56"/>
    <mergeCell ref="Y56:AB56"/>
    <mergeCell ref="AC56:AC57"/>
    <mergeCell ref="AD56:AD57"/>
    <mergeCell ref="AI56:AI57"/>
    <mergeCell ref="U57:V57"/>
    <mergeCell ref="W57:X57"/>
    <mergeCell ref="Y57:AB57"/>
    <mergeCell ref="U53:V53"/>
    <mergeCell ref="W53:X53"/>
    <mergeCell ref="Y53:AB53"/>
    <mergeCell ref="U54:V54"/>
    <mergeCell ref="W54:X54"/>
    <mergeCell ref="Y54:AB54"/>
    <mergeCell ref="U55:V55"/>
    <mergeCell ref="W55:X55"/>
    <mergeCell ref="Y55:AB55"/>
    <mergeCell ref="T51:T52"/>
    <mergeCell ref="U51:V51"/>
    <mergeCell ref="W51:X51"/>
    <mergeCell ref="Y51:AB51"/>
    <mergeCell ref="AC51:AC52"/>
    <mergeCell ref="AD51:AD52"/>
    <mergeCell ref="AI51:AI52"/>
    <mergeCell ref="U52:V52"/>
    <mergeCell ref="W52:X52"/>
    <mergeCell ref="Y52:AB52"/>
    <mergeCell ref="T49:T50"/>
    <mergeCell ref="U49:V49"/>
    <mergeCell ref="W49:X49"/>
    <mergeCell ref="Y49:AB49"/>
    <mergeCell ref="AC49:AC50"/>
    <mergeCell ref="AD49:AD50"/>
    <mergeCell ref="AI49:AI50"/>
    <mergeCell ref="U50:V50"/>
    <mergeCell ref="W50:X50"/>
    <mergeCell ref="Y50:AB50"/>
    <mergeCell ref="AI43:AI44"/>
    <mergeCell ref="U45:V45"/>
    <mergeCell ref="W45:X45"/>
    <mergeCell ref="Y45:AB45"/>
    <mergeCell ref="U46:V46"/>
    <mergeCell ref="W46:X46"/>
    <mergeCell ref="Y46:AB46"/>
    <mergeCell ref="T47:T48"/>
    <mergeCell ref="U47:V47"/>
    <mergeCell ref="W47:X47"/>
    <mergeCell ref="Y47:AB47"/>
    <mergeCell ref="AC47:AC48"/>
    <mergeCell ref="AD47:AD48"/>
    <mergeCell ref="AI47:AI48"/>
    <mergeCell ref="U48:V48"/>
    <mergeCell ref="W48:X48"/>
    <mergeCell ref="Y48:AB48"/>
    <mergeCell ref="T43:T44"/>
    <mergeCell ref="U43:V44"/>
    <mergeCell ref="W43:X44"/>
    <mergeCell ref="Y43:AB44"/>
    <mergeCell ref="AC43:AC44"/>
    <mergeCell ref="AD43:AD44"/>
    <mergeCell ref="AF43:AF44"/>
    <mergeCell ref="AG43:AG44"/>
    <mergeCell ref="AH43:AH44"/>
    <mergeCell ref="P189:P190"/>
    <mergeCell ref="B190:C190"/>
    <mergeCell ref="D190:E190"/>
    <mergeCell ref="F190:I190"/>
    <mergeCell ref="B188:C188"/>
    <mergeCell ref="D188:E188"/>
    <mergeCell ref="F188:I188"/>
    <mergeCell ref="A189:A190"/>
    <mergeCell ref="B189:C189"/>
    <mergeCell ref="D189:E189"/>
    <mergeCell ref="F189:I189"/>
    <mergeCell ref="J189:J190"/>
    <mergeCell ref="K189:K190"/>
    <mergeCell ref="B185:C185"/>
    <mergeCell ref="D185:E185"/>
    <mergeCell ref="F185:I185"/>
    <mergeCell ref="B186:C186"/>
    <mergeCell ref="D186:E186"/>
    <mergeCell ref="F186:I186"/>
    <mergeCell ref="B187:C187"/>
    <mergeCell ref="D187:E187"/>
    <mergeCell ref="F187:I187"/>
    <mergeCell ref="B182:C182"/>
    <mergeCell ref="D182:E182"/>
    <mergeCell ref="F182:I182"/>
    <mergeCell ref="B183:C183"/>
    <mergeCell ref="D183:E183"/>
    <mergeCell ref="F183:I183"/>
    <mergeCell ref="B184:C184"/>
    <mergeCell ref="D184:E184"/>
    <mergeCell ref="F184:I184"/>
    <mergeCell ref="A179:A181"/>
    <mergeCell ref="B179:C179"/>
    <mergeCell ref="D179:E179"/>
    <mergeCell ref="F179:I179"/>
    <mergeCell ref="J179:J181"/>
    <mergeCell ref="K179:K181"/>
    <mergeCell ref="P179:P181"/>
    <mergeCell ref="B180:C180"/>
    <mergeCell ref="D180:E180"/>
    <mergeCell ref="F180:I180"/>
    <mergeCell ref="B181:C181"/>
    <mergeCell ref="D181:E181"/>
    <mergeCell ref="F181:I181"/>
    <mergeCell ref="P176:P178"/>
    <mergeCell ref="B177:C177"/>
    <mergeCell ref="D177:E177"/>
    <mergeCell ref="F177:I177"/>
    <mergeCell ref="B178:C178"/>
    <mergeCell ref="D178:E178"/>
    <mergeCell ref="F178:I178"/>
    <mergeCell ref="B174:C174"/>
    <mergeCell ref="D174:E174"/>
    <mergeCell ref="F174:I174"/>
    <mergeCell ref="B175:C175"/>
    <mergeCell ref="D175:E175"/>
    <mergeCell ref="F175:I175"/>
    <mergeCell ref="A176:A178"/>
    <mergeCell ref="B176:C176"/>
    <mergeCell ref="D176:E176"/>
    <mergeCell ref="F176:I176"/>
    <mergeCell ref="B171:C171"/>
    <mergeCell ref="D171:E171"/>
    <mergeCell ref="F171:I171"/>
    <mergeCell ref="B172:C172"/>
    <mergeCell ref="D172:E172"/>
    <mergeCell ref="F172:I172"/>
    <mergeCell ref="B173:C173"/>
    <mergeCell ref="D173:E173"/>
    <mergeCell ref="F173:I173"/>
    <mergeCell ref="A169:A170"/>
    <mergeCell ref="B169:C169"/>
    <mergeCell ref="D169:E169"/>
    <mergeCell ref="F169:I169"/>
    <mergeCell ref="J169:J170"/>
    <mergeCell ref="K169:K170"/>
    <mergeCell ref="P169:P170"/>
    <mergeCell ref="B170:C170"/>
    <mergeCell ref="D170:E170"/>
    <mergeCell ref="F170:I170"/>
    <mergeCell ref="A167:A168"/>
    <mergeCell ref="B167:C167"/>
    <mergeCell ref="D167:E167"/>
    <mergeCell ref="F167:I167"/>
    <mergeCell ref="J167:J168"/>
    <mergeCell ref="K167:K168"/>
    <mergeCell ref="P167:P168"/>
    <mergeCell ref="B168:C168"/>
    <mergeCell ref="D168:E168"/>
    <mergeCell ref="F168:I168"/>
    <mergeCell ref="A165:A166"/>
    <mergeCell ref="B165:C165"/>
    <mergeCell ref="D165:E165"/>
    <mergeCell ref="F165:I165"/>
    <mergeCell ref="J165:J166"/>
    <mergeCell ref="K165:K166"/>
    <mergeCell ref="P165:P166"/>
    <mergeCell ref="B166:C166"/>
    <mergeCell ref="D166:E166"/>
    <mergeCell ref="F166:I166"/>
    <mergeCell ref="A163:A164"/>
    <mergeCell ref="B163:C163"/>
    <mergeCell ref="D163:E163"/>
    <mergeCell ref="F163:I163"/>
    <mergeCell ref="J163:J164"/>
    <mergeCell ref="K163:K164"/>
    <mergeCell ref="P163:P164"/>
    <mergeCell ref="B164:C164"/>
    <mergeCell ref="D164:E164"/>
    <mergeCell ref="F164:I164"/>
    <mergeCell ref="P159:P160"/>
    <mergeCell ref="A161:A162"/>
    <mergeCell ref="B161:C161"/>
    <mergeCell ref="D161:E161"/>
    <mergeCell ref="F161:I161"/>
    <mergeCell ref="J161:J162"/>
    <mergeCell ref="K161:K162"/>
    <mergeCell ref="P161:P162"/>
    <mergeCell ref="B162:C162"/>
    <mergeCell ref="D162:E162"/>
    <mergeCell ref="F162:I162"/>
    <mergeCell ref="A159:A160"/>
    <mergeCell ref="B159:C160"/>
    <mergeCell ref="D159:E160"/>
    <mergeCell ref="F159:I160"/>
    <mergeCell ref="J159:J160"/>
    <mergeCell ref="K159:K160"/>
    <mergeCell ref="M159:M160"/>
    <mergeCell ref="N159:N160"/>
    <mergeCell ref="O159:O160"/>
    <mergeCell ref="B32:C32"/>
    <mergeCell ref="D32:E32"/>
    <mergeCell ref="F32:I32"/>
    <mergeCell ref="B31:C31"/>
    <mergeCell ref="D31:E31"/>
    <mergeCell ref="F31:I31"/>
    <mergeCell ref="B33:C33"/>
    <mergeCell ref="D33:E33"/>
    <mergeCell ref="F33:I33"/>
    <mergeCell ref="A34:A35"/>
    <mergeCell ref="B34:C34"/>
    <mergeCell ref="D34:E34"/>
    <mergeCell ref="F34:I34"/>
    <mergeCell ref="J34:J35"/>
    <mergeCell ref="K34:K35"/>
    <mergeCell ref="P34:P35"/>
    <mergeCell ref="B35:C35"/>
    <mergeCell ref="D35:E35"/>
    <mergeCell ref="F35:I35"/>
    <mergeCell ref="B30:C30"/>
    <mergeCell ref="D30:E30"/>
    <mergeCell ref="F30:I30"/>
    <mergeCell ref="A21:A23"/>
    <mergeCell ref="B21:C21"/>
    <mergeCell ref="D21:E21"/>
    <mergeCell ref="F21:I21"/>
    <mergeCell ref="J21:J23"/>
    <mergeCell ref="K21:K23"/>
    <mergeCell ref="B27:C27"/>
    <mergeCell ref="D27:E27"/>
    <mergeCell ref="F27:I27"/>
    <mergeCell ref="B28:C28"/>
    <mergeCell ref="D28:E28"/>
    <mergeCell ref="F28:I28"/>
    <mergeCell ref="B29:C29"/>
    <mergeCell ref="D29:E29"/>
    <mergeCell ref="F29:I29"/>
    <mergeCell ref="P21:P23"/>
    <mergeCell ref="B22:C22"/>
    <mergeCell ref="D22:E22"/>
    <mergeCell ref="F22:I22"/>
    <mergeCell ref="B23:C23"/>
    <mergeCell ref="D23:E23"/>
    <mergeCell ref="F23:I23"/>
    <mergeCell ref="A24:A26"/>
    <mergeCell ref="B24:C24"/>
    <mergeCell ref="D24:E24"/>
    <mergeCell ref="F24:I24"/>
    <mergeCell ref="J24:J26"/>
    <mergeCell ref="K24:K26"/>
    <mergeCell ref="P24:P26"/>
    <mergeCell ref="B25:C25"/>
    <mergeCell ref="D25:E25"/>
    <mergeCell ref="F25:I25"/>
    <mergeCell ref="B26:C26"/>
    <mergeCell ref="D26:E26"/>
    <mergeCell ref="F26:I26"/>
    <mergeCell ref="B19:C19"/>
    <mergeCell ref="D19:E19"/>
    <mergeCell ref="F19:I19"/>
    <mergeCell ref="B20:C20"/>
    <mergeCell ref="D20:E20"/>
    <mergeCell ref="F20:I20"/>
    <mergeCell ref="A12:A13"/>
    <mergeCell ref="B12:C12"/>
    <mergeCell ref="D12:E12"/>
    <mergeCell ref="F12:I12"/>
    <mergeCell ref="B16:C16"/>
    <mergeCell ref="D16:E16"/>
    <mergeCell ref="F16:I16"/>
    <mergeCell ref="B17:C17"/>
    <mergeCell ref="D17:E17"/>
    <mergeCell ref="F17:I17"/>
    <mergeCell ref="B18:C18"/>
    <mergeCell ref="D18:E18"/>
    <mergeCell ref="F18:I18"/>
    <mergeCell ref="F13:I13"/>
    <mergeCell ref="A14:A15"/>
    <mergeCell ref="B14:C14"/>
    <mergeCell ref="D14:E14"/>
    <mergeCell ref="F14:I14"/>
    <mergeCell ref="J12:J13"/>
    <mergeCell ref="K12:K13"/>
    <mergeCell ref="P12:P13"/>
    <mergeCell ref="B13:C13"/>
    <mergeCell ref="D13:E13"/>
    <mergeCell ref="J14:J15"/>
    <mergeCell ref="K14:K15"/>
    <mergeCell ref="P14:P15"/>
    <mergeCell ref="B15:C15"/>
    <mergeCell ref="D15:E15"/>
    <mergeCell ref="F15:I15"/>
    <mergeCell ref="A8:A9"/>
    <mergeCell ref="B8:C8"/>
    <mergeCell ref="D8:E8"/>
    <mergeCell ref="F8:I8"/>
    <mergeCell ref="J8:J9"/>
    <mergeCell ref="K8:K9"/>
    <mergeCell ref="P8:P9"/>
    <mergeCell ref="B9:C9"/>
    <mergeCell ref="D9:E9"/>
    <mergeCell ref="F9:I9"/>
    <mergeCell ref="A10:A11"/>
    <mergeCell ref="B10:C10"/>
    <mergeCell ref="D10:E10"/>
    <mergeCell ref="F10:I10"/>
    <mergeCell ref="J10:J11"/>
    <mergeCell ref="K10:K11"/>
    <mergeCell ref="P10:P11"/>
    <mergeCell ref="B11:C11"/>
    <mergeCell ref="D11:E11"/>
    <mergeCell ref="F11:I11"/>
    <mergeCell ref="P4:P5"/>
    <mergeCell ref="A6:A7"/>
    <mergeCell ref="B6:C6"/>
    <mergeCell ref="D6:E6"/>
    <mergeCell ref="F6:I6"/>
    <mergeCell ref="J6:J7"/>
    <mergeCell ref="K6:K7"/>
    <mergeCell ref="P6:P7"/>
    <mergeCell ref="B7:C7"/>
    <mergeCell ref="D7:E7"/>
    <mergeCell ref="F7:I7"/>
    <mergeCell ref="A4:A5"/>
    <mergeCell ref="B4:C5"/>
    <mergeCell ref="D4:E5"/>
    <mergeCell ref="F4:I5"/>
    <mergeCell ref="J4:J5"/>
    <mergeCell ref="K4:K5"/>
    <mergeCell ref="M4:M5"/>
    <mergeCell ref="N4:N5"/>
    <mergeCell ref="O4:O5"/>
    <mergeCell ref="J100:J102"/>
    <mergeCell ref="K100:K102"/>
    <mergeCell ref="B101:C101"/>
    <mergeCell ref="D101:E101"/>
    <mergeCell ref="F101:I101"/>
    <mergeCell ref="B102:C102"/>
    <mergeCell ref="D102:E102"/>
    <mergeCell ref="F102:I102"/>
    <mergeCell ref="B99:C99"/>
    <mergeCell ref="D99:E99"/>
    <mergeCell ref="B106:C106"/>
    <mergeCell ref="D106:E106"/>
    <mergeCell ref="F106:I106"/>
    <mergeCell ref="B107:C107"/>
    <mergeCell ref="D107:E107"/>
    <mergeCell ref="F107:I107"/>
    <mergeCell ref="A108:A110"/>
    <mergeCell ref="B108:C108"/>
    <mergeCell ref="D108:E108"/>
    <mergeCell ref="F108:I108"/>
    <mergeCell ref="B109:C109"/>
    <mergeCell ref="D109:E109"/>
    <mergeCell ref="F109:I109"/>
    <mergeCell ref="B110:C110"/>
    <mergeCell ref="D110:E110"/>
    <mergeCell ref="F110:I110"/>
    <mergeCell ref="B103:C103"/>
    <mergeCell ref="D103:E103"/>
    <mergeCell ref="F103:I103"/>
    <mergeCell ref="B104:C104"/>
    <mergeCell ref="D104:E104"/>
    <mergeCell ref="F104:I104"/>
    <mergeCell ref="A51:A52"/>
    <mergeCell ref="B51:C51"/>
    <mergeCell ref="D51:E51"/>
    <mergeCell ref="F51:I51"/>
    <mergeCell ref="J51:J52"/>
    <mergeCell ref="K51:K52"/>
    <mergeCell ref="K49:K50"/>
    <mergeCell ref="M43:M44"/>
    <mergeCell ref="N43:N44"/>
    <mergeCell ref="A49:A50"/>
    <mergeCell ref="B49:C49"/>
    <mergeCell ref="D49:E49"/>
    <mergeCell ref="F49:I49"/>
    <mergeCell ref="P51:P52"/>
    <mergeCell ref="B52:C52"/>
    <mergeCell ref="D52:E52"/>
    <mergeCell ref="F52:I52"/>
    <mergeCell ref="B53:C53"/>
    <mergeCell ref="D53:E53"/>
    <mergeCell ref="F53:I53"/>
    <mergeCell ref="P49:P50"/>
    <mergeCell ref="B50:C50"/>
    <mergeCell ref="D50:E50"/>
    <mergeCell ref="F50:I50"/>
    <mergeCell ref="J47:J48"/>
    <mergeCell ref="K47:K48"/>
    <mergeCell ref="J49:J50"/>
    <mergeCell ref="O43:O44"/>
    <mergeCell ref="P43:P44"/>
    <mergeCell ref="B46:C46"/>
    <mergeCell ref="D46:E46"/>
    <mergeCell ref="F46:I46"/>
    <mergeCell ref="A47:A48"/>
    <mergeCell ref="B47:C47"/>
    <mergeCell ref="D47:E47"/>
    <mergeCell ref="F47:I47"/>
    <mergeCell ref="P47:P48"/>
    <mergeCell ref="B48:C48"/>
    <mergeCell ref="D48:E48"/>
    <mergeCell ref="F48:I48"/>
    <mergeCell ref="A43:A44"/>
    <mergeCell ref="B43:C44"/>
    <mergeCell ref="D43:E44"/>
    <mergeCell ref="F43:I44"/>
    <mergeCell ref="J43:J44"/>
    <mergeCell ref="K43:K44"/>
    <mergeCell ref="B45:C45"/>
    <mergeCell ref="D45:E45"/>
    <mergeCell ref="F45:I45"/>
    <mergeCell ref="P58:P59"/>
    <mergeCell ref="B59:C59"/>
    <mergeCell ref="D59:E59"/>
    <mergeCell ref="F59:I59"/>
    <mergeCell ref="B60:C60"/>
    <mergeCell ref="D60:E60"/>
    <mergeCell ref="F60:I60"/>
    <mergeCell ref="P56:P57"/>
    <mergeCell ref="B57:C57"/>
    <mergeCell ref="D57:E57"/>
    <mergeCell ref="F57:I57"/>
    <mergeCell ref="P60:P62"/>
    <mergeCell ref="B58:C58"/>
    <mergeCell ref="D58:E58"/>
    <mergeCell ref="F58:I58"/>
    <mergeCell ref="K58:K59"/>
    <mergeCell ref="J58:J59"/>
    <mergeCell ref="A56:A57"/>
    <mergeCell ref="B56:C56"/>
    <mergeCell ref="D56:E56"/>
    <mergeCell ref="F56:I56"/>
    <mergeCell ref="J56:J57"/>
    <mergeCell ref="K56:K57"/>
    <mergeCell ref="B54:C54"/>
    <mergeCell ref="D54:E54"/>
    <mergeCell ref="F54:I54"/>
    <mergeCell ref="B55:C55"/>
    <mergeCell ref="D55:E55"/>
    <mergeCell ref="F55:I55"/>
    <mergeCell ref="A58:A59"/>
    <mergeCell ref="B88:C88"/>
    <mergeCell ref="D88:E88"/>
    <mergeCell ref="F88:I88"/>
    <mergeCell ref="J88:J89"/>
    <mergeCell ref="A81:A82"/>
    <mergeCell ref="B81:C82"/>
    <mergeCell ref="D81:E82"/>
    <mergeCell ref="F81:I82"/>
    <mergeCell ref="J81:J82"/>
    <mergeCell ref="K81:K82"/>
    <mergeCell ref="B83:C83"/>
    <mergeCell ref="D83:E83"/>
    <mergeCell ref="F83:I83"/>
    <mergeCell ref="B84:C84"/>
    <mergeCell ref="D84:E84"/>
    <mergeCell ref="F84:I84"/>
    <mergeCell ref="B85:C85"/>
    <mergeCell ref="D85:E85"/>
    <mergeCell ref="F85:I85"/>
    <mergeCell ref="A86:A87"/>
    <mergeCell ref="B86:C86"/>
    <mergeCell ref="D86:E86"/>
    <mergeCell ref="F86:I86"/>
    <mergeCell ref="B87:C87"/>
    <mergeCell ref="D87:E87"/>
    <mergeCell ref="F87:I87"/>
    <mergeCell ref="A116:A117"/>
    <mergeCell ref="B116:C117"/>
    <mergeCell ref="D116:E117"/>
    <mergeCell ref="F116:I117"/>
    <mergeCell ref="A88:A89"/>
    <mergeCell ref="B89:C89"/>
    <mergeCell ref="D89:E89"/>
    <mergeCell ref="F89:I89"/>
    <mergeCell ref="B91:C91"/>
    <mergeCell ref="D91:E91"/>
    <mergeCell ref="F91:I91"/>
    <mergeCell ref="B92:C92"/>
    <mergeCell ref="B98:C98"/>
    <mergeCell ref="D98:E98"/>
    <mergeCell ref="F98:I98"/>
    <mergeCell ref="A100:A102"/>
    <mergeCell ref="B105:C105"/>
    <mergeCell ref="D105:E105"/>
    <mergeCell ref="F105:I105"/>
    <mergeCell ref="J116:J117"/>
    <mergeCell ref="K116:K117"/>
    <mergeCell ref="J86:J87"/>
    <mergeCell ref="K86:K87"/>
    <mergeCell ref="A90:A91"/>
    <mergeCell ref="B90:C90"/>
    <mergeCell ref="D90:E90"/>
    <mergeCell ref="F90:I90"/>
    <mergeCell ref="J90:J91"/>
    <mergeCell ref="K90:K91"/>
    <mergeCell ref="B94:C94"/>
    <mergeCell ref="D94:E94"/>
    <mergeCell ref="F94:I94"/>
    <mergeCell ref="A97:A98"/>
    <mergeCell ref="B97:C97"/>
    <mergeCell ref="D97:E97"/>
    <mergeCell ref="F97:I97"/>
    <mergeCell ref="D92:E92"/>
    <mergeCell ref="F92:I92"/>
    <mergeCell ref="B93:C93"/>
    <mergeCell ref="D93:E93"/>
    <mergeCell ref="F93:I93"/>
    <mergeCell ref="A95:A96"/>
    <mergeCell ref="B95:C95"/>
    <mergeCell ref="D95:E95"/>
    <mergeCell ref="F95:I95"/>
    <mergeCell ref="B96:C96"/>
    <mergeCell ref="D96:E96"/>
    <mergeCell ref="K88:K89"/>
    <mergeCell ref="B100:C100"/>
    <mergeCell ref="D100:E100"/>
    <mergeCell ref="F100:I100"/>
    <mergeCell ref="B118:C118"/>
    <mergeCell ref="D118:E118"/>
    <mergeCell ref="F118:I118"/>
    <mergeCell ref="M118:O118"/>
    <mergeCell ref="B119:C119"/>
    <mergeCell ref="D119:E119"/>
    <mergeCell ref="F119:I119"/>
    <mergeCell ref="M119:O119"/>
    <mergeCell ref="B120:C120"/>
    <mergeCell ref="D120:E120"/>
    <mergeCell ref="F120:I120"/>
    <mergeCell ref="M120:O120"/>
    <mergeCell ref="A121:A122"/>
    <mergeCell ref="B121:C121"/>
    <mergeCell ref="D121:E121"/>
    <mergeCell ref="F121:I121"/>
    <mergeCell ref="J121:J122"/>
    <mergeCell ref="K121:K122"/>
    <mergeCell ref="M121:O122"/>
    <mergeCell ref="B122:C122"/>
    <mergeCell ref="D122:E122"/>
    <mergeCell ref="F122:I122"/>
    <mergeCell ref="A123:A124"/>
    <mergeCell ref="B123:C123"/>
    <mergeCell ref="D123:E123"/>
    <mergeCell ref="F123:I123"/>
    <mergeCell ref="J123:J124"/>
    <mergeCell ref="K123:K124"/>
    <mergeCell ref="M123:O124"/>
    <mergeCell ref="B124:C124"/>
    <mergeCell ref="D124:E124"/>
    <mergeCell ref="F124:I124"/>
    <mergeCell ref="A125:A126"/>
    <mergeCell ref="B125:C125"/>
    <mergeCell ref="D125:E125"/>
    <mergeCell ref="F125:I125"/>
    <mergeCell ref="J125:J126"/>
    <mergeCell ref="K125:K126"/>
    <mergeCell ref="M125:O126"/>
    <mergeCell ref="B126:C126"/>
    <mergeCell ref="D126:E126"/>
    <mergeCell ref="F126:I126"/>
    <mergeCell ref="B127:C127"/>
    <mergeCell ref="D127:E127"/>
    <mergeCell ref="F127:I127"/>
    <mergeCell ref="M127:O127"/>
    <mergeCell ref="B128:C128"/>
    <mergeCell ref="D128:E128"/>
    <mergeCell ref="F128:I128"/>
    <mergeCell ref="M128:O128"/>
    <mergeCell ref="B129:C129"/>
    <mergeCell ref="D129:E129"/>
    <mergeCell ref="F129:I129"/>
    <mergeCell ref="M129:O129"/>
    <mergeCell ref="A130:A131"/>
    <mergeCell ref="B130:C130"/>
    <mergeCell ref="D130:E130"/>
    <mergeCell ref="F130:I130"/>
    <mergeCell ref="J130:J131"/>
    <mergeCell ref="K130:K131"/>
    <mergeCell ref="M130:O131"/>
    <mergeCell ref="B131:C131"/>
    <mergeCell ref="D131:E131"/>
    <mergeCell ref="F131:I131"/>
    <mergeCell ref="A132:A133"/>
    <mergeCell ref="B132:C132"/>
    <mergeCell ref="D132:E132"/>
    <mergeCell ref="F132:I132"/>
    <mergeCell ref="J132:J133"/>
    <mergeCell ref="K132:K133"/>
    <mergeCell ref="M132:O133"/>
    <mergeCell ref="B133:C133"/>
    <mergeCell ref="D133:E133"/>
    <mergeCell ref="F133:I133"/>
    <mergeCell ref="A134:A136"/>
    <mergeCell ref="B134:C134"/>
    <mergeCell ref="D134:E134"/>
    <mergeCell ref="F134:I134"/>
    <mergeCell ref="J134:J136"/>
    <mergeCell ref="K134:K136"/>
    <mergeCell ref="M134:O136"/>
    <mergeCell ref="B135:C135"/>
    <mergeCell ref="D135:E135"/>
    <mergeCell ref="F135:I135"/>
    <mergeCell ref="B136:C136"/>
    <mergeCell ref="D136:E136"/>
    <mergeCell ref="F136:I136"/>
    <mergeCell ref="B137:C137"/>
    <mergeCell ref="D137:E137"/>
    <mergeCell ref="F137:I137"/>
    <mergeCell ref="M137:O137"/>
    <mergeCell ref="B138:C138"/>
    <mergeCell ref="D138:E138"/>
    <mergeCell ref="F138:I138"/>
    <mergeCell ref="M138:O138"/>
    <mergeCell ref="B139:C139"/>
    <mergeCell ref="D139:E139"/>
    <mergeCell ref="F139:I139"/>
    <mergeCell ref="M139:O139"/>
    <mergeCell ref="B140:C140"/>
    <mergeCell ref="D140:E140"/>
    <mergeCell ref="F140:I140"/>
    <mergeCell ref="M140:O140"/>
    <mergeCell ref="B141:C141"/>
    <mergeCell ref="D141:E141"/>
    <mergeCell ref="F141:I141"/>
    <mergeCell ref="M141:O141"/>
    <mergeCell ref="B142:C142"/>
    <mergeCell ref="D142:E142"/>
    <mergeCell ref="F142:I142"/>
    <mergeCell ref="M142:O142"/>
    <mergeCell ref="A143:A145"/>
    <mergeCell ref="B143:C143"/>
    <mergeCell ref="D143:E143"/>
    <mergeCell ref="F143:I143"/>
    <mergeCell ref="J143:J145"/>
    <mergeCell ref="K143:K145"/>
    <mergeCell ref="M143:O145"/>
    <mergeCell ref="B144:C144"/>
    <mergeCell ref="D144:E144"/>
    <mergeCell ref="F144:I144"/>
    <mergeCell ref="B145:C145"/>
    <mergeCell ref="D145:E145"/>
    <mergeCell ref="F145:I145"/>
    <mergeCell ref="A200:A201"/>
    <mergeCell ref="B200:C200"/>
    <mergeCell ref="D200:E200"/>
    <mergeCell ref="F200:I200"/>
    <mergeCell ref="J200:J201"/>
    <mergeCell ref="K200:K201"/>
    <mergeCell ref="P200:P201"/>
    <mergeCell ref="B201:C201"/>
    <mergeCell ref="D201:E201"/>
    <mergeCell ref="F201:I201"/>
    <mergeCell ref="A198:A199"/>
    <mergeCell ref="B198:C199"/>
    <mergeCell ref="D198:E199"/>
    <mergeCell ref="F198:I199"/>
    <mergeCell ref="J198:J199"/>
    <mergeCell ref="K198:K199"/>
    <mergeCell ref="M198:M199"/>
    <mergeCell ref="N198:N199"/>
    <mergeCell ref="O198:O199"/>
    <mergeCell ref="A202:A203"/>
    <mergeCell ref="B202:C202"/>
    <mergeCell ref="D202:E202"/>
    <mergeCell ref="F202:I202"/>
    <mergeCell ref="J202:J203"/>
    <mergeCell ref="K202:K203"/>
    <mergeCell ref="P202:P203"/>
    <mergeCell ref="B203:C203"/>
    <mergeCell ref="D203:E203"/>
    <mergeCell ref="F203:I203"/>
    <mergeCell ref="A204:A205"/>
    <mergeCell ref="B204:C204"/>
    <mergeCell ref="D204:E204"/>
    <mergeCell ref="F204:I204"/>
    <mergeCell ref="J204:J205"/>
    <mergeCell ref="K204:K205"/>
    <mergeCell ref="P204:P205"/>
    <mergeCell ref="B205:C205"/>
    <mergeCell ref="D205:E205"/>
    <mergeCell ref="F205:I205"/>
    <mergeCell ref="A206:A207"/>
    <mergeCell ref="B206:C206"/>
    <mergeCell ref="D206:E206"/>
    <mergeCell ref="F206:I206"/>
    <mergeCell ref="J206:J207"/>
    <mergeCell ref="K206:K207"/>
    <mergeCell ref="P206:P207"/>
    <mergeCell ref="B207:C207"/>
    <mergeCell ref="D207:E207"/>
    <mergeCell ref="F207:I207"/>
    <mergeCell ref="A208:A209"/>
    <mergeCell ref="B208:C208"/>
    <mergeCell ref="D208:E208"/>
    <mergeCell ref="F208:I208"/>
    <mergeCell ref="J208:J209"/>
    <mergeCell ref="K208:K209"/>
    <mergeCell ref="P208:P209"/>
    <mergeCell ref="B209:C209"/>
    <mergeCell ref="D209:E209"/>
    <mergeCell ref="F209:I209"/>
    <mergeCell ref="B210:C210"/>
    <mergeCell ref="D210:E210"/>
    <mergeCell ref="F210:I210"/>
    <mergeCell ref="B211:C211"/>
    <mergeCell ref="D211:E211"/>
    <mergeCell ref="F211:I211"/>
    <mergeCell ref="B212:C212"/>
    <mergeCell ref="D212:E212"/>
    <mergeCell ref="F212:I212"/>
    <mergeCell ref="B213:C213"/>
    <mergeCell ref="D213:E213"/>
    <mergeCell ref="F213:I213"/>
    <mergeCell ref="B214:C214"/>
    <mergeCell ref="D214:E214"/>
    <mergeCell ref="F214:I214"/>
    <mergeCell ref="A215:A217"/>
    <mergeCell ref="B215:C215"/>
    <mergeCell ref="D215:E215"/>
    <mergeCell ref="F215:I215"/>
    <mergeCell ref="J215:J217"/>
    <mergeCell ref="K215:K217"/>
    <mergeCell ref="P215:P217"/>
    <mergeCell ref="B216:C216"/>
    <mergeCell ref="D216:E216"/>
    <mergeCell ref="F216:I216"/>
    <mergeCell ref="B217:C217"/>
    <mergeCell ref="D217:E217"/>
    <mergeCell ref="F217:I217"/>
    <mergeCell ref="A218:A220"/>
    <mergeCell ref="B218:C218"/>
    <mergeCell ref="D218:E218"/>
    <mergeCell ref="F218:I218"/>
    <mergeCell ref="J218:J220"/>
    <mergeCell ref="K218:K220"/>
    <mergeCell ref="P218:P220"/>
    <mergeCell ref="B219:C219"/>
    <mergeCell ref="D219:E219"/>
    <mergeCell ref="F219:I219"/>
    <mergeCell ref="B220:C220"/>
    <mergeCell ref="D220:E220"/>
    <mergeCell ref="F220:I220"/>
    <mergeCell ref="B221:C221"/>
    <mergeCell ref="D221:E221"/>
    <mergeCell ref="F221:I221"/>
    <mergeCell ref="B222:C222"/>
    <mergeCell ref="D222:E222"/>
    <mergeCell ref="F222:I222"/>
    <mergeCell ref="B223:C223"/>
    <mergeCell ref="D223:E223"/>
    <mergeCell ref="F223:I223"/>
    <mergeCell ref="B224:C224"/>
    <mergeCell ref="D224:E224"/>
    <mergeCell ref="F224:I224"/>
    <mergeCell ref="B225:C225"/>
    <mergeCell ref="D225:E225"/>
    <mergeCell ref="F225:I225"/>
    <mergeCell ref="B226:C226"/>
    <mergeCell ref="D226:E226"/>
    <mergeCell ref="F226:I226"/>
    <mergeCell ref="P228:P229"/>
    <mergeCell ref="B229:C229"/>
    <mergeCell ref="D229:E229"/>
    <mergeCell ref="F229:I229"/>
    <mergeCell ref="B227:C227"/>
    <mergeCell ref="D227:E227"/>
    <mergeCell ref="F227:I227"/>
    <mergeCell ref="A228:A229"/>
    <mergeCell ref="B228:C228"/>
    <mergeCell ref="D228:E228"/>
    <mergeCell ref="F228:I228"/>
    <mergeCell ref="J228:J229"/>
    <mergeCell ref="K228:K229"/>
    <mergeCell ref="A236:A237"/>
    <mergeCell ref="B236:C237"/>
    <mergeCell ref="D236:E237"/>
    <mergeCell ref="F236:I237"/>
    <mergeCell ref="J236:J237"/>
    <mergeCell ref="K236:K237"/>
    <mergeCell ref="M236:M237"/>
    <mergeCell ref="N236:N237"/>
    <mergeCell ref="O236:O237"/>
    <mergeCell ref="P236:P237"/>
    <mergeCell ref="B238:C238"/>
    <mergeCell ref="D238:E238"/>
    <mergeCell ref="F238:I238"/>
    <mergeCell ref="B239:C239"/>
    <mergeCell ref="D239:E239"/>
    <mergeCell ref="F239:I239"/>
    <mergeCell ref="B240:C240"/>
    <mergeCell ref="D240:E240"/>
    <mergeCell ref="F240:I240"/>
    <mergeCell ref="A241:A242"/>
    <mergeCell ref="B241:C241"/>
    <mergeCell ref="D241:E241"/>
    <mergeCell ref="F241:I241"/>
    <mergeCell ref="J241:J242"/>
    <mergeCell ref="K241:K242"/>
    <mergeCell ref="P241:P242"/>
    <mergeCell ref="B242:C242"/>
    <mergeCell ref="D242:E242"/>
    <mergeCell ref="F242:I242"/>
    <mergeCell ref="A243:A244"/>
    <mergeCell ref="B243:C243"/>
    <mergeCell ref="D243:E243"/>
    <mergeCell ref="F243:I243"/>
    <mergeCell ref="J243:J244"/>
    <mergeCell ref="K243:K244"/>
    <mergeCell ref="P243:P244"/>
    <mergeCell ref="B244:C244"/>
    <mergeCell ref="D244:E244"/>
    <mergeCell ref="F244:I244"/>
    <mergeCell ref="A245:A246"/>
    <mergeCell ref="B245:C245"/>
    <mergeCell ref="D245:E245"/>
    <mergeCell ref="F245:I245"/>
    <mergeCell ref="J245:J246"/>
    <mergeCell ref="K245:K246"/>
    <mergeCell ref="P245:P246"/>
    <mergeCell ref="B246:C246"/>
    <mergeCell ref="D246:E246"/>
    <mergeCell ref="F246:I246"/>
    <mergeCell ref="B247:C247"/>
    <mergeCell ref="D247:E247"/>
    <mergeCell ref="F247:I247"/>
    <mergeCell ref="B248:C248"/>
    <mergeCell ref="D248:E248"/>
    <mergeCell ref="F248:I248"/>
    <mergeCell ref="B249:C249"/>
    <mergeCell ref="D249:E249"/>
    <mergeCell ref="F249:I249"/>
    <mergeCell ref="A250:A251"/>
    <mergeCell ref="B250:C250"/>
    <mergeCell ref="D250:E250"/>
    <mergeCell ref="F250:I250"/>
    <mergeCell ref="J250:J251"/>
    <mergeCell ref="K250:K251"/>
    <mergeCell ref="P250:P251"/>
    <mergeCell ref="B251:C251"/>
    <mergeCell ref="D251:E251"/>
    <mergeCell ref="F251:I251"/>
    <mergeCell ref="A252:A253"/>
    <mergeCell ref="B252:C252"/>
    <mergeCell ref="D252:E252"/>
    <mergeCell ref="F252:I252"/>
    <mergeCell ref="J252:J253"/>
    <mergeCell ref="K252:K253"/>
    <mergeCell ref="P252:P253"/>
    <mergeCell ref="B253:C253"/>
    <mergeCell ref="D253:E253"/>
    <mergeCell ref="F253:I253"/>
    <mergeCell ref="A254:A256"/>
    <mergeCell ref="B254:C254"/>
    <mergeCell ref="D254:E254"/>
    <mergeCell ref="F254:I254"/>
    <mergeCell ref="J254:J256"/>
    <mergeCell ref="K254:K256"/>
    <mergeCell ref="P254:P256"/>
    <mergeCell ref="B255:C255"/>
    <mergeCell ref="D255:E255"/>
    <mergeCell ref="F255:I255"/>
    <mergeCell ref="B256:C256"/>
    <mergeCell ref="D256:E256"/>
    <mergeCell ref="F256:I256"/>
    <mergeCell ref="D257:E257"/>
    <mergeCell ref="F257:I257"/>
    <mergeCell ref="B258:C258"/>
    <mergeCell ref="D258:E258"/>
    <mergeCell ref="F258:I258"/>
    <mergeCell ref="B259:C259"/>
    <mergeCell ref="D259:E259"/>
    <mergeCell ref="F259:I259"/>
    <mergeCell ref="P262:P264"/>
    <mergeCell ref="B263:C263"/>
    <mergeCell ref="D263:E263"/>
    <mergeCell ref="F263:I263"/>
    <mergeCell ref="B264:C264"/>
    <mergeCell ref="D264:E264"/>
    <mergeCell ref="F264:I264"/>
    <mergeCell ref="B260:C260"/>
    <mergeCell ref="D260:E260"/>
    <mergeCell ref="F260:I260"/>
    <mergeCell ref="B261:C261"/>
    <mergeCell ref="D261:E261"/>
    <mergeCell ref="F261:I261"/>
    <mergeCell ref="B262:C262"/>
    <mergeCell ref="D262:E262"/>
    <mergeCell ref="F262:I262"/>
    <mergeCell ref="B265:C265"/>
    <mergeCell ref="D265:E265"/>
    <mergeCell ref="F265:I265"/>
    <mergeCell ref="B266:C266"/>
    <mergeCell ref="D266:E266"/>
    <mergeCell ref="F266:I266"/>
    <mergeCell ref="A267:C267"/>
    <mergeCell ref="J262:J264"/>
    <mergeCell ref="K262:K264"/>
    <mergeCell ref="A262:A264"/>
    <mergeCell ref="A66:A68"/>
    <mergeCell ref="B63:C63"/>
    <mergeCell ref="D63:E63"/>
    <mergeCell ref="F63:I63"/>
    <mergeCell ref="D64:E64"/>
    <mergeCell ref="J60:J62"/>
    <mergeCell ref="K60:K62"/>
    <mergeCell ref="A60:A62"/>
    <mergeCell ref="B61:C61"/>
    <mergeCell ref="D61:E61"/>
    <mergeCell ref="F61:I61"/>
    <mergeCell ref="B64:C64"/>
    <mergeCell ref="F64:I64"/>
    <mergeCell ref="B65:C65"/>
    <mergeCell ref="D65:E65"/>
    <mergeCell ref="F65:I65"/>
    <mergeCell ref="B62:C62"/>
    <mergeCell ref="D62:E62"/>
    <mergeCell ref="F62:I62"/>
    <mergeCell ref="J66:J68"/>
    <mergeCell ref="K66:K68"/>
    <mergeCell ref="B257:C257"/>
    <mergeCell ref="P66:P68"/>
    <mergeCell ref="D69:E69"/>
    <mergeCell ref="F69:I69"/>
    <mergeCell ref="B66:C66"/>
    <mergeCell ref="D66:E66"/>
    <mergeCell ref="F66:I66"/>
    <mergeCell ref="B67:C67"/>
    <mergeCell ref="D67:E67"/>
    <mergeCell ref="F67:I67"/>
    <mergeCell ref="B68:C68"/>
    <mergeCell ref="D68:E68"/>
    <mergeCell ref="F68:I68"/>
    <mergeCell ref="B69:C69"/>
    <mergeCell ref="B73:C73"/>
    <mergeCell ref="D73:E73"/>
    <mergeCell ref="F73:I73"/>
    <mergeCell ref="B72:C72"/>
    <mergeCell ref="D72:E72"/>
    <mergeCell ref="F72:I72"/>
    <mergeCell ref="B71:C71"/>
    <mergeCell ref="D71:E71"/>
    <mergeCell ref="F71:I71"/>
    <mergeCell ref="B70:C70"/>
    <mergeCell ref="D70:E70"/>
    <mergeCell ref="F70:I70"/>
    <mergeCell ref="U198:U201"/>
    <mergeCell ref="V198:W198"/>
    <mergeCell ref="X198:AC198"/>
    <mergeCell ref="V199:W199"/>
    <mergeCell ref="X199:AC199"/>
    <mergeCell ref="V200:W200"/>
    <mergeCell ref="X200:AC200"/>
    <mergeCell ref="V201:W201"/>
    <mergeCell ref="X201:AC201"/>
    <mergeCell ref="P100:P102"/>
    <mergeCell ref="P108:P110"/>
    <mergeCell ref="F99:I99"/>
    <mergeCell ref="M81:M82"/>
    <mergeCell ref="N81:N82"/>
    <mergeCell ref="O81:O82"/>
    <mergeCell ref="P81:P82"/>
    <mergeCell ref="P86:P87"/>
    <mergeCell ref="P88:P89"/>
    <mergeCell ref="P90:P91"/>
    <mergeCell ref="P95:P96"/>
    <mergeCell ref="P97:P98"/>
    <mergeCell ref="J95:J96"/>
    <mergeCell ref="K95:K96"/>
    <mergeCell ref="J97:J98"/>
    <mergeCell ref="K97:K98"/>
    <mergeCell ref="J108:J110"/>
    <mergeCell ref="K108:K110"/>
    <mergeCell ref="F96:I96"/>
    <mergeCell ref="P198:P199"/>
    <mergeCell ref="M116:O117"/>
    <mergeCell ref="J176:J178"/>
    <mergeCell ref="K176:K178"/>
  </mergeCells>
  <phoneticPr fontId="11"/>
  <printOptions horizontalCentered="1"/>
  <pageMargins left="0.11811023622047245" right="0.11811023622047245" top="0.11811023622047245" bottom="0.11811023622047245" header="0.11811023622047245" footer="0.11811023622047245"/>
  <pageSetup paperSize="9" scale="83" fitToHeight="0" orientation="landscape" r:id="rId1"/>
  <rowBreaks count="4" manualBreakCount="4">
    <brk id="39" max="15" man="1"/>
    <brk id="77" max="16383" man="1"/>
    <brk id="112" max="16383" man="1"/>
    <brk id="155" max="15" man="1"/>
  </rowBreak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0D7F-AE5F-4E54-9A7F-A6F1C2D9E599}">
  <dimension ref="A1:S52"/>
  <sheetViews>
    <sheetView view="pageBreakPreview" zoomScale="115" zoomScaleNormal="100" zoomScaleSheetLayoutView="115" workbookViewId="0">
      <selection activeCell="K6" sqref="K6"/>
    </sheetView>
  </sheetViews>
  <sheetFormatPr defaultColWidth="9" defaultRowHeight="18"/>
  <cols>
    <col min="1" max="1" width="5.69921875" style="21" customWidth="1"/>
    <col min="2" max="3" width="7.59765625" style="21" customWidth="1"/>
    <col min="4" max="5" width="5.5" style="21" customWidth="1"/>
    <col min="6" max="8" width="7.59765625" style="21" customWidth="1"/>
    <col min="9" max="9" width="2.5" style="21" customWidth="1"/>
    <col min="10" max="10" width="9.09765625" style="21" hidden="1" customWidth="1"/>
    <col min="11" max="11" width="35.69921875" style="21" customWidth="1"/>
    <col min="12" max="12" width="24" style="21" customWidth="1"/>
    <col min="13" max="13" width="7.59765625" style="21" customWidth="1"/>
    <col min="14" max="16" width="5.69921875" style="21" customWidth="1"/>
    <col min="17" max="19" width="8.59765625" style="21" customWidth="1"/>
    <col min="20" max="21" width="5.59765625" style="21" customWidth="1"/>
    <col min="22" max="16384" width="9" style="21"/>
  </cols>
  <sheetData>
    <row r="1" spans="1:19" ht="18.75" customHeight="1">
      <c r="A1" s="265" t="s">
        <v>161</v>
      </c>
      <c r="B1" s="27"/>
      <c r="C1" s="27"/>
      <c r="D1" s="27"/>
      <c r="E1" s="27"/>
      <c r="F1" s="27"/>
      <c r="G1" s="27"/>
      <c r="H1" s="27"/>
      <c r="I1" s="27"/>
      <c r="J1" s="27"/>
      <c r="K1" s="27"/>
      <c r="Q1" s="22"/>
    </row>
    <row r="2" spans="1:19" ht="18.75" customHeight="1">
      <c r="A2" s="265" t="s">
        <v>1107</v>
      </c>
      <c r="B2" s="27"/>
      <c r="C2" s="27"/>
      <c r="D2" s="27"/>
      <c r="E2" s="27"/>
      <c r="F2" s="27"/>
      <c r="G2" s="27"/>
      <c r="H2" s="27"/>
      <c r="I2" s="27"/>
      <c r="J2" s="27"/>
      <c r="K2" s="27"/>
      <c r="Q2" s="22"/>
    </row>
    <row r="3" spans="1:19" ht="16.5" customHeight="1">
      <c r="A3" s="49" t="s">
        <v>366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68"/>
      <c r="R3" s="27"/>
      <c r="S3" s="27"/>
    </row>
    <row r="4" spans="1:19" ht="16.5" customHeight="1">
      <c r="A4" s="1339" t="s">
        <v>2</v>
      </c>
      <c r="B4" s="1341" t="s">
        <v>3</v>
      </c>
      <c r="C4" s="1341"/>
      <c r="D4" s="1319" t="s">
        <v>4</v>
      </c>
      <c r="E4" s="1319"/>
      <c r="F4" s="1341" t="s">
        <v>5</v>
      </c>
      <c r="G4" s="1341"/>
      <c r="H4" s="1341"/>
      <c r="I4" s="1341"/>
      <c r="J4" s="1319" t="s">
        <v>103</v>
      </c>
      <c r="K4" s="1342" t="s">
        <v>6</v>
      </c>
      <c r="L4" s="1342" t="s">
        <v>7</v>
      </c>
      <c r="M4" s="185" t="s">
        <v>407</v>
      </c>
      <c r="N4" s="696" t="s">
        <v>1095</v>
      </c>
      <c r="O4" s="1260" t="s">
        <v>1096</v>
      </c>
      <c r="P4" s="1261" t="s">
        <v>1097</v>
      </c>
      <c r="Q4" s="1343" t="s">
        <v>8</v>
      </c>
      <c r="R4" s="1344"/>
      <c r="S4" s="1345"/>
    </row>
    <row r="5" spans="1:19" ht="16.5" customHeight="1">
      <c r="A5" s="1340"/>
      <c r="B5" s="1341"/>
      <c r="C5" s="1341"/>
      <c r="D5" s="1319"/>
      <c r="E5" s="1319"/>
      <c r="F5" s="1341"/>
      <c r="G5" s="1341"/>
      <c r="H5" s="1341"/>
      <c r="I5" s="1341"/>
      <c r="J5" s="1319"/>
      <c r="K5" s="1342"/>
      <c r="L5" s="1342"/>
      <c r="M5" s="186" t="s">
        <v>410</v>
      </c>
      <c r="N5" s="706"/>
      <c r="O5" s="717"/>
      <c r="P5" s="1261"/>
      <c r="Q5" s="1343"/>
      <c r="R5" s="1344"/>
      <c r="S5" s="1345"/>
    </row>
    <row r="6" spans="1:19" ht="16.5" customHeight="1">
      <c r="A6" s="62" t="s">
        <v>163</v>
      </c>
      <c r="B6" s="1326" t="s">
        <v>164</v>
      </c>
      <c r="C6" s="1327"/>
      <c r="D6" s="1326" t="s">
        <v>165</v>
      </c>
      <c r="E6" s="1327"/>
      <c r="F6" s="1328" t="s">
        <v>166</v>
      </c>
      <c r="G6" s="1329"/>
      <c r="H6" s="1329"/>
      <c r="I6" s="1330"/>
      <c r="J6" s="15">
        <v>10000</v>
      </c>
      <c r="K6" s="28" t="s">
        <v>167</v>
      </c>
      <c r="L6" s="28"/>
      <c r="M6" s="218" t="s">
        <v>425</v>
      </c>
      <c r="N6" s="218"/>
      <c r="O6" s="218"/>
      <c r="P6" s="218"/>
      <c r="Q6" s="1285" t="s">
        <v>965</v>
      </c>
      <c r="R6" s="1286"/>
      <c r="S6" s="1287"/>
    </row>
    <row r="7" spans="1:19" ht="16.5" customHeight="1">
      <c r="A7" s="62" t="s">
        <v>168</v>
      </c>
      <c r="B7" s="1319" t="s">
        <v>169</v>
      </c>
      <c r="C7" s="1319"/>
      <c r="D7" s="1319" t="s">
        <v>170</v>
      </c>
      <c r="E7" s="1319"/>
      <c r="F7" s="1320" t="s">
        <v>171</v>
      </c>
      <c r="G7" s="1320"/>
      <c r="H7" s="1320"/>
      <c r="I7" s="1320"/>
      <c r="J7" s="15">
        <v>7100</v>
      </c>
      <c r="K7" s="28" t="s">
        <v>172</v>
      </c>
      <c r="L7" s="28"/>
      <c r="M7" s="218" t="s">
        <v>425</v>
      </c>
      <c r="N7" s="218"/>
      <c r="O7" s="218"/>
      <c r="P7" s="218"/>
      <c r="Q7" s="1296" t="s">
        <v>173</v>
      </c>
      <c r="R7" s="1296"/>
      <c r="S7" s="1296"/>
    </row>
    <row r="8" spans="1:19" ht="16.5" customHeight="1">
      <c r="A8" s="62" t="s">
        <v>174</v>
      </c>
      <c r="B8" s="1319" t="s">
        <v>147</v>
      </c>
      <c r="C8" s="1319"/>
      <c r="D8" s="1319" t="s">
        <v>170</v>
      </c>
      <c r="E8" s="1319"/>
      <c r="F8" s="1320" t="s">
        <v>175</v>
      </c>
      <c r="G8" s="1320"/>
      <c r="H8" s="1320"/>
      <c r="I8" s="1320"/>
      <c r="J8" s="15">
        <v>5000</v>
      </c>
      <c r="K8" s="28" t="s">
        <v>176</v>
      </c>
      <c r="L8" s="28"/>
      <c r="M8" s="218" t="s">
        <v>425</v>
      </c>
      <c r="N8" s="218"/>
      <c r="O8" s="218"/>
      <c r="P8" s="218"/>
      <c r="Q8" s="1296" t="s">
        <v>978</v>
      </c>
      <c r="R8" s="1296"/>
      <c r="S8" s="1296"/>
    </row>
    <row r="9" spans="1:19" ht="16.5" customHeight="1">
      <c r="A9" s="62" t="s">
        <v>177</v>
      </c>
      <c r="B9" s="1315" t="s">
        <v>178</v>
      </c>
      <c r="C9" s="1315"/>
      <c r="D9" s="1315" t="s">
        <v>179</v>
      </c>
      <c r="E9" s="1315"/>
      <c r="F9" s="1316" t="s">
        <v>180</v>
      </c>
      <c r="G9" s="1316"/>
      <c r="H9" s="1316"/>
      <c r="I9" s="1316"/>
      <c r="J9" s="23">
        <v>10000</v>
      </c>
      <c r="K9" s="56" t="s">
        <v>181</v>
      </c>
      <c r="L9" s="56" t="s">
        <v>182</v>
      </c>
      <c r="M9" s="97" t="s">
        <v>436</v>
      </c>
      <c r="N9" s="93"/>
      <c r="O9" s="93"/>
      <c r="P9" s="93"/>
      <c r="Q9" s="1284" t="s">
        <v>183</v>
      </c>
      <c r="R9" s="1284"/>
      <c r="S9" s="1284"/>
    </row>
    <row r="10" spans="1:19" ht="16.5" customHeight="1">
      <c r="A10" s="1289" t="s">
        <v>184</v>
      </c>
      <c r="B10" s="1346" t="s">
        <v>10</v>
      </c>
      <c r="C10" s="1346"/>
      <c r="D10" s="1346" t="s">
        <v>43</v>
      </c>
      <c r="E10" s="1346"/>
      <c r="F10" s="1347" t="s">
        <v>185</v>
      </c>
      <c r="G10" s="1347"/>
      <c r="H10" s="1347"/>
      <c r="I10" s="1347"/>
      <c r="J10" s="14">
        <v>2100</v>
      </c>
      <c r="K10" s="1290" t="s">
        <v>186</v>
      </c>
      <c r="L10" s="1292"/>
      <c r="M10" s="1294"/>
      <c r="N10" s="372"/>
      <c r="O10" s="372"/>
      <c r="P10" s="372"/>
      <c r="Q10" s="1284" t="s">
        <v>187</v>
      </c>
      <c r="R10" s="1284"/>
      <c r="S10" s="1284"/>
    </row>
    <row r="11" spans="1:19" ht="16.5" customHeight="1">
      <c r="A11" s="1297"/>
      <c r="B11" s="1299" t="s">
        <v>13</v>
      </c>
      <c r="C11" s="1299"/>
      <c r="D11" s="1299" t="s">
        <v>49</v>
      </c>
      <c r="E11" s="1299"/>
      <c r="F11" s="1338" t="s">
        <v>69</v>
      </c>
      <c r="G11" s="1338"/>
      <c r="H11" s="1338"/>
      <c r="I11" s="1338"/>
      <c r="J11" s="8"/>
      <c r="K11" s="1291"/>
      <c r="L11" s="1293"/>
      <c r="M11" s="1295"/>
      <c r="N11" s="373"/>
      <c r="O11" s="373"/>
      <c r="P11" s="373"/>
      <c r="Q11" s="1296"/>
      <c r="R11" s="1296"/>
      <c r="S11" s="1296"/>
    </row>
    <row r="12" spans="1:19" ht="16.5" customHeight="1">
      <c r="A12" s="1288" t="s">
        <v>188</v>
      </c>
      <c r="B12" s="1299" t="s">
        <v>35</v>
      </c>
      <c r="C12" s="1299"/>
      <c r="D12" s="1299" t="s">
        <v>11</v>
      </c>
      <c r="E12" s="1299"/>
      <c r="F12" s="1338" t="s">
        <v>118</v>
      </c>
      <c r="G12" s="1338"/>
      <c r="H12" s="1338"/>
      <c r="I12" s="1338"/>
      <c r="J12" s="8">
        <v>6100</v>
      </c>
      <c r="K12" s="1290"/>
      <c r="L12" s="1292"/>
      <c r="M12" s="1294"/>
      <c r="N12" s="374"/>
      <c r="O12" s="374"/>
      <c r="P12" s="374"/>
      <c r="Q12" s="1349" t="s">
        <v>189</v>
      </c>
      <c r="R12" s="1350"/>
      <c r="S12" s="1351"/>
    </row>
    <row r="13" spans="1:19" ht="16.5" customHeight="1">
      <c r="A13" s="1348"/>
      <c r="B13" s="1299" t="s">
        <v>119</v>
      </c>
      <c r="C13" s="1299"/>
      <c r="D13" s="1299" t="s">
        <v>11</v>
      </c>
      <c r="E13" s="1299"/>
      <c r="F13" s="1338" t="s">
        <v>190</v>
      </c>
      <c r="G13" s="1338"/>
      <c r="H13" s="1338"/>
      <c r="I13" s="1338"/>
      <c r="J13" s="8"/>
      <c r="K13" s="1291"/>
      <c r="L13" s="1293"/>
      <c r="M13" s="1331"/>
      <c r="N13" s="375"/>
      <c r="O13" s="375"/>
      <c r="P13" s="375"/>
      <c r="Q13" s="1352"/>
      <c r="R13" s="1353"/>
      <c r="S13" s="1354"/>
    </row>
    <row r="14" spans="1:19" ht="16.5" customHeight="1">
      <c r="A14" s="1289"/>
      <c r="B14" s="1358" t="s">
        <v>191</v>
      </c>
      <c r="C14" s="1359"/>
      <c r="D14" s="1358" t="s">
        <v>192</v>
      </c>
      <c r="E14" s="1359"/>
      <c r="F14" s="1300" t="s">
        <v>193</v>
      </c>
      <c r="G14" s="1301"/>
      <c r="H14" s="1301"/>
      <c r="I14" s="1302"/>
      <c r="J14" s="8"/>
      <c r="K14" s="29"/>
      <c r="L14" s="30"/>
      <c r="M14" s="1295"/>
      <c r="N14" s="376"/>
      <c r="O14" s="376"/>
      <c r="P14" s="376"/>
      <c r="Q14" s="1355"/>
      <c r="R14" s="1356"/>
      <c r="S14" s="1357"/>
    </row>
    <row r="15" spans="1:19" ht="16.5" customHeight="1">
      <c r="A15" s="62" t="s">
        <v>194</v>
      </c>
      <c r="B15" s="1319" t="s">
        <v>178</v>
      </c>
      <c r="C15" s="1319"/>
      <c r="D15" s="1319" t="s">
        <v>170</v>
      </c>
      <c r="E15" s="1319"/>
      <c r="F15" s="1320" t="s">
        <v>195</v>
      </c>
      <c r="G15" s="1320"/>
      <c r="H15" s="1320"/>
      <c r="I15" s="1320"/>
      <c r="J15" s="15">
        <v>5000</v>
      </c>
      <c r="K15" s="28" t="s">
        <v>196</v>
      </c>
      <c r="L15" s="30"/>
      <c r="M15" s="218" t="s">
        <v>425</v>
      </c>
      <c r="N15" s="218"/>
      <c r="O15" s="218"/>
      <c r="P15" s="218"/>
      <c r="Q15" s="1296" t="s">
        <v>197</v>
      </c>
      <c r="R15" s="1296"/>
      <c r="S15" s="1296"/>
    </row>
    <row r="16" spans="1:19" ht="16.5" customHeight="1">
      <c r="A16" s="1297" t="s">
        <v>198</v>
      </c>
      <c r="B16" s="1299" t="s">
        <v>199</v>
      </c>
      <c r="C16" s="1299"/>
      <c r="D16" s="1299" t="s">
        <v>11</v>
      </c>
      <c r="E16" s="1299"/>
      <c r="F16" s="1338" t="s">
        <v>200</v>
      </c>
      <c r="G16" s="1338"/>
      <c r="H16" s="1338"/>
      <c r="I16" s="1338"/>
      <c r="J16" s="8">
        <v>2600</v>
      </c>
      <c r="K16" s="1290"/>
      <c r="L16" s="1292"/>
      <c r="M16" s="1294"/>
      <c r="N16" s="377"/>
      <c r="O16" s="377"/>
      <c r="P16" s="377"/>
      <c r="Q16" s="1296" t="s">
        <v>201</v>
      </c>
      <c r="R16" s="1296"/>
      <c r="S16" s="1296"/>
    </row>
    <row r="17" spans="1:19" ht="16.5" customHeight="1" thickBot="1">
      <c r="A17" s="1360"/>
      <c r="B17" s="1364" t="s">
        <v>202</v>
      </c>
      <c r="C17" s="1364"/>
      <c r="D17" s="1364" t="s">
        <v>11</v>
      </c>
      <c r="E17" s="1364"/>
      <c r="F17" s="1365" t="s">
        <v>203</v>
      </c>
      <c r="G17" s="1365"/>
      <c r="H17" s="1365"/>
      <c r="I17" s="1365"/>
      <c r="J17" s="24"/>
      <c r="K17" s="1361"/>
      <c r="L17" s="1362"/>
      <c r="M17" s="1363"/>
      <c r="N17" s="378"/>
      <c r="O17" s="378"/>
      <c r="P17" s="378"/>
      <c r="Q17" s="1298"/>
      <c r="R17" s="1298"/>
      <c r="S17" s="1298"/>
    </row>
    <row r="18" spans="1:19" ht="16.5" customHeight="1" thickTop="1">
      <c r="A18" s="63" t="s">
        <v>204</v>
      </c>
      <c r="B18" s="1319" t="s">
        <v>205</v>
      </c>
      <c r="C18" s="1319"/>
      <c r="D18" s="1319" t="s">
        <v>206</v>
      </c>
      <c r="E18" s="1319"/>
      <c r="F18" s="1328" t="s">
        <v>207</v>
      </c>
      <c r="G18" s="1329"/>
      <c r="H18" s="1329"/>
      <c r="I18" s="1330"/>
      <c r="J18" s="25">
        <v>1600</v>
      </c>
      <c r="K18" s="28" t="s">
        <v>208</v>
      </c>
      <c r="L18" s="30" t="s">
        <v>368</v>
      </c>
      <c r="M18" s="218" t="s">
        <v>425</v>
      </c>
      <c r="N18" s="379"/>
      <c r="O18" s="379"/>
      <c r="P18" s="379"/>
      <c r="Q18" s="1284" t="s">
        <v>209</v>
      </c>
      <c r="R18" s="1284"/>
      <c r="S18" s="1284"/>
    </row>
    <row r="19" spans="1:19" ht="16.5" customHeight="1">
      <c r="A19" s="64" t="s">
        <v>210</v>
      </c>
      <c r="B19" s="1326" t="s">
        <v>211</v>
      </c>
      <c r="C19" s="1327"/>
      <c r="D19" s="1326" t="s">
        <v>212</v>
      </c>
      <c r="E19" s="1327"/>
      <c r="F19" s="1328" t="s">
        <v>213</v>
      </c>
      <c r="G19" s="1329"/>
      <c r="H19" s="1329"/>
      <c r="I19" s="1330"/>
      <c r="J19" s="15">
        <v>30000</v>
      </c>
      <c r="K19" s="28"/>
      <c r="L19" s="30"/>
      <c r="M19" s="97" t="s">
        <v>436</v>
      </c>
      <c r="N19" s="341"/>
      <c r="O19" s="341"/>
      <c r="P19" s="341"/>
      <c r="Q19" s="1285" t="s">
        <v>214</v>
      </c>
      <c r="R19" s="1286"/>
      <c r="S19" s="1287"/>
    </row>
    <row r="20" spans="1:19" ht="16.5" customHeight="1">
      <c r="A20" s="1288" t="s">
        <v>215</v>
      </c>
      <c r="B20" s="1299" t="s">
        <v>199</v>
      </c>
      <c r="C20" s="1299"/>
      <c r="D20" s="1299" t="s">
        <v>11</v>
      </c>
      <c r="E20" s="1299"/>
      <c r="F20" s="1300" t="s">
        <v>216</v>
      </c>
      <c r="G20" s="1301"/>
      <c r="H20" s="1301"/>
      <c r="I20" s="1302"/>
      <c r="J20" s="8">
        <v>1600</v>
      </c>
      <c r="K20" s="1290"/>
      <c r="L20" s="1292"/>
      <c r="M20" s="1294"/>
      <c r="N20" s="372"/>
      <c r="O20" s="372"/>
      <c r="P20" s="372"/>
      <c r="Q20" s="1284" t="s">
        <v>12</v>
      </c>
      <c r="R20" s="1284"/>
      <c r="S20" s="1284"/>
    </row>
    <row r="21" spans="1:19" ht="16.5" customHeight="1">
      <c r="A21" s="1289"/>
      <c r="B21" s="1299" t="s">
        <v>202</v>
      </c>
      <c r="C21" s="1299"/>
      <c r="D21" s="1299" t="s">
        <v>11</v>
      </c>
      <c r="E21" s="1299"/>
      <c r="F21" s="1300" t="s">
        <v>217</v>
      </c>
      <c r="G21" s="1301"/>
      <c r="H21" s="1301"/>
      <c r="I21" s="1302"/>
      <c r="J21" s="8"/>
      <c r="K21" s="1291"/>
      <c r="L21" s="1293"/>
      <c r="M21" s="1295"/>
      <c r="N21" s="373"/>
      <c r="O21" s="373"/>
      <c r="P21" s="373"/>
      <c r="Q21" s="1296"/>
      <c r="R21" s="1296"/>
      <c r="S21" s="1296"/>
    </row>
    <row r="22" spans="1:19" ht="16.5" customHeight="1">
      <c r="A22" s="1288" t="s">
        <v>218</v>
      </c>
      <c r="B22" s="1299" t="s">
        <v>10</v>
      </c>
      <c r="C22" s="1299"/>
      <c r="D22" s="1299" t="s">
        <v>17</v>
      </c>
      <c r="E22" s="1299"/>
      <c r="F22" s="1300" t="s">
        <v>934</v>
      </c>
      <c r="G22" s="1301"/>
      <c r="H22" s="1301"/>
      <c r="I22" s="1302"/>
      <c r="J22" s="8">
        <v>3100</v>
      </c>
      <c r="K22" s="1290" t="s">
        <v>219</v>
      </c>
      <c r="L22" s="1292" t="s">
        <v>771</v>
      </c>
      <c r="M22" s="1294"/>
      <c r="N22" s="372"/>
      <c r="O22" s="372"/>
      <c r="P22" s="372"/>
      <c r="Q22" s="1284" t="s">
        <v>220</v>
      </c>
      <c r="R22" s="1284"/>
      <c r="S22" s="1284"/>
    </row>
    <row r="23" spans="1:19" ht="16.5" customHeight="1">
      <c r="A23" s="1289"/>
      <c r="B23" s="1299" t="s">
        <v>13</v>
      </c>
      <c r="C23" s="1299"/>
      <c r="D23" s="1299" t="s">
        <v>43</v>
      </c>
      <c r="E23" s="1299"/>
      <c r="F23" s="1300" t="s">
        <v>221</v>
      </c>
      <c r="G23" s="1301"/>
      <c r="H23" s="1301"/>
      <c r="I23" s="1302"/>
      <c r="J23" s="8"/>
      <c r="K23" s="1291"/>
      <c r="L23" s="1293"/>
      <c r="M23" s="1295"/>
      <c r="N23" s="373"/>
      <c r="O23" s="373"/>
      <c r="P23" s="373"/>
      <c r="Q23" s="1296"/>
      <c r="R23" s="1296"/>
      <c r="S23" s="1296"/>
    </row>
    <row r="24" spans="1:19" ht="16.5" customHeight="1">
      <c r="A24" s="64" t="s">
        <v>222</v>
      </c>
      <c r="B24" s="1319" t="s">
        <v>147</v>
      </c>
      <c r="C24" s="1319"/>
      <c r="D24" s="1319" t="s">
        <v>170</v>
      </c>
      <c r="E24" s="1319"/>
      <c r="F24" s="1320" t="s">
        <v>223</v>
      </c>
      <c r="G24" s="1320"/>
      <c r="H24" s="1320"/>
      <c r="I24" s="1320"/>
      <c r="J24" s="15">
        <v>10100</v>
      </c>
      <c r="K24" s="28" t="s">
        <v>224</v>
      </c>
      <c r="L24" s="28"/>
      <c r="M24" s="218" t="s">
        <v>425</v>
      </c>
      <c r="N24" s="218"/>
      <c r="O24" s="218"/>
      <c r="P24" s="218"/>
      <c r="Q24" s="1296" t="s">
        <v>225</v>
      </c>
      <c r="R24" s="1296"/>
      <c r="S24" s="1296"/>
    </row>
    <row r="25" spans="1:19" ht="16.5" customHeight="1">
      <c r="A25" s="1288" t="s">
        <v>226</v>
      </c>
      <c r="B25" s="1321" t="s">
        <v>227</v>
      </c>
      <c r="C25" s="1322"/>
      <c r="D25" s="1321" t="s">
        <v>17</v>
      </c>
      <c r="E25" s="1322"/>
      <c r="F25" s="1323" t="s">
        <v>228</v>
      </c>
      <c r="G25" s="1324"/>
      <c r="H25" s="1324"/>
      <c r="I25" s="1325"/>
      <c r="J25" s="23">
        <v>6500</v>
      </c>
      <c r="K25" s="1368" t="s">
        <v>229</v>
      </c>
      <c r="L25" s="1366" t="s">
        <v>367</v>
      </c>
      <c r="M25" s="1307"/>
      <c r="N25" s="380"/>
      <c r="O25" s="380"/>
      <c r="P25" s="380"/>
      <c r="Q25" s="1309" t="s">
        <v>230</v>
      </c>
      <c r="R25" s="1310"/>
      <c r="S25" s="1311"/>
    </row>
    <row r="26" spans="1:19" ht="16.5" customHeight="1">
      <c r="A26" s="1289"/>
      <c r="B26" s="1326" t="s">
        <v>131</v>
      </c>
      <c r="C26" s="1327"/>
      <c r="D26" s="1321" t="s">
        <v>11</v>
      </c>
      <c r="E26" s="1322"/>
      <c r="F26" s="1328" t="s">
        <v>231</v>
      </c>
      <c r="G26" s="1329"/>
      <c r="H26" s="1329"/>
      <c r="I26" s="1330"/>
      <c r="J26" s="15"/>
      <c r="K26" s="1369"/>
      <c r="L26" s="1367"/>
      <c r="M26" s="1308"/>
      <c r="N26" s="381"/>
      <c r="O26" s="381"/>
      <c r="P26" s="381"/>
      <c r="Q26" s="1312"/>
      <c r="R26" s="1313"/>
      <c r="S26" s="1314"/>
    </row>
    <row r="27" spans="1:19" ht="18.75" customHeight="1">
      <c r="A27" s="265" t="s">
        <v>161</v>
      </c>
      <c r="B27" s="27"/>
      <c r="C27" s="27"/>
      <c r="D27" s="27"/>
      <c r="E27" s="27"/>
      <c r="F27" s="27"/>
      <c r="G27" s="27"/>
      <c r="H27" s="27"/>
      <c r="I27" s="27"/>
      <c r="Q27" s="22"/>
    </row>
    <row r="28" spans="1:19" ht="18.75" customHeight="1">
      <c r="A28" s="297" t="s">
        <v>1043</v>
      </c>
      <c r="B28" s="298"/>
      <c r="C28" s="298"/>
      <c r="D28" s="298"/>
      <c r="E28" s="298"/>
      <c r="F28" s="27"/>
      <c r="G28" s="27"/>
      <c r="H28" s="27"/>
      <c r="I28" s="27"/>
      <c r="Q28" s="22"/>
    </row>
    <row r="29" spans="1:19" ht="16.5" customHeight="1">
      <c r="A29" s="49" t="s">
        <v>366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1" t="s">
        <v>983</v>
      </c>
      <c r="R29" s="27"/>
      <c r="S29" s="27"/>
    </row>
    <row r="30" spans="1:19" ht="16.5" customHeight="1">
      <c r="A30" s="1339" t="s">
        <v>2</v>
      </c>
      <c r="B30" s="1341" t="s">
        <v>3</v>
      </c>
      <c r="C30" s="1341"/>
      <c r="D30" s="1319" t="s">
        <v>4</v>
      </c>
      <c r="E30" s="1319"/>
      <c r="F30" s="1341" t="s">
        <v>5</v>
      </c>
      <c r="G30" s="1341"/>
      <c r="H30" s="1341"/>
      <c r="I30" s="1341"/>
      <c r="J30" s="1319" t="s">
        <v>103</v>
      </c>
      <c r="K30" s="1342" t="s">
        <v>6</v>
      </c>
      <c r="L30" s="1342" t="s">
        <v>7</v>
      </c>
      <c r="M30" s="185" t="s">
        <v>407</v>
      </c>
      <c r="N30" s="696" t="s">
        <v>1095</v>
      </c>
      <c r="O30" s="1260" t="s">
        <v>1096</v>
      </c>
      <c r="P30" s="1261" t="s">
        <v>1097</v>
      </c>
      <c r="Q30" s="1343" t="s">
        <v>8</v>
      </c>
      <c r="R30" s="1344"/>
      <c r="S30" s="1345"/>
    </row>
    <row r="31" spans="1:19" ht="16.5" customHeight="1">
      <c r="A31" s="1340"/>
      <c r="B31" s="1341"/>
      <c r="C31" s="1341"/>
      <c r="D31" s="1319"/>
      <c r="E31" s="1319"/>
      <c r="F31" s="1341"/>
      <c r="G31" s="1341"/>
      <c r="H31" s="1341"/>
      <c r="I31" s="1341"/>
      <c r="J31" s="1319"/>
      <c r="K31" s="1342"/>
      <c r="L31" s="1342"/>
      <c r="M31" s="186" t="s">
        <v>410</v>
      </c>
      <c r="N31" s="706"/>
      <c r="O31" s="717"/>
      <c r="P31" s="1261"/>
      <c r="Q31" s="1343"/>
      <c r="R31" s="1344"/>
      <c r="S31" s="1345"/>
    </row>
    <row r="32" spans="1:19" ht="16.5" customHeight="1">
      <c r="A32" s="1289" t="s">
        <v>392</v>
      </c>
      <c r="B32" s="1346" t="s">
        <v>10</v>
      </c>
      <c r="C32" s="1346"/>
      <c r="D32" s="1346" t="s">
        <v>43</v>
      </c>
      <c r="E32" s="1346"/>
      <c r="F32" s="1347" t="s">
        <v>185</v>
      </c>
      <c r="G32" s="1347"/>
      <c r="H32" s="1347"/>
      <c r="I32" s="1347"/>
      <c r="J32" s="14">
        <v>2100</v>
      </c>
      <c r="K32" s="1290" t="s">
        <v>1044</v>
      </c>
      <c r="L32" s="1292"/>
      <c r="M32" s="1294"/>
      <c r="N32" s="372">
        <v>300</v>
      </c>
      <c r="O32" s="372">
        <v>1</v>
      </c>
      <c r="P32" s="372">
        <v>2100</v>
      </c>
      <c r="Q32" s="1284" t="s">
        <v>187</v>
      </c>
      <c r="R32" s="1284"/>
      <c r="S32" s="1284"/>
    </row>
    <row r="33" spans="1:19" ht="16.5" customHeight="1">
      <c r="A33" s="1297"/>
      <c r="B33" s="1299" t="s">
        <v>13</v>
      </c>
      <c r="C33" s="1299"/>
      <c r="D33" s="1299" t="s">
        <v>49</v>
      </c>
      <c r="E33" s="1299"/>
      <c r="F33" s="1338" t="s">
        <v>839</v>
      </c>
      <c r="G33" s="1338"/>
      <c r="H33" s="1338"/>
      <c r="I33" s="1338"/>
      <c r="J33" s="8"/>
      <c r="K33" s="1291"/>
      <c r="L33" s="1293"/>
      <c r="M33" s="1295"/>
      <c r="N33" s="373"/>
      <c r="O33" s="373"/>
      <c r="P33" s="373"/>
      <c r="Q33" s="1296"/>
      <c r="R33" s="1296"/>
      <c r="S33" s="1296"/>
    </row>
    <row r="34" spans="1:19" ht="16.5" customHeight="1">
      <c r="A34" s="1297" t="s">
        <v>177</v>
      </c>
      <c r="B34" s="1299" t="s">
        <v>199</v>
      </c>
      <c r="C34" s="1299"/>
      <c r="D34" s="1299" t="s">
        <v>11</v>
      </c>
      <c r="E34" s="1299"/>
      <c r="F34" s="1338" t="s">
        <v>1050</v>
      </c>
      <c r="G34" s="1338"/>
      <c r="H34" s="1338"/>
      <c r="I34" s="1338"/>
      <c r="J34" s="8">
        <v>2600</v>
      </c>
      <c r="K34" s="1290"/>
      <c r="L34" s="702" t="s">
        <v>420</v>
      </c>
      <c r="M34" s="1294"/>
      <c r="N34" s="377">
        <v>300</v>
      </c>
      <c r="O34" s="377">
        <v>1</v>
      </c>
      <c r="P34" s="377">
        <v>3450</v>
      </c>
      <c r="Q34" s="1296" t="s">
        <v>201</v>
      </c>
      <c r="R34" s="1296"/>
      <c r="S34" s="1296"/>
    </row>
    <row r="35" spans="1:19" ht="16.5" customHeight="1">
      <c r="A35" s="1297"/>
      <c r="B35" s="1299" t="s">
        <v>202</v>
      </c>
      <c r="C35" s="1299"/>
      <c r="D35" s="1299" t="s">
        <v>11</v>
      </c>
      <c r="E35" s="1299"/>
      <c r="F35" s="1338" t="s">
        <v>840</v>
      </c>
      <c r="G35" s="1338"/>
      <c r="H35" s="1338"/>
      <c r="I35" s="1338"/>
      <c r="J35" s="8"/>
      <c r="K35" s="1291"/>
      <c r="L35" s="691"/>
      <c r="M35" s="1295"/>
      <c r="N35" s="373"/>
      <c r="O35" s="373"/>
      <c r="P35" s="373"/>
      <c r="Q35" s="1296"/>
      <c r="R35" s="1296"/>
      <c r="S35" s="1296"/>
    </row>
    <row r="36" spans="1:19" ht="16.5" customHeight="1">
      <c r="A36" s="1289" t="s">
        <v>384</v>
      </c>
      <c r="B36" s="1299" t="s">
        <v>35</v>
      </c>
      <c r="C36" s="1299"/>
      <c r="D36" s="1299" t="s">
        <v>11</v>
      </c>
      <c r="E36" s="1299"/>
      <c r="F36" s="1338" t="s">
        <v>1051</v>
      </c>
      <c r="G36" s="1338"/>
      <c r="H36" s="1338"/>
      <c r="I36" s="1338"/>
      <c r="J36" s="8">
        <v>6100</v>
      </c>
      <c r="K36" s="1290"/>
      <c r="L36" s="702" t="s">
        <v>37</v>
      </c>
      <c r="M36" s="1331"/>
      <c r="N36" s="375">
        <v>300</v>
      </c>
      <c r="O36" s="375">
        <v>1</v>
      </c>
      <c r="P36" s="375">
        <v>6450</v>
      </c>
      <c r="Q36" s="1332" t="s">
        <v>189</v>
      </c>
      <c r="R36" s="1333"/>
      <c r="S36" s="1334"/>
    </row>
    <row r="37" spans="1:19" ht="16.5" customHeight="1">
      <c r="A37" s="1297"/>
      <c r="B37" s="1299" t="s">
        <v>119</v>
      </c>
      <c r="C37" s="1299"/>
      <c r="D37" s="1299" t="s">
        <v>11</v>
      </c>
      <c r="E37" s="1299"/>
      <c r="F37" s="1338" t="s">
        <v>190</v>
      </c>
      <c r="G37" s="1338"/>
      <c r="H37" s="1338"/>
      <c r="I37" s="1338"/>
      <c r="J37" s="8"/>
      <c r="K37" s="1291"/>
      <c r="L37" s="691"/>
      <c r="M37" s="1295"/>
      <c r="N37" s="376"/>
      <c r="O37" s="376"/>
      <c r="P37" s="376"/>
      <c r="Q37" s="1335"/>
      <c r="R37" s="1336"/>
      <c r="S37" s="1337"/>
    </row>
    <row r="38" spans="1:19" ht="16.5" customHeight="1">
      <c r="A38" s="62" t="s">
        <v>194</v>
      </c>
      <c r="B38" s="1319" t="s">
        <v>178</v>
      </c>
      <c r="C38" s="1319"/>
      <c r="D38" s="1319" t="s">
        <v>170</v>
      </c>
      <c r="E38" s="1319"/>
      <c r="F38" s="1320" t="s">
        <v>195</v>
      </c>
      <c r="G38" s="1320"/>
      <c r="H38" s="1320"/>
      <c r="I38" s="1320"/>
      <c r="J38" s="15">
        <v>5000</v>
      </c>
      <c r="K38" s="28" t="s">
        <v>1045</v>
      </c>
      <c r="L38" s="30"/>
      <c r="M38" s="218" t="s">
        <v>425</v>
      </c>
      <c r="N38" s="218">
        <v>300</v>
      </c>
      <c r="O38" s="218">
        <v>1</v>
      </c>
      <c r="P38" s="218">
        <v>10480</v>
      </c>
      <c r="Q38" s="1296" t="s">
        <v>197</v>
      </c>
      <c r="R38" s="1296"/>
      <c r="S38" s="1296"/>
    </row>
    <row r="39" spans="1:19" ht="30" customHeight="1">
      <c r="A39" s="62" t="s">
        <v>841</v>
      </c>
      <c r="B39" s="1326" t="s">
        <v>164</v>
      </c>
      <c r="C39" s="1327"/>
      <c r="D39" s="1326" t="s">
        <v>165</v>
      </c>
      <c r="E39" s="1327"/>
      <c r="F39" s="1328" t="s">
        <v>166</v>
      </c>
      <c r="G39" s="1329"/>
      <c r="H39" s="1329"/>
      <c r="I39" s="1330"/>
      <c r="J39" s="15">
        <v>10000</v>
      </c>
      <c r="K39" s="299" t="s">
        <v>1055</v>
      </c>
      <c r="L39" s="28"/>
      <c r="M39" s="218" t="s">
        <v>425</v>
      </c>
      <c r="N39" s="218">
        <v>600</v>
      </c>
      <c r="O39" s="218">
        <v>2</v>
      </c>
      <c r="P39" s="218">
        <v>40960</v>
      </c>
      <c r="Q39" s="1285" t="s">
        <v>965</v>
      </c>
      <c r="R39" s="1286"/>
      <c r="S39" s="1287"/>
    </row>
    <row r="40" spans="1:19" ht="30" customHeight="1">
      <c r="A40" s="62" t="s">
        <v>842</v>
      </c>
      <c r="B40" s="1319" t="s">
        <v>169</v>
      </c>
      <c r="C40" s="1319"/>
      <c r="D40" s="1319" t="s">
        <v>170</v>
      </c>
      <c r="E40" s="1319"/>
      <c r="F40" s="1320" t="s">
        <v>171</v>
      </c>
      <c r="G40" s="1320"/>
      <c r="H40" s="1320"/>
      <c r="I40" s="1320"/>
      <c r="J40" s="15">
        <v>7100</v>
      </c>
      <c r="K40" s="299" t="s">
        <v>1056</v>
      </c>
      <c r="L40" s="28"/>
      <c r="M40" s="218" t="s">
        <v>425</v>
      </c>
      <c r="N40" s="218">
        <v>300</v>
      </c>
      <c r="O40" s="218">
        <v>1</v>
      </c>
      <c r="P40" s="218">
        <v>7450</v>
      </c>
      <c r="Q40" s="1296" t="s">
        <v>173</v>
      </c>
      <c r="R40" s="1296"/>
      <c r="S40" s="1296"/>
    </row>
    <row r="41" spans="1:19" ht="16.5" customHeight="1">
      <c r="A41" s="62" t="s">
        <v>843</v>
      </c>
      <c r="B41" s="1315" t="s">
        <v>178</v>
      </c>
      <c r="C41" s="1315"/>
      <c r="D41" s="1315" t="s">
        <v>179</v>
      </c>
      <c r="E41" s="1315"/>
      <c r="F41" s="1316" t="s">
        <v>180</v>
      </c>
      <c r="G41" s="1316"/>
      <c r="H41" s="1316"/>
      <c r="I41" s="1316"/>
      <c r="J41" s="23">
        <v>10000</v>
      </c>
      <c r="K41" s="56" t="s">
        <v>1047</v>
      </c>
      <c r="L41" s="56" t="s">
        <v>1048</v>
      </c>
      <c r="M41" s="97" t="s">
        <v>436</v>
      </c>
      <c r="N41" s="93">
        <v>300</v>
      </c>
      <c r="O41" s="93">
        <v>1</v>
      </c>
      <c r="P41" s="93">
        <v>15480</v>
      </c>
      <c r="Q41" s="1284" t="s">
        <v>183</v>
      </c>
      <c r="R41" s="1284"/>
      <c r="S41" s="1284"/>
    </row>
    <row r="42" spans="1:19" ht="16.5" customHeight="1" thickBot="1">
      <c r="A42" s="240" t="s">
        <v>844</v>
      </c>
      <c r="B42" s="1317" t="s">
        <v>147</v>
      </c>
      <c r="C42" s="1317"/>
      <c r="D42" s="1317" t="s">
        <v>170</v>
      </c>
      <c r="E42" s="1317"/>
      <c r="F42" s="1318" t="s">
        <v>175</v>
      </c>
      <c r="G42" s="1318"/>
      <c r="H42" s="1318"/>
      <c r="I42" s="1318"/>
      <c r="J42" s="79">
        <v>5000</v>
      </c>
      <c r="K42" s="241" t="s">
        <v>1053</v>
      </c>
      <c r="L42" s="241"/>
      <c r="M42" s="242" t="s">
        <v>425</v>
      </c>
      <c r="N42" s="242">
        <v>300</v>
      </c>
      <c r="O42" s="242">
        <v>1</v>
      </c>
      <c r="P42" s="242">
        <v>7450</v>
      </c>
      <c r="Q42" s="1298" t="s">
        <v>978</v>
      </c>
      <c r="R42" s="1298"/>
      <c r="S42" s="1298"/>
    </row>
    <row r="43" spans="1:19" ht="16.5" customHeight="1" thickTop="1">
      <c r="A43" s="63" t="s">
        <v>845</v>
      </c>
      <c r="B43" s="1319" t="s">
        <v>147</v>
      </c>
      <c r="C43" s="1319"/>
      <c r="D43" s="1319" t="s">
        <v>170</v>
      </c>
      <c r="E43" s="1319"/>
      <c r="F43" s="1320" t="s">
        <v>223</v>
      </c>
      <c r="G43" s="1320"/>
      <c r="H43" s="1320"/>
      <c r="I43" s="1320"/>
      <c r="J43" s="15">
        <v>10100</v>
      </c>
      <c r="K43" s="28" t="s">
        <v>1054</v>
      </c>
      <c r="L43" s="300" t="s">
        <v>1049</v>
      </c>
      <c r="M43" s="218" t="s">
        <v>425</v>
      </c>
      <c r="N43" s="379">
        <v>300</v>
      </c>
      <c r="O43" s="379">
        <v>1</v>
      </c>
      <c r="P43" s="379">
        <v>8480</v>
      </c>
      <c r="Q43" s="1284" t="s">
        <v>225</v>
      </c>
      <c r="R43" s="1284"/>
      <c r="S43" s="1284"/>
    </row>
    <row r="44" spans="1:19" ht="30" customHeight="1">
      <c r="A44" s="1288" t="s">
        <v>847</v>
      </c>
      <c r="B44" s="1321" t="s">
        <v>227</v>
      </c>
      <c r="C44" s="1322"/>
      <c r="D44" s="1321" t="s">
        <v>17</v>
      </c>
      <c r="E44" s="1322"/>
      <c r="F44" s="1323" t="s">
        <v>228</v>
      </c>
      <c r="G44" s="1324"/>
      <c r="H44" s="1324"/>
      <c r="I44" s="1325"/>
      <c r="J44" s="23">
        <v>6500</v>
      </c>
      <c r="K44" s="1303" t="s">
        <v>1057</v>
      </c>
      <c r="L44" s="1305" t="s">
        <v>1052</v>
      </c>
      <c r="M44" s="1307"/>
      <c r="N44" s="383">
        <v>300</v>
      </c>
      <c r="O44" s="383">
        <v>1</v>
      </c>
      <c r="P44" s="384">
        <v>12480</v>
      </c>
      <c r="Q44" s="1309" t="s">
        <v>230</v>
      </c>
      <c r="R44" s="1310"/>
      <c r="S44" s="1311"/>
    </row>
    <row r="45" spans="1:19" ht="15" customHeight="1">
      <c r="A45" s="1289"/>
      <c r="B45" s="1326" t="s">
        <v>131</v>
      </c>
      <c r="C45" s="1327"/>
      <c r="D45" s="1321" t="s">
        <v>11</v>
      </c>
      <c r="E45" s="1322"/>
      <c r="F45" s="1328" t="s">
        <v>846</v>
      </c>
      <c r="G45" s="1329"/>
      <c r="H45" s="1329"/>
      <c r="I45" s="1330"/>
      <c r="J45" s="15"/>
      <c r="K45" s="1304"/>
      <c r="L45" s="1306"/>
      <c r="M45" s="1308"/>
      <c r="N45" s="382"/>
      <c r="O45" s="381"/>
      <c r="P45" s="381"/>
      <c r="Q45" s="1312"/>
      <c r="R45" s="1313"/>
      <c r="S45" s="1314"/>
    </row>
    <row r="46" spans="1:19" ht="30" customHeight="1">
      <c r="A46" s="62" t="s">
        <v>848</v>
      </c>
      <c r="B46" s="1319" t="s">
        <v>205</v>
      </c>
      <c r="C46" s="1319"/>
      <c r="D46" s="1319" t="s">
        <v>206</v>
      </c>
      <c r="E46" s="1319"/>
      <c r="F46" s="1328" t="s">
        <v>207</v>
      </c>
      <c r="G46" s="1329"/>
      <c r="H46" s="1329"/>
      <c r="I46" s="1330"/>
      <c r="J46" s="25">
        <v>1600</v>
      </c>
      <c r="K46" s="299" t="s">
        <v>1058</v>
      </c>
      <c r="L46" s="30"/>
      <c r="M46" s="218" t="s">
        <v>425</v>
      </c>
      <c r="N46" s="379">
        <v>300</v>
      </c>
      <c r="O46" s="379">
        <v>1</v>
      </c>
      <c r="P46" s="379">
        <v>40480</v>
      </c>
      <c r="Q46" s="1284" t="s">
        <v>209</v>
      </c>
      <c r="R46" s="1284"/>
      <c r="S46" s="1284"/>
    </row>
    <row r="47" spans="1:19" ht="16.5" customHeight="1">
      <c r="A47" s="64" t="s">
        <v>215</v>
      </c>
      <c r="B47" s="1326" t="s">
        <v>211</v>
      </c>
      <c r="C47" s="1327"/>
      <c r="D47" s="1326" t="s">
        <v>212</v>
      </c>
      <c r="E47" s="1327"/>
      <c r="F47" s="1328" t="s">
        <v>213</v>
      </c>
      <c r="G47" s="1329"/>
      <c r="H47" s="1329"/>
      <c r="I47" s="1330"/>
      <c r="J47" s="15">
        <v>30000</v>
      </c>
      <c r="K47" s="28"/>
      <c r="L47" s="30"/>
      <c r="M47" s="97" t="s">
        <v>436</v>
      </c>
      <c r="N47" s="341">
        <v>300</v>
      </c>
      <c r="O47" s="341">
        <v>1</v>
      </c>
      <c r="P47" s="341">
        <v>50480</v>
      </c>
      <c r="Q47" s="1285" t="s">
        <v>214</v>
      </c>
      <c r="R47" s="1286"/>
      <c r="S47" s="1287"/>
    </row>
    <row r="48" spans="1:19" ht="16.5" customHeight="1">
      <c r="A48" s="1288" t="s">
        <v>849</v>
      </c>
      <c r="B48" s="1299" t="s">
        <v>10</v>
      </c>
      <c r="C48" s="1299"/>
      <c r="D48" s="1299" t="s">
        <v>17</v>
      </c>
      <c r="E48" s="1299"/>
      <c r="F48" s="1300" t="s">
        <v>934</v>
      </c>
      <c r="G48" s="1301"/>
      <c r="H48" s="1301"/>
      <c r="I48" s="1302"/>
      <c r="J48" s="8">
        <v>3100</v>
      </c>
      <c r="K48" s="1290" t="s">
        <v>1046</v>
      </c>
      <c r="L48" s="1292" t="s">
        <v>771</v>
      </c>
      <c r="M48" s="1294"/>
      <c r="N48" s="372">
        <v>300</v>
      </c>
      <c r="O48" s="372">
        <v>1</v>
      </c>
      <c r="P48" s="372">
        <v>3100</v>
      </c>
      <c r="Q48" s="1284" t="s">
        <v>220</v>
      </c>
      <c r="R48" s="1284"/>
      <c r="S48" s="1284"/>
    </row>
    <row r="49" spans="1:19" ht="16.5" customHeight="1">
      <c r="A49" s="1289"/>
      <c r="B49" s="1299" t="s">
        <v>13</v>
      </c>
      <c r="C49" s="1299"/>
      <c r="D49" s="1299" t="s">
        <v>11</v>
      </c>
      <c r="E49" s="1299"/>
      <c r="F49" s="1300" t="s">
        <v>850</v>
      </c>
      <c r="G49" s="1301"/>
      <c r="H49" s="1301"/>
      <c r="I49" s="1302"/>
      <c r="J49" s="8"/>
      <c r="K49" s="1291"/>
      <c r="L49" s="1293"/>
      <c r="M49" s="1295"/>
      <c r="N49" s="373"/>
      <c r="O49" s="373"/>
      <c r="P49" s="373"/>
      <c r="Q49" s="1296"/>
      <c r="R49" s="1296"/>
      <c r="S49" s="1296"/>
    </row>
    <row r="50" spans="1:19" ht="16.5" customHeight="1">
      <c r="A50" s="1288" t="s">
        <v>851</v>
      </c>
      <c r="B50" s="1299" t="s">
        <v>199</v>
      </c>
      <c r="C50" s="1299"/>
      <c r="D50" s="1299" t="s">
        <v>11</v>
      </c>
      <c r="E50" s="1299"/>
      <c r="F50" s="1300" t="s">
        <v>216</v>
      </c>
      <c r="G50" s="1301"/>
      <c r="H50" s="1301"/>
      <c r="I50" s="1302"/>
      <c r="J50" s="8">
        <v>1600</v>
      </c>
      <c r="K50" s="1290"/>
      <c r="L50" s="1292"/>
      <c r="M50" s="1294"/>
      <c r="N50" s="372">
        <v>300</v>
      </c>
      <c r="O50" s="372">
        <v>1</v>
      </c>
      <c r="P50" s="372">
        <v>1600</v>
      </c>
      <c r="Q50" s="1284" t="s">
        <v>12</v>
      </c>
      <c r="R50" s="1284"/>
      <c r="S50" s="1284"/>
    </row>
    <row r="51" spans="1:19" ht="16.5" customHeight="1">
      <c r="A51" s="1289"/>
      <c r="B51" s="1299" t="s">
        <v>202</v>
      </c>
      <c r="C51" s="1299"/>
      <c r="D51" s="1299" t="s">
        <v>11</v>
      </c>
      <c r="E51" s="1299"/>
      <c r="F51" s="1300" t="s">
        <v>852</v>
      </c>
      <c r="G51" s="1301"/>
      <c r="H51" s="1301"/>
      <c r="I51" s="1302"/>
      <c r="J51" s="8"/>
      <c r="K51" s="1291"/>
      <c r="L51" s="1293"/>
      <c r="M51" s="1295"/>
      <c r="N51" s="373"/>
      <c r="O51" s="373"/>
      <c r="P51" s="373"/>
      <c r="Q51" s="1296"/>
      <c r="R51" s="1296"/>
      <c r="S51" s="1296"/>
    </row>
    <row r="52" spans="1:19" ht="25.95" customHeight="1">
      <c r="A52" s="278" t="s">
        <v>1040</v>
      </c>
      <c r="B52" s="27"/>
      <c r="C52" s="27"/>
      <c r="D52" s="27"/>
      <c r="E52" s="27"/>
      <c r="F52" s="27"/>
      <c r="G52" s="27"/>
      <c r="H52" s="27"/>
      <c r="I52" s="27"/>
      <c r="Q52" s="22"/>
    </row>
  </sheetData>
  <mergeCells count="221">
    <mergeCell ref="Q25:S26"/>
    <mergeCell ref="B26:C26"/>
    <mergeCell ref="D26:E26"/>
    <mergeCell ref="F26:I26"/>
    <mergeCell ref="L25:L26"/>
    <mergeCell ref="M25:M26"/>
    <mergeCell ref="A25:A26"/>
    <mergeCell ref="B25:C25"/>
    <mergeCell ref="D25:E25"/>
    <mergeCell ref="F25:I25"/>
    <mergeCell ref="K25:K26"/>
    <mergeCell ref="Q22:S23"/>
    <mergeCell ref="B23:C23"/>
    <mergeCell ref="D23:E23"/>
    <mergeCell ref="F23:I23"/>
    <mergeCell ref="B24:C24"/>
    <mergeCell ref="D24:E24"/>
    <mergeCell ref="F24:I24"/>
    <mergeCell ref="Q24:S24"/>
    <mergeCell ref="Q20:S21"/>
    <mergeCell ref="B21:C21"/>
    <mergeCell ref="D21:E21"/>
    <mergeCell ref="F21:I21"/>
    <mergeCell ref="M22:M23"/>
    <mergeCell ref="A22:A23"/>
    <mergeCell ref="B22:C22"/>
    <mergeCell ref="D22:E22"/>
    <mergeCell ref="F22:I22"/>
    <mergeCell ref="K22:K23"/>
    <mergeCell ref="L22:L23"/>
    <mergeCell ref="B19:C19"/>
    <mergeCell ref="D19:E19"/>
    <mergeCell ref="F19:I19"/>
    <mergeCell ref="Q19:S19"/>
    <mergeCell ref="A20:A21"/>
    <mergeCell ref="B20:C20"/>
    <mergeCell ref="D20:E20"/>
    <mergeCell ref="F20:I20"/>
    <mergeCell ref="K20:K21"/>
    <mergeCell ref="L20:L21"/>
    <mergeCell ref="Q16:S17"/>
    <mergeCell ref="B17:C17"/>
    <mergeCell ref="D17:E17"/>
    <mergeCell ref="F17:I17"/>
    <mergeCell ref="B18:C18"/>
    <mergeCell ref="D18:E18"/>
    <mergeCell ref="F18:I18"/>
    <mergeCell ref="Q18:S18"/>
    <mergeCell ref="M20:M21"/>
    <mergeCell ref="B15:C15"/>
    <mergeCell ref="D15:E15"/>
    <mergeCell ref="F15:I15"/>
    <mergeCell ref="Q15:S15"/>
    <mergeCell ref="A16:A17"/>
    <mergeCell ref="B16:C16"/>
    <mergeCell ref="D16:E16"/>
    <mergeCell ref="F16:I16"/>
    <mergeCell ref="K16:K17"/>
    <mergeCell ref="L16:L17"/>
    <mergeCell ref="M16:M17"/>
    <mergeCell ref="Q12:S14"/>
    <mergeCell ref="B13:C13"/>
    <mergeCell ref="D13:E13"/>
    <mergeCell ref="F13:I13"/>
    <mergeCell ref="B14:C14"/>
    <mergeCell ref="D14:E14"/>
    <mergeCell ref="F14:I14"/>
    <mergeCell ref="Q10:S11"/>
    <mergeCell ref="B11:C11"/>
    <mergeCell ref="D11:E11"/>
    <mergeCell ref="F11:I11"/>
    <mergeCell ref="M12:M14"/>
    <mergeCell ref="A12:A14"/>
    <mergeCell ref="B12:C12"/>
    <mergeCell ref="D12:E12"/>
    <mergeCell ref="F12:I12"/>
    <mergeCell ref="K12:K13"/>
    <mergeCell ref="L12:L13"/>
    <mergeCell ref="B9:C9"/>
    <mergeCell ref="D9:E9"/>
    <mergeCell ref="F9:I9"/>
    <mergeCell ref="Q9:S9"/>
    <mergeCell ref="A10:A11"/>
    <mergeCell ref="B10:C10"/>
    <mergeCell ref="D10:E10"/>
    <mergeCell ref="F10:I10"/>
    <mergeCell ref="K10:K11"/>
    <mergeCell ref="L10:L11"/>
    <mergeCell ref="B7:C7"/>
    <mergeCell ref="D7:E7"/>
    <mergeCell ref="F7:I7"/>
    <mergeCell ref="Q7:S7"/>
    <mergeCell ref="B8:C8"/>
    <mergeCell ref="D8:E8"/>
    <mergeCell ref="F8:I8"/>
    <mergeCell ref="Q8:S8"/>
    <mergeCell ref="M10:M11"/>
    <mergeCell ref="L4:L5"/>
    <mergeCell ref="Q4:S5"/>
    <mergeCell ref="B6:C6"/>
    <mergeCell ref="D6:E6"/>
    <mergeCell ref="F6:I6"/>
    <mergeCell ref="Q6:S6"/>
    <mergeCell ref="A4:A5"/>
    <mergeCell ref="B4:C5"/>
    <mergeCell ref="D4:E5"/>
    <mergeCell ref="F4:I5"/>
    <mergeCell ref="J4:J5"/>
    <mergeCell ref="K4:K5"/>
    <mergeCell ref="N4:N5"/>
    <mergeCell ref="O4:O5"/>
    <mergeCell ref="P4:P5"/>
    <mergeCell ref="K32:K33"/>
    <mergeCell ref="L32:L33"/>
    <mergeCell ref="M32:M33"/>
    <mergeCell ref="Q32:S33"/>
    <mergeCell ref="A30:A31"/>
    <mergeCell ref="B30:C31"/>
    <mergeCell ref="D30:E31"/>
    <mergeCell ref="F30:I31"/>
    <mergeCell ref="J30:J31"/>
    <mergeCell ref="K30:K31"/>
    <mergeCell ref="L30:L31"/>
    <mergeCell ref="Q30:S31"/>
    <mergeCell ref="B32:C32"/>
    <mergeCell ref="D32:E32"/>
    <mergeCell ref="F32:I32"/>
    <mergeCell ref="A32:A33"/>
    <mergeCell ref="B33:C33"/>
    <mergeCell ref="D33:E33"/>
    <mergeCell ref="F33:I33"/>
    <mergeCell ref="N30:N31"/>
    <mergeCell ref="O30:O31"/>
    <mergeCell ref="P30:P31"/>
    <mergeCell ref="B34:C34"/>
    <mergeCell ref="D34:E34"/>
    <mergeCell ref="F34:I34"/>
    <mergeCell ref="B35:C35"/>
    <mergeCell ref="D35:E35"/>
    <mergeCell ref="F35:I35"/>
    <mergeCell ref="A36:A37"/>
    <mergeCell ref="B36:C36"/>
    <mergeCell ref="D36:E36"/>
    <mergeCell ref="F36:I36"/>
    <mergeCell ref="K36:K37"/>
    <mergeCell ref="L36:L37"/>
    <mergeCell ref="M36:M37"/>
    <mergeCell ref="Q36:S37"/>
    <mergeCell ref="B37:C37"/>
    <mergeCell ref="D37:E37"/>
    <mergeCell ref="F37:I37"/>
    <mergeCell ref="B38:C38"/>
    <mergeCell ref="D38:E38"/>
    <mergeCell ref="F38:I38"/>
    <mergeCell ref="B39:C39"/>
    <mergeCell ref="D39:E39"/>
    <mergeCell ref="F39:I39"/>
    <mergeCell ref="B40:C40"/>
    <mergeCell ref="D40:E40"/>
    <mergeCell ref="F40:I40"/>
    <mergeCell ref="B47:C47"/>
    <mergeCell ref="D47:E47"/>
    <mergeCell ref="F47:I47"/>
    <mergeCell ref="B46:C46"/>
    <mergeCell ref="D46:E46"/>
    <mergeCell ref="F46:I46"/>
    <mergeCell ref="A44:A45"/>
    <mergeCell ref="K44:K45"/>
    <mergeCell ref="L44:L45"/>
    <mergeCell ref="M44:M45"/>
    <mergeCell ref="Q44:S45"/>
    <mergeCell ref="B41:C41"/>
    <mergeCell ref="D41:E41"/>
    <mergeCell ref="F41:I41"/>
    <mergeCell ref="Q41:S41"/>
    <mergeCell ref="B42:C42"/>
    <mergeCell ref="D42:E42"/>
    <mergeCell ref="F42:I42"/>
    <mergeCell ref="B43:C43"/>
    <mergeCell ref="D43:E43"/>
    <mergeCell ref="F43:I43"/>
    <mergeCell ref="Q43:S43"/>
    <mergeCell ref="B44:C44"/>
    <mergeCell ref="D44:E44"/>
    <mergeCell ref="F44:I44"/>
    <mergeCell ref="B45:C45"/>
    <mergeCell ref="D45:E45"/>
    <mergeCell ref="F45:I45"/>
    <mergeCell ref="D48:E48"/>
    <mergeCell ref="F48:I48"/>
    <mergeCell ref="K48:K49"/>
    <mergeCell ref="L48:L49"/>
    <mergeCell ref="M48:M49"/>
    <mergeCell ref="Q48:S49"/>
    <mergeCell ref="B49:C49"/>
    <mergeCell ref="D49:E49"/>
    <mergeCell ref="F49:I49"/>
    <mergeCell ref="Q46:S46"/>
    <mergeCell ref="Q47:S47"/>
    <mergeCell ref="A50:A51"/>
    <mergeCell ref="K50:K51"/>
    <mergeCell ref="L50:L51"/>
    <mergeCell ref="M50:M51"/>
    <mergeCell ref="Q50:S51"/>
    <mergeCell ref="A34:A35"/>
    <mergeCell ref="K34:K35"/>
    <mergeCell ref="L34:L35"/>
    <mergeCell ref="M34:M35"/>
    <mergeCell ref="Q34:S35"/>
    <mergeCell ref="Q38:S38"/>
    <mergeCell ref="Q39:S39"/>
    <mergeCell ref="Q40:S40"/>
    <mergeCell ref="Q42:S42"/>
    <mergeCell ref="B50:C50"/>
    <mergeCell ref="D50:E50"/>
    <mergeCell ref="F50:I50"/>
    <mergeCell ref="B51:C51"/>
    <mergeCell ref="D51:E51"/>
    <mergeCell ref="F51:I51"/>
    <mergeCell ref="A48:A49"/>
    <mergeCell ref="B48:C48"/>
  </mergeCells>
  <phoneticPr fontId="11"/>
  <pageMargins left="0.7" right="0.7" top="0.75" bottom="0.75" header="0.3" footer="0.3"/>
  <pageSetup paperSize="9" scale="72" fitToWidth="0" fitToHeight="0" orientation="landscape" r:id="rId1"/>
  <rowBreaks count="1" manualBreakCount="1">
    <brk id="26" max="1638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6F9FC-2C2A-4261-8235-0E9582C4C391}">
  <dimension ref="A1:P46"/>
  <sheetViews>
    <sheetView view="pageBreakPreview" zoomScaleNormal="100" zoomScaleSheetLayoutView="100" workbookViewId="0">
      <selection activeCell="K18" sqref="K18"/>
    </sheetView>
  </sheetViews>
  <sheetFormatPr defaultColWidth="8.69921875" defaultRowHeight="18"/>
  <cols>
    <col min="1" max="1" width="6.59765625" style="1" customWidth="1"/>
    <col min="2" max="2" width="7.59765625" style="1" customWidth="1"/>
    <col min="3" max="3" width="7.09765625" style="1" customWidth="1"/>
    <col min="4" max="4" width="7.59765625" style="1" customWidth="1"/>
    <col min="5" max="5" width="4.09765625" style="1" customWidth="1"/>
    <col min="6" max="8" width="7.59765625" style="1" customWidth="1"/>
    <col min="9" max="9" width="6.19921875" style="1" customWidth="1"/>
    <col min="10" max="10" width="1.69921875" style="1" hidden="1" customWidth="1"/>
    <col min="11" max="11" width="34.69921875" style="1" customWidth="1"/>
    <col min="12" max="12" width="19.69921875" style="1" customWidth="1"/>
    <col min="13" max="13" width="7.59765625" style="1" customWidth="1"/>
    <col min="14" max="16" width="7" style="1" customWidth="1"/>
    <col min="17" max="16384" width="8.69921875" style="1"/>
  </cols>
  <sheetData>
    <row r="1" spans="1:16" ht="18.75" customHeight="1">
      <c r="A1" s="31" t="s">
        <v>399</v>
      </c>
      <c r="I1" s="2"/>
    </row>
    <row r="2" spans="1:16" ht="18.75" customHeight="1">
      <c r="A2" s="82" t="s">
        <v>402</v>
      </c>
      <c r="B2" s="81"/>
      <c r="C2" s="81"/>
      <c r="D2" s="81"/>
      <c r="E2" s="81"/>
      <c r="F2" s="81"/>
      <c r="G2" s="81"/>
      <c r="H2" s="81"/>
      <c r="I2" s="2"/>
    </row>
    <row r="3" spans="1:16" ht="15" customHeight="1">
      <c r="A3" s="49" t="s">
        <v>366</v>
      </c>
      <c r="B3" s="81"/>
      <c r="C3" s="81"/>
      <c r="D3" s="81"/>
      <c r="E3" s="81"/>
      <c r="F3" s="81"/>
      <c r="G3" s="81"/>
      <c r="H3" s="81"/>
    </row>
    <row r="4" spans="1:16" ht="15" customHeight="1">
      <c r="A4" s="710" t="s">
        <v>2</v>
      </c>
      <c r="B4" s="1377" t="s">
        <v>3</v>
      </c>
      <c r="C4" s="1377"/>
      <c r="D4" s="711" t="s">
        <v>4</v>
      </c>
      <c r="E4" s="711"/>
      <c r="F4" s="1377" t="s">
        <v>5</v>
      </c>
      <c r="G4" s="1377"/>
      <c r="H4" s="1377"/>
      <c r="I4" s="1377"/>
      <c r="J4" s="711" t="s">
        <v>103</v>
      </c>
      <c r="K4" s="1376" t="s">
        <v>6</v>
      </c>
      <c r="L4" s="1376" t="s">
        <v>7</v>
      </c>
      <c r="M4" s="185" t="s">
        <v>407</v>
      </c>
      <c r="N4" s="861" t="s">
        <v>8</v>
      </c>
      <c r="O4" s="1374"/>
      <c r="P4" s="862"/>
    </row>
    <row r="5" spans="1:16" ht="15" customHeight="1">
      <c r="A5" s="711"/>
      <c r="B5" s="1377"/>
      <c r="C5" s="1377"/>
      <c r="D5" s="711"/>
      <c r="E5" s="711"/>
      <c r="F5" s="1377"/>
      <c r="G5" s="1377"/>
      <c r="H5" s="1377"/>
      <c r="I5" s="1377"/>
      <c r="J5" s="711"/>
      <c r="K5" s="1376"/>
      <c r="L5" s="1376"/>
      <c r="M5" s="186" t="s">
        <v>410</v>
      </c>
      <c r="N5" s="861"/>
      <c r="O5" s="1374"/>
      <c r="P5" s="862"/>
    </row>
    <row r="6" spans="1:16" ht="15" customHeight="1">
      <c r="A6" s="1233" t="s">
        <v>16</v>
      </c>
      <c r="B6" s="661" t="s">
        <v>10</v>
      </c>
      <c r="C6" s="661"/>
      <c r="D6" s="700" t="s">
        <v>11</v>
      </c>
      <c r="E6" s="701"/>
      <c r="F6" s="659" t="s">
        <v>383</v>
      </c>
      <c r="G6" s="659"/>
      <c r="H6" s="659"/>
      <c r="I6" s="659"/>
      <c r="J6" s="8">
        <v>703</v>
      </c>
      <c r="K6" s="69"/>
      <c r="L6" s="71"/>
      <c r="M6" s="1206"/>
      <c r="N6" s="660" t="s">
        <v>382</v>
      </c>
      <c r="O6" s="660"/>
      <c r="P6" s="660"/>
    </row>
    <row r="7" spans="1:16" ht="15" customHeight="1">
      <c r="A7" s="1234"/>
      <c r="B7" s="700" t="s">
        <v>13</v>
      </c>
      <c r="C7" s="701"/>
      <c r="D7" s="700" t="s">
        <v>11</v>
      </c>
      <c r="E7" s="701"/>
      <c r="F7" s="659" t="s">
        <v>377</v>
      </c>
      <c r="G7" s="659"/>
      <c r="H7" s="659"/>
      <c r="I7" s="659"/>
      <c r="J7" s="8">
        <v>704</v>
      </c>
      <c r="K7" s="70"/>
      <c r="L7" s="44"/>
      <c r="M7" s="1375"/>
      <c r="N7" s="660"/>
      <c r="O7" s="660"/>
      <c r="P7" s="660"/>
    </row>
    <row r="8" spans="1:16" ht="15" customHeight="1">
      <c r="A8" s="614" t="s">
        <v>298</v>
      </c>
      <c r="B8" s="661" t="s">
        <v>10</v>
      </c>
      <c r="C8" s="661"/>
      <c r="D8" s="661" t="s">
        <v>11</v>
      </c>
      <c r="E8" s="661"/>
      <c r="F8" s="659" t="s">
        <v>571</v>
      </c>
      <c r="G8" s="659"/>
      <c r="H8" s="659"/>
      <c r="I8" s="659"/>
      <c r="J8" s="8">
        <v>705</v>
      </c>
      <c r="K8" s="1217" t="s">
        <v>386</v>
      </c>
      <c r="L8" s="1023" t="s">
        <v>572</v>
      </c>
      <c r="M8" s="1378"/>
      <c r="N8" s="656" t="s">
        <v>68</v>
      </c>
      <c r="O8" s="657"/>
      <c r="P8" s="658"/>
    </row>
    <row r="9" spans="1:16" ht="15" customHeight="1">
      <c r="A9" s="616"/>
      <c r="B9" s="700" t="s">
        <v>13</v>
      </c>
      <c r="C9" s="701"/>
      <c r="D9" s="700" t="s">
        <v>11</v>
      </c>
      <c r="E9" s="701"/>
      <c r="F9" s="659" t="s">
        <v>377</v>
      </c>
      <c r="G9" s="659"/>
      <c r="H9" s="659"/>
      <c r="I9" s="659"/>
      <c r="J9" s="8">
        <v>706</v>
      </c>
      <c r="K9" s="1218"/>
      <c r="L9" s="803"/>
      <c r="M9" s="1379"/>
      <c r="N9" s="631"/>
      <c r="O9" s="632"/>
      <c r="P9" s="633"/>
    </row>
    <row r="10" spans="1:16" ht="15" customHeight="1">
      <c r="A10" s="614" t="s">
        <v>387</v>
      </c>
      <c r="B10" s="661" t="s">
        <v>199</v>
      </c>
      <c r="C10" s="661"/>
      <c r="D10" s="661" t="s">
        <v>17</v>
      </c>
      <c r="E10" s="661"/>
      <c r="F10" s="659" t="s">
        <v>391</v>
      </c>
      <c r="G10" s="659"/>
      <c r="H10" s="659"/>
      <c r="I10" s="659"/>
      <c r="J10" s="8">
        <v>3000</v>
      </c>
      <c r="K10" s="1217" t="s">
        <v>390</v>
      </c>
      <c r="L10" s="702" t="s">
        <v>37</v>
      </c>
      <c r="M10" s="1370"/>
      <c r="N10" s="660" t="s">
        <v>389</v>
      </c>
      <c r="O10" s="660"/>
      <c r="P10" s="660"/>
    </row>
    <row r="11" spans="1:16" ht="15" customHeight="1">
      <c r="A11" s="616"/>
      <c r="B11" s="661" t="s">
        <v>202</v>
      </c>
      <c r="C11" s="661"/>
      <c r="D11" s="661" t="s">
        <v>17</v>
      </c>
      <c r="E11" s="661"/>
      <c r="F11" s="659" t="s">
        <v>388</v>
      </c>
      <c r="G11" s="659"/>
      <c r="H11" s="659"/>
      <c r="I11" s="659"/>
      <c r="J11" s="8">
        <v>3000</v>
      </c>
      <c r="K11" s="1218"/>
      <c r="L11" s="691"/>
      <c r="M11" s="1371"/>
      <c r="N11" s="660"/>
      <c r="O11" s="660"/>
      <c r="P11" s="660"/>
    </row>
    <row r="12" spans="1:16" ht="15" customHeight="1">
      <c r="A12" s="614" t="s">
        <v>384</v>
      </c>
      <c r="B12" s="661" t="s">
        <v>35</v>
      </c>
      <c r="C12" s="661"/>
      <c r="D12" s="661" t="s">
        <v>11</v>
      </c>
      <c r="E12" s="661"/>
      <c r="F12" s="659" t="s">
        <v>36</v>
      </c>
      <c r="G12" s="659"/>
      <c r="H12" s="659"/>
      <c r="I12" s="659"/>
      <c r="J12" s="8">
        <v>900</v>
      </c>
      <c r="K12" s="1217"/>
      <c r="L12" s="802"/>
      <c r="M12" s="1206"/>
      <c r="N12" s="660" t="s">
        <v>38</v>
      </c>
      <c r="O12" s="660"/>
      <c r="P12" s="660"/>
    </row>
    <row r="13" spans="1:16" ht="15" customHeight="1">
      <c r="A13" s="616"/>
      <c r="B13" s="661" t="s">
        <v>304</v>
      </c>
      <c r="C13" s="661"/>
      <c r="D13" s="661" t="s">
        <v>11</v>
      </c>
      <c r="E13" s="661"/>
      <c r="F13" s="659" t="s">
        <v>393</v>
      </c>
      <c r="G13" s="659"/>
      <c r="H13" s="659"/>
      <c r="I13" s="659"/>
      <c r="J13" s="8">
        <v>900</v>
      </c>
      <c r="K13" s="1218"/>
      <c r="L13" s="803"/>
      <c r="M13" s="1375"/>
      <c r="N13" s="660"/>
      <c r="O13" s="660"/>
      <c r="P13" s="660"/>
    </row>
    <row r="14" spans="1:16" ht="15" customHeight="1">
      <c r="A14" s="59" t="s">
        <v>248</v>
      </c>
      <c r="B14" s="650" t="s">
        <v>164</v>
      </c>
      <c r="C14" s="650"/>
      <c r="D14" s="650" t="s">
        <v>63</v>
      </c>
      <c r="E14" s="650"/>
      <c r="F14" s="651" t="s">
        <v>286</v>
      </c>
      <c r="G14" s="651"/>
      <c r="H14" s="651"/>
      <c r="I14" s="651"/>
      <c r="J14" s="15">
        <v>1000</v>
      </c>
      <c r="K14" s="66"/>
      <c r="L14" s="36"/>
      <c r="M14" s="97" t="s">
        <v>425</v>
      </c>
      <c r="N14" s="660" t="s">
        <v>369</v>
      </c>
      <c r="O14" s="660"/>
      <c r="P14" s="660"/>
    </row>
    <row r="15" spans="1:16" ht="15" customHeight="1" thickBot="1">
      <c r="A15" s="58" t="s">
        <v>256</v>
      </c>
      <c r="B15" s="727" t="s">
        <v>147</v>
      </c>
      <c r="C15" s="727"/>
      <c r="D15" s="727" t="s">
        <v>49</v>
      </c>
      <c r="E15" s="727"/>
      <c r="F15" s="728" t="s">
        <v>381</v>
      </c>
      <c r="G15" s="728"/>
      <c r="H15" s="728"/>
      <c r="I15" s="728"/>
      <c r="J15" s="79">
        <v>7000</v>
      </c>
      <c r="K15" s="83" t="s">
        <v>371</v>
      </c>
      <c r="L15" s="84"/>
      <c r="M15" s="223" t="s">
        <v>470</v>
      </c>
      <c r="N15" s="692" t="s">
        <v>375</v>
      </c>
      <c r="O15" s="692"/>
      <c r="P15" s="692"/>
    </row>
    <row r="16" spans="1:16" ht="15" customHeight="1" thickTop="1">
      <c r="A16" s="57" t="s">
        <v>401</v>
      </c>
      <c r="B16" s="650" t="s">
        <v>164</v>
      </c>
      <c r="C16" s="650"/>
      <c r="D16" s="618" t="s">
        <v>63</v>
      </c>
      <c r="E16" s="619"/>
      <c r="F16" s="707" t="s">
        <v>286</v>
      </c>
      <c r="G16" s="707"/>
      <c r="H16" s="707"/>
      <c r="I16" s="707"/>
      <c r="J16" s="78">
        <v>5000</v>
      </c>
      <c r="K16" s="72"/>
      <c r="L16" s="44"/>
      <c r="M16" s="97" t="s">
        <v>425</v>
      </c>
      <c r="N16" s="708" t="s">
        <v>369</v>
      </c>
      <c r="O16" s="708"/>
      <c r="P16" s="708"/>
    </row>
    <row r="17" spans="1:16" ht="15" customHeight="1">
      <c r="A17" s="57" t="s">
        <v>329</v>
      </c>
      <c r="B17" s="706" t="s">
        <v>374</v>
      </c>
      <c r="C17" s="706"/>
      <c r="D17" s="618" t="s">
        <v>373</v>
      </c>
      <c r="E17" s="619"/>
      <c r="F17" s="651" t="s">
        <v>372</v>
      </c>
      <c r="G17" s="651"/>
      <c r="H17" s="651"/>
      <c r="I17" s="651"/>
      <c r="J17" s="15">
        <v>7000</v>
      </c>
      <c r="K17" s="66" t="s">
        <v>371</v>
      </c>
      <c r="L17" s="36"/>
      <c r="M17" s="221" t="s">
        <v>425</v>
      </c>
      <c r="N17" s="660" t="s">
        <v>370</v>
      </c>
      <c r="O17" s="660"/>
      <c r="P17" s="660"/>
    </row>
    <row r="18" spans="1:16" ht="15" customHeight="1">
      <c r="A18" s="57" t="s">
        <v>335</v>
      </c>
      <c r="B18" s="618" t="s">
        <v>147</v>
      </c>
      <c r="C18" s="619"/>
      <c r="D18" s="618" t="s">
        <v>49</v>
      </c>
      <c r="E18" s="619"/>
      <c r="F18" s="620" t="s">
        <v>376</v>
      </c>
      <c r="G18" s="621"/>
      <c r="H18" s="621"/>
      <c r="I18" s="622"/>
      <c r="J18" s="25">
        <v>5000</v>
      </c>
      <c r="K18" s="66" t="s">
        <v>371</v>
      </c>
      <c r="L18" s="36"/>
      <c r="M18" s="97" t="s">
        <v>470</v>
      </c>
      <c r="N18" s="652" t="s">
        <v>375</v>
      </c>
      <c r="O18" s="623"/>
      <c r="P18" s="624"/>
    </row>
    <row r="19" spans="1:16" ht="15" customHeight="1">
      <c r="A19" s="614" t="s">
        <v>85</v>
      </c>
      <c r="B19" s="661" t="s">
        <v>10</v>
      </c>
      <c r="C19" s="661"/>
      <c r="D19" s="661" t="s">
        <v>11</v>
      </c>
      <c r="E19" s="661"/>
      <c r="F19" s="659" t="s">
        <v>379</v>
      </c>
      <c r="G19" s="659"/>
      <c r="H19" s="659"/>
      <c r="I19" s="659"/>
      <c r="J19" s="8">
        <v>703</v>
      </c>
      <c r="K19" s="1217" t="s">
        <v>378</v>
      </c>
      <c r="L19" s="1027" t="s">
        <v>566</v>
      </c>
      <c r="M19" s="1372"/>
      <c r="N19" s="660" t="s">
        <v>68</v>
      </c>
      <c r="O19" s="660"/>
      <c r="P19" s="660"/>
    </row>
    <row r="20" spans="1:16" ht="15" customHeight="1">
      <c r="A20" s="616"/>
      <c r="B20" s="700" t="s">
        <v>13</v>
      </c>
      <c r="C20" s="701"/>
      <c r="D20" s="661" t="s">
        <v>11</v>
      </c>
      <c r="E20" s="661"/>
      <c r="F20" s="659" t="s">
        <v>377</v>
      </c>
      <c r="G20" s="659"/>
      <c r="H20" s="659"/>
      <c r="I20" s="659"/>
      <c r="J20" s="8">
        <v>704</v>
      </c>
      <c r="K20" s="1218"/>
      <c r="L20" s="803"/>
      <c r="M20" s="1373"/>
      <c r="N20" s="660"/>
      <c r="O20" s="660"/>
      <c r="P20" s="660"/>
    </row>
    <row r="21" spans="1:16" ht="15" customHeight="1">
      <c r="A21" s="614" t="s">
        <v>400</v>
      </c>
      <c r="B21" s="661" t="s">
        <v>199</v>
      </c>
      <c r="C21" s="661"/>
      <c r="D21" s="661" t="s">
        <v>17</v>
      </c>
      <c r="E21" s="661"/>
      <c r="F21" s="659" t="s">
        <v>396</v>
      </c>
      <c r="G21" s="659"/>
      <c r="H21" s="659"/>
      <c r="I21" s="659"/>
      <c r="J21" s="8">
        <v>3000</v>
      </c>
      <c r="K21" s="1217" t="s">
        <v>395</v>
      </c>
      <c r="L21" s="702" t="s">
        <v>403</v>
      </c>
      <c r="M21" s="1370"/>
      <c r="N21" s="660" t="s">
        <v>394</v>
      </c>
      <c r="O21" s="660"/>
      <c r="P21" s="660"/>
    </row>
    <row r="22" spans="1:16" ht="15" customHeight="1">
      <c r="A22" s="616"/>
      <c r="B22" s="661" t="s">
        <v>202</v>
      </c>
      <c r="C22" s="661"/>
      <c r="D22" s="661" t="s">
        <v>17</v>
      </c>
      <c r="E22" s="661"/>
      <c r="F22" s="659" t="s">
        <v>388</v>
      </c>
      <c r="G22" s="659"/>
      <c r="H22" s="659"/>
      <c r="I22" s="659"/>
      <c r="J22" s="8">
        <v>3000</v>
      </c>
      <c r="K22" s="1218"/>
      <c r="L22" s="691"/>
      <c r="M22" s="1371"/>
      <c r="N22" s="660"/>
      <c r="O22" s="660"/>
      <c r="P22" s="660"/>
    </row>
    <row r="23" spans="1:16" ht="15" customHeight="1"/>
    <row r="24" spans="1:16" ht="18.75" customHeight="1">
      <c r="A24" s="31" t="s">
        <v>399</v>
      </c>
      <c r="I24" s="2"/>
    </row>
    <row r="25" spans="1:16" ht="18.75" customHeight="1">
      <c r="A25" s="294" t="s">
        <v>1026</v>
      </c>
      <c r="B25" s="295"/>
      <c r="C25" s="295"/>
      <c r="D25" s="81"/>
      <c r="E25" s="81"/>
      <c r="F25" s="81"/>
      <c r="G25" s="81"/>
      <c r="H25" s="81"/>
      <c r="I25" s="2"/>
    </row>
    <row r="26" spans="1:16" ht="15" customHeight="1">
      <c r="A26" s="49" t="s">
        <v>366</v>
      </c>
      <c r="B26" s="81"/>
      <c r="C26" s="81"/>
      <c r="D26" s="81"/>
      <c r="E26" s="81"/>
      <c r="F26" s="81"/>
      <c r="G26" s="81"/>
      <c r="H26" s="81"/>
      <c r="N26" s="1" t="s">
        <v>983</v>
      </c>
    </row>
    <row r="27" spans="1:16" ht="15" customHeight="1">
      <c r="A27" s="710" t="s">
        <v>2</v>
      </c>
      <c r="B27" s="1377" t="s">
        <v>3</v>
      </c>
      <c r="C27" s="1377"/>
      <c r="D27" s="711" t="s">
        <v>4</v>
      </c>
      <c r="E27" s="711"/>
      <c r="F27" s="1377" t="s">
        <v>5</v>
      </c>
      <c r="G27" s="1377"/>
      <c r="H27" s="1377"/>
      <c r="I27" s="1377"/>
      <c r="J27" s="711" t="s">
        <v>103</v>
      </c>
      <c r="K27" s="1376" t="s">
        <v>6</v>
      </c>
      <c r="L27" s="1376" t="s">
        <v>7</v>
      </c>
      <c r="M27" s="185" t="s">
        <v>407</v>
      </c>
      <c r="N27" s="861" t="s">
        <v>397</v>
      </c>
      <c r="O27" s="1374"/>
      <c r="P27" s="862"/>
    </row>
    <row r="28" spans="1:16" ht="15" customHeight="1">
      <c r="A28" s="711"/>
      <c r="B28" s="1377"/>
      <c r="C28" s="1377"/>
      <c r="D28" s="711"/>
      <c r="E28" s="711"/>
      <c r="F28" s="1377"/>
      <c r="G28" s="1377"/>
      <c r="H28" s="1377"/>
      <c r="I28" s="1377"/>
      <c r="J28" s="711"/>
      <c r="K28" s="1376"/>
      <c r="L28" s="1376"/>
      <c r="M28" s="186" t="s">
        <v>410</v>
      </c>
      <c r="N28" s="861"/>
      <c r="O28" s="1374"/>
      <c r="P28" s="862"/>
    </row>
    <row r="29" spans="1:16" ht="15" customHeight="1">
      <c r="A29" s="614" t="s">
        <v>106</v>
      </c>
      <c r="B29" s="661" t="s">
        <v>199</v>
      </c>
      <c r="C29" s="661"/>
      <c r="D29" s="661" t="s">
        <v>17</v>
      </c>
      <c r="E29" s="661"/>
      <c r="F29" s="659" t="s">
        <v>995</v>
      </c>
      <c r="G29" s="659"/>
      <c r="H29" s="659"/>
      <c r="I29" s="659"/>
      <c r="J29" s="8">
        <v>3000</v>
      </c>
      <c r="K29" s="1217" t="s">
        <v>1029</v>
      </c>
      <c r="L29" s="1177" t="s">
        <v>403</v>
      </c>
      <c r="M29" s="1370"/>
      <c r="N29" s="660" t="s">
        <v>394</v>
      </c>
      <c r="O29" s="660"/>
      <c r="P29" s="660"/>
    </row>
    <row r="30" spans="1:16" ht="15" customHeight="1">
      <c r="A30" s="616"/>
      <c r="B30" s="661" t="s">
        <v>202</v>
      </c>
      <c r="C30" s="661"/>
      <c r="D30" s="661" t="s">
        <v>17</v>
      </c>
      <c r="E30" s="661"/>
      <c r="F30" s="659" t="s">
        <v>388</v>
      </c>
      <c r="G30" s="659"/>
      <c r="H30" s="659"/>
      <c r="I30" s="659"/>
      <c r="J30" s="8">
        <v>3000</v>
      </c>
      <c r="K30" s="1218"/>
      <c r="L30" s="1178"/>
      <c r="M30" s="1371"/>
      <c r="N30" s="660"/>
      <c r="O30" s="660"/>
      <c r="P30" s="660"/>
    </row>
    <row r="31" spans="1:16" ht="15" customHeight="1">
      <c r="A31" s="614" t="s">
        <v>233</v>
      </c>
      <c r="B31" s="661" t="s">
        <v>35</v>
      </c>
      <c r="C31" s="661"/>
      <c r="D31" s="661" t="s">
        <v>11</v>
      </c>
      <c r="E31" s="661"/>
      <c r="F31" s="699" t="s">
        <v>36</v>
      </c>
      <c r="G31" s="699"/>
      <c r="H31" s="699"/>
      <c r="I31" s="699"/>
      <c r="J31" s="8">
        <v>900</v>
      </c>
      <c r="K31" s="1217"/>
      <c r="L31" s="802"/>
      <c r="M31" s="1206"/>
      <c r="N31" s="660" t="s">
        <v>38</v>
      </c>
      <c r="O31" s="660"/>
      <c r="P31" s="660"/>
    </row>
    <row r="32" spans="1:16" ht="15" customHeight="1">
      <c r="A32" s="616"/>
      <c r="B32" s="661" t="s">
        <v>304</v>
      </c>
      <c r="C32" s="661"/>
      <c r="D32" s="661" t="s">
        <v>11</v>
      </c>
      <c r="E32" s="661"/>
      <c r="F32" s="699" t="s">
        <v>393</v>
      </c>
      <c r="G32" s="699"/>
      <c r="H32" s="699"/>
      <c r="I32" s="699"/>
      <c r="J32" s="8">
        <v>900</v>
      </c>
      <c r="K32" s="1218"/>
      <c r="L32" s="803"/>
      <c r="M32" s="1375"/>
      <c r="N32" s="660"/>
      <c r="O32" s="660"/>
      <c r="P32" s="660"/>
    </row>
    <row r="33" spans="1:16" ht="15" customHeight="1">
      <c r="A33" s="614" t="s">
        <v>392</v>
      </c>
      <c r="B33" s="661" t="s">
        <v>199</v>
      </c>
      <c r="C33" s="661"/>
      <c r="D33" s="661" t="s">
        <v>17</v>
      </c>
      <c r="E33" s="661"/>
      <c r="F33" s="659" t="s">
        <v>996</v>
      </c>
      <c r="G33" s="659"/>
      <c r="H33" s="659"/>
      <c r="I33" s="659"/>
      <c r="J33" s="8">
        <v>3000</v>
      </c>
      <c r="K33" s="1380" t="s">
        <v>1059</v>
      </c>
      <c r="L33" s="1177" t="s">
        <v>37</v>
      </c>
      <c r="M33" s="1370"/>
      <c r="N33" s="660" t="s">
        <v>389</v>
      </c>
      <c r="O33" s="660"/>
      <c r="P33" s="660"/>
    </row>
    <row r="34" spans="1:16" ht="15" customHeight="1">
      <c r="A34" s="616"/>
      <c r="B34" s="661" t="s">
        <v>202</v>
      </c>
      <c r="C34" s="661"/>
      <c r="D34" s="661" t="s">
        <v>17</v>
      </c>
      <c r="E34" s="661"/>
      <c r="F34" s="659" t="s">
        <v>388</v>
      </c>
      <c r="G34" s="659"/>
      <c r="H34" s="659"/>
      <c r="I34" s="659"/>
      <c r="J34" s="8">
        <v>3000</v>
      </c>
      <c r="K34" s="1381"/>
      <c r="L34" s="1178"/>
      <c r="M34" s="1371"/>
      <c r="N34" s="660"/>
      <c r="O34" s="660"/>
      <c r="P34" s="660"/>
    </row>
    <row r="35" spans="1:16" ht="15" customHeight="1">
      <c r="A35" s="614" t="s">
        <v>387</v>
      </c>
      <c r="B35" s="661" t="s">
        <v>10</v>
      </c>
      <c r="C35" s="661"/>
      <c r="D35" s="661" t="s">
        <v>11</v>
      </c>
      <c r="E35" s="661"/>
      <c r="F35" s="659" t="s">
        <v>1027</v>
      </c>
      <c r="G35" s="659"/>
      <c r="H35" s="659"/>
      <c r="I35" s="659"/>
      <c r="J35" s="8">
        <v>705</v>
      </c>
      <c r="K35" s="1380" t="s">
        <v>1033</v>
      </c>
      <c r="L35" s="1382" t="s">
        <v>1030</v>
      </c>
      <c r="M35" s="1378"/>
      <c r="N35" s="656" t="s">
        <v>68</v>
      </c>
      <c r="O35" s="657"/>
      <c r="P35" s="658"/>
    </row>
    <row r="36" spans="1:16" ht="15" customHeight="1">
      <c r="A36" s="616"/>
      <c r="B36" s="700" t="s">
        <v>13</v>
      </c>
      <c r="C36" s="701"/>
      <c r="D36" s="700" t="s">
        <v>11</v>
      </c>
      <c r="E36" s="701"/>
      <c r="F36" s="699" t="s">
        <v>377</v>
      </c>
      <c r="G36" s="699"/>
      <c r="H36" s="699"/>
      <c r="I36" s="699"/>
      <c r="J36" s="8">
        <v>706</v>
      </c>
      <c r="K36" s="1381"/>
      <c r="L36" s="1383"/>
      <c r="M36" s="1379"/>
      <c r="N36" s="631"/>
      <c r="O36" s="632"/>
      <c r="P36" s="633"/>
    </row>
    <row r="37" spans="1:16" ht="15" customHeight="1">
      <c r="A37" s="1233" t="s">
        <v>385</v>
      </c>
      <c r="B37" s="661" t="s">
        <v>10</v>
      </c>
      <c r="C37" s="661"/>
      <c r="D37" s="700" t="s">
        <v>11</v>
      </c>
      <c r="E37" s="701"/>
      <c r="F37" s="699" t="s">
        <v>383</v>
      </c>
      <c r="G37" s="699"/>
      <c r="H37" s="699"/>
      <c r="I37" s="699"/>
      <c r="J37" s="8">
        <v>703</v>
      </c>
      <c r="K37" s="1217"/>
      <c r="L37" s="802"/>
      <c r="M37" s="1206"/>
      <c r="N37" s="660" t="s">
        <v>382</v>
      </c>
      <c r="O37" s="660"/>
      <c r="P37" s="660"/>
    </row>
    <row r="38" spans="1:16" ht="15" customHeight="1">
      <c r="A38" s="1234"/>
      <c r="B38" s="700" t="s">
        <v>13</v>
      </c>
      <c r="C38" s="701"/>
      <c r="D38" s="700" t="s">
        <v>11</v>
      </c>
      <c r="E38" s="701"/>
      <c r="F38" s="699" t="s">
        <v>377</v>
      </c>
      <c r="G38" s="699"/>
      <c r="H38" s="699"/>
      <c r="I38" s="699"/>
      <c r="J38" s="8">
        <v>704</v>
      </c>
      <c r="K38" s="1218"/>
      <c r="L38" s="803"/>
      <c r="M38" s="1375"/>
      <c r="N38" s="660"/>
      <c r="O38" s="660"/>
      <c r="P38" s="660"/>
    </row>
    <row r="39" spans="1:16" ht="15" customHeight="1">
      <c r="A39" s="59" t="s">
        <v>248</v>
      </c>
      <c r="B39" s="650" t="s">
        <v>164</v>
      </c>
      <c r="C39" s="650"/>
      <c r="D39" s="650" t="s">
        <v>63</v>
      </c>
      <c r="E39" s="650"/>
      <c r="F39" s="651" t="s">
        <v>286</v>
      </c>
      <c r="G39" s="651"/>
      <c r="H39" s="651"/>
      <c r="I39" s="651"/>
      <c r="J39" s="15">
        <v>1000</v>
      </c>
      <c r="K39" s="66" t="s">
        <v>1005</v>
      </c>
      <c r="L39" s="36"/>
      <c r="M39" s="97" t="s">
        <v>425</v>
      </c>
      <c r="N39" s="660" t="s">
        <v>369</v>
      </c>
      <c r="O39" s="660"/>
      <c r="P39" s="660"/>
    </row>
    <row r="40" spans="1:16" ht="15" customHeight="1" thickBot="1">
      <c r="A40" s="58" t="s">
        <v>256</v>
      </c>
      <c r="B40" s="727" t="s">
        <v>147</v>
      </c>
      <c r="C40" s="727"/>
      <c r="D40" s="727" t="s">
        <v>49</v>
      </c>
      <c r="E40" s="727"/>
      <c r="F40" s="728" t="s">
        <v>381</v>
      </c>
      <c r="G40" s="728"/>
      <c r="H40" s="728"/>
      <c r="I40" s="728"/>
      <c r="J40" s="79">
        <v>7000</v>
      </c>
      <c r="K40" s="83" t="s">
        <v>1031</v>
      </c>
      <c r="L40" s="84"/>
      <c r="M40" s="223" t="s">
        <v>470</v>
      </c>
      <c r="N40" s="692" t="s">
        <v>375</v>
      </c>
      <c r="O40" s="692"/>
      <c r="P40" s="692"/>
    </row>
    <row r="41" spans="1:16" ht="15" customHeight="1" thickTop="1">
      <c r="A41" s="614" t="s">
        <v>380</v>
      </c>
      <c r="B41" s="661" t="s">
        <v>10</v>
      </c>
      <c r="C41" s="661"/>
      <c r="D41" s="661" t="s">
        <v>11</v>
      </c>
      <c r="E41" s="661"/>
      <c r="F41" s="659" t="s">
        <v>1028</v>
      </c>
      <c r="G41" s="659"/>
      <c r="H41" s="659"/>
      <c r="I41" s="659"/>
      <c r="J41" s="8">
        <v>703</v>
      </c>
      <c r="K41" s="1380" t="s">
        <v>1032</v>
      </c>
      <c r="L41" s="1384" t="s">
        <v>566</v>
      </c>
      <c r="M41" s="1385"/>
      <c r="N41" s="660" t="s">
        <v>68</v>
      </c>
      <c r="O41" s="660"/>
      <c r="P41" s="660"/>
    </row>
    <row r="42" spans="1:16" ht="15" customHeight="1">
      <c r="A42" s="616"/>
      <c r="B42" s="700" t="s">
        <v>13</v>
      </c>
      <c r="C42" s="701"/>
      <c r="D42" s="661" t="s">
        <v>17</v>
      </c>
      <c r="E42" s="661"/>
      <c r="F42" s="699" t="s">
        <v>717</v>
      </c>
      <c r="G42" s="699"/>
      <c r="H42" s="699"/>
      <c r="I42" s="699"/>
      <c r="J42" s="8">
        <v>704</v>
      </c>
      <c r="K42" s="1381"/>
      <c r="L42" s="1383"/>
      <c r="M42" s="1373"/>
      <c r="N42" s="660"/>
      <c r="O42" s="660"/>
      <c r="P42" s="660"/>
    </row>
    <row r="43" spans="1:16" ht="15" customHeight="1">
      <c r="A43" s="57" t="s">
        <v>335</v>
      </c>
      <c r="B43" s="618" t="s">
        <v>147</v>
      </c>
      <c r="C43" s="619"/>
      <c r="D43" s="618" t="s">
        <v>49</v>
      </c>
      <c r="E43" s="619"/>
      <c r="F43" s="620" t="s">
        <v>376</v>
      </c>
      <c r="G43" s="621"/>
      <c r="H43" s="621"/>
      <c r="I43" s="622"/>
      <c r="J43" s="25">
        <v>5000</v>
      </c>
      <c r="K43" s="66" t="s">
        <v>1031</v>
      </c>
      <c r="L43" s="32"/>
      <c r="M43" s="97" t="s">
        <v>470</v>
      </c>
      <c r="N43" s="652" t="s">
        <v>375</v>
      </c>
      <c r="O43" s="623"/>
      <c r="P43" s="624"/>
    </row>
    <row r="44" spans="1:16" ht="15" customHeight="1">
      <c r="A44" s="57" t="s">
        <v>156</v>
      </c>
      <c r="B44" s="706" t="s">
        <v>374</v>
      </c>
      <c r="C44" s="706"/>
      <c r="D44" s="618" t="s">
        <v>373</v>
      </c>
      <c r="E44" s="619"/>
      <c r="F44" s="651" t="s">
        <v>372</v>
      </c>
      <c r="G44" s="651"/>
      <c r="H44" s="651"/>
      <c r="I44" s="651"/>
      <c r="J44" s="15">
        <v>7000</v>
      </c>
      <c r="K44" s="66" t="s">
        <v>1031</v>
      </c>
      <c r="L44" s="32"/>
      <c r="M44" s="221" t="s">
        <v>425</v>
      </c>
      <c r="N44" s="660" t="s">
        <v>370</v>
      </c>
      <c r="O44" s="660"/>
      <c r="P44" s="660"/>
    </row>
    <row r="45" spans="1:16" ht="15" customHeight="1">
      <c r="A45" s="57" t="s">
        <v>70</v>
      </c>
      <c r="B45" s="650" t="s">
        <v>164</v>
      </c>
      <c r="C45" s="650"/>
      <c r="D45" s="618" t="s">
        <v>63</v>
      </c>
      <c r="E45" s="619"/>
      <c r="F45" s="707" t="s">
        <v>286</v>
      </c>
      <c r="G45" s="707"/>
      <c r="H45" s="707"/>
      <c r="I45" s="707"/>
      <c r="J45" s="78">
        <v>5000</v>
      </c>
      <c r="K45" s="72"/>
      <c r="L45" s="43"/>
      <c r="M45" s="97" t="s">
        <v>425</v>
      </c>
      <c r="N45" s="708" t="s">
        <v>369</v>
      </c>
      <c r="O45" s="708"/>
      <c r="P45" s="708"/>
    </row>
    <row r="46" spans="1:16" ht="25.95" customHeight="1">
      <c r="A46" s="275" t="s">
        <v>985</v>
      </c>
      <c r="B46" s="16"/>
      <c r="C46" s="16"/>
      <c r="D46" s="16"/>
      <c r="E46" s="16"/>
      <c r="F46" s="17"/>
      <c r="G46" s="17"/>
      <c r="H46" s="17"/>
      <c r="I46" s="17"/>
      <c r="J46" s="118"/>
      <c r="K46" s="49"/>
      <c r="L46" s="45"/>
      <c r="M46" s="45"/>
      <c r="N46" s="120"/>
      <c r="O46" s="120"/>
      <c r="P46" s="120"/>
    </row>
  </sheetData>
  <mergeCells count="186">
    <mergeCell ref="M29:M30"/>
    <mergeCell ref="A27:A28"/>
    <mergeCell ref="B27:C28"/>
    <mergeCell ref="D27:E28"/>
    <mergeCell ref="F27:I28"/>
    <mergeCell ref="J27:J28"/>
    <mergeCell ref="K27:K28"/>
    <mergeCell ref="A29:A30"/>
    <mergeCell ref="K29:K30"/>
    <mergeCell ref="L29:L30"/>
    <mergeCell ref="B30:C30"/>
    <mergeCell ref="D30:E30"/>
    <mergeCell ref="F30:I30"/>
    <mergeCell ref="N44:P44"/>
    <mergeCell ref="N45:P45"/>
    <mergeCell ref="N43:P43"/>
    <mergeCell ref="B44:C44"/>
    <mergeCell ref="D44:E44"/>
    <mergeCell ref="F44:I44"/>
    <mergeCell ref="B45:C45"/>
    <mergeCell ref="D45:E45"/>
    <mergeCell ref="F45:I45"/>
    <mergeCell ref="B43:C43"/>
    <mergeCell ref="D43:E43"/>
    <mergeCell ref="F43:I43"/>
    <mergeCell ref="N39:P39"/>
    <mergeCell ref="B40:C40"/>
    <mergeCell ref="D40:E40"/>
    <mergeCell ref="F40:I40"/>
    <mergeCell ref="N40:P40"/>
    <mergeCell ref="B41:C41"/>
    <mergeCell ref="D41:E41"/>
    <mergeCell ref="F41:I41"/>
    <mergeCell ref="A41:A42"/>
    <mergeCell ref="K41:K42"/>
    <mergeCell ref="L41:L42"/>
    <mergeCell ref="N41:P42"/>
    <mergeCell ref="B42:C42"/>
    <mergeCell ref="D42:E42"/>
    <mergeCell ref="F42:I42"/>
    <mergeCell ref="B39:C39"/>
    <mergeCell ref="D39:E39"/>
    <mergeCell ref="F39:I39"/>
    <mergeCell ref="M41:M42"/>
    <mergeCell ref="N37:P38"/>
    <mergeCell ref="B38:C38"/>
    <mergeCell ref="D38:E38"/>
    <mergeCell ref="F38:I38"/>
    <mergeCell ref="A35:A36"/>
    <mergeCell ref="B35:C35"/>
    <mergeCell ref="D35:E35"/>
    <mergeCell ref="F35:I35"/>
    <mergeCell ref="K35:K36"/>
    <mergeCell ref="L35:L36"/>
    <mergeCell ref="A37:A38"/>
    <mergeCell ref="B37:C37"/>
    <mergeCell ref="D37:E37"/>
    <mergeCell ref="F37:I37"/>
    <mergeCell ref="K37:K38"/>
    <mergeCell ref="L37:L38"/>
    <mergeCell ref="N35:P36"/>
    <mergeCell ref="B36:C36"/>
    <mergeCell ref="D36:E36"/>
    <mergeCell ref="F36:I36"/>
    <mergeCell ref="M37:M38"/>
    <mergeCell ref="M35:M36"/>
    <mergeCell ref="A33:A34"/>
    <mergeCell ref="B33:C33"/>
    <mergeCell ref="D33:E33"/>
    <mergeCell ref="F33:I33"/>
    <mergeCell ref="K33:K34"/>
    <mergeCell ref="L33:L34"/>
    <mergeCell ref="N31:P32"/>
    <mergeCell ref="B32:C32"/>
    <mergeCell ref="D32:E32"/>
    <mergeCell ref="F32:I32"/>
    <mergeCell ref="N33:P34"/>
    <mergeCell ref="B34:C34"/>
    <mergeCell ref="D34:E34"/>
    <mergeCell ref="F34:I34"/>
    <mergeCell ref="A31:A32"/>
    <mergeCell ref="B31:C31"/>
    <mergeCell ref="K31:K32"/>
    <mergeCell ref="L31:L32"/>
    <mergeCell ref="M33:M34"/>
    <mergeCell ref="M31:M32"/>
    <mergeCell ref="D15:E15"/>
    <mergeCell ref="F15:I15"/>
    <mergeCell ref="N15:P15"/>
    <mergeCell ref="L4:L5"/>
    <mergeCell ref="B4:C5"/>
    <mergeCell ref="D4:E5"/>
    <mergeCell ref="F4:I5"/>
    <mergeCell ref="J4:J5"/>
    <mergeCell ref="D31:E31"/>
    <mergeCell ref="F31:I31"/>
    <mergeCell ref="L27:L28"/>
    <mergeCell ref="K4:K5"/>
    <mergeCell ref="B14:C14"/>
    <mergeCell ref="D14:E14"/>
    <mergeCell ref="F14:I14"/>
    <mergeCell ref="F8:I8"/>
    <mergeCell ref="N27:P28"/>
    <mergeCell ref="B29:C29"/>
    <mergeCell ref="D29:E29"/>
    <mergeCell ref="F29:I29"/>
    <mergeCell ref="N29:P30"/>
    <mergeCell ref="M12:M13"/>
    <mergeCell ref="M10:M11"/>
    <mergeCell ref="M8:M9"/>
    <mergeCell ref="N4:P5"/>
    <mergeCell ref="A6:A7"/>
    <mergeCell ref="B6:C6"/>
    <mergeCell ref="D6:E6"/>
    <mergeCell ref="F6:I6"/>
    <mergeCell ref="N6:P7"/>
    <mergeCell ref="B7:C7"/>
    <mergeCell ref="D7:E7"/>
    <mergeCell ref="F7:I7"/>
    <mergeCell ref="A4:A5"/>
    <mergeCell ref="M6:M7"/>
    <mergeCell ref="A10:A11"/>
    <mergeCell ref="B10:C10"/>
    <mergeCell ref="D10:E10"/>
    <mergeCell ref="F10:I10"/>
    <mergeCell ref="N10:P11"/>
    <mergeCell ref="B11:C11"/>
    <mergeCell ref="D11:E11"/>
    <mergeCell ref="F11:I11"/>
    <mergeCell ref="A8:A9"/>
    <mergeCell ref="B8:C8"/>
    <mergeCell ref="D8:E8"/>
    <mergeCell ref="N8:P9"/>
    <mergeCell ref="B9:C9"/>
    <mergeCell ref="D9:E9"/>
    <mergeCell ref="F9:I9"/>
    <mergeCell ref="K8:K9"/>
    <mergeCell ref="L8:L9"/>
    <mergeCell ref="K10:K11"/>
    <mergeCell ref="L10:L11"/>
    <mergeCell ref="A12:A13"/>
    <mergeCell ref="B12:C12"/>
    <mergeCell ref="D12:E12"/>
    <mergeCell ref="F12:I12"/>
    <mergeCell ref="N12:P13"/>
    <mergeCell ref="B13:C13"/>
    <mergeCell ref="B18:C18"/>
    <mergeCell ref="D18:E18"/>
    <mergeCell ref="F18:I18"/>
    <mergeCell ref="B16:C16"/>
    <mergeCell ref="D16:E16"/>
    <mergeCell ref="F16:I16"/>
    <mergeCell ref="N16:P16"/>
    <mergeCell ref="B17:C17"/>
    <mergeCell ref="D17:E17"/>
    <mergeCell ref="F17:I17"/>
    <mergeCell ref="N17:P17"/>
    <mergeCell ref="N18:P18"/>
    <mergeCell ref="N14:P14"/>
    <mergeCell ref="D13:E13"/>
    <mergeCell ref="F13:I13"/>
    <mergeCell ref="K12:K13"/>
    <mergeCell ref="L12:L13"/>
    <mergeCell ref="B15:C15"/>
    <mergeCell ref="N21:P22"/>
    <mergeCell ref="B22:C22"/>
    <mergeCell ref="D22:E22"/>
    <mergeCell ref="F22:I22"/>
    <mergeCell ref="K21:K22"/>
    <mergeCell ref="L21:L22"/>
    <mergeCell ref="F20:I20"/>
    <mergeCell ref="A21:A22"/>
    <mergeCell ref="B21:C21"/>
    <mergeCell ref="D21:E21"/>
    <mergeCell ref="F21:I21"/>
    <mergeCell ref="A19:A20"/>
    <mergeCell ref="B19:C19"/>
    <mergeCell ref="D19:E19"/>
    <mergeCell ref="F19:I19"/>
    <mergeCell ref="N19:P20"/>
    <mergeCell ref="B20:C20"/>
    <mergeCell ref="K19:K20"/>
    <mergeCell ref="L19:L20"/>
    <mergeCell ref="D20:E20"/>
    <mergeCell ref="M21:M22"/>
    <mergeCell ref="M19:M20"/>
  </mergeCells>
  <phoneticPr fontId="11"/>
  <pageMargins left="0.7" right="0.7" top="0.75" bottom="0.75" header="0.3" footer="0.3"/>
  <pageSetup paperSize="9" scale="83" orientation="landscape" r:id="rId1"/>
  <rowBreaks count="1" manualBreakCount="1">
    <brk id="23" max="1638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888C0-4A3E-400E-9C29-1E6D211D8026}">
  <dimension ref="A1:P81"/>
  <sheetViews>
    <sheetView view="pageBreakPreview" topLeftCell="A7" zoomScaleNormal="100" zoomScaleSheetLayoutView="100" workbookViewId="0">
      <selection activeCell="N3" sqref="N3"/>
    </sheetView>
  </sheetViews>
  <sheetFormatPr defaultColWidth="9" defaultRowHeight="18"/>
  <cols>
    <col min="1" max="1" width="6.59765625" style="1" customWidth="1"/>
    <col min="2" max="2" width="7.59765625" style="1" customWidth="1"/>
    <col min="3" max="3" width="7.09765625" style="1" customWidth="1"/>
    <col min="4" max="4" width="7.59765625" style="1" customWidth="1"/>
    <col min="5" max="5" width="4.5" style="1" customWidth="1"/>
    <col min="6" max="8" width="7.59765625" style="1" customWidth="1"/>
    <col min="9" max="9" width="3.8984375" style="1" customWidth="1"/>
    <col min="10" max="10" width="7.59765625" style="1" hidden="1" customWidth="1"/>
    <col min="11" max="11" width="34.69921875" style="1" customWidth="1"/>
    <col min="12" max="12" width="20.59765625" style="1" customWidth="1"/>
    <col min="13" max="16" width="7.59765625" style="1" customWidth="1"/>
    <col min="17" max="16384" width="9" style="1"/>
  </cols>
  <sheetData>
    <row r="1" spans="1:16" ht="18.600000000000001" customHeight="1">
      <c r="A1" s="31" t="s">
        <v>541</v>
      </c>
      <c r="I1" s="2"/>
    </row>
    <row r="2" spans="1:16" ht="18.600000000000001" customHeight="1">
      <c r="A2" s="280" t="s">
        <v>990</v>
      </c>
      <c r="B2" s="268"/>
      <c r="C2" s="268"/>
      <c r="I2" s="2"/>
    </row>
    <row r="3" spans="1:16" ht="15" customHeight="1">
      <c r="A3" s="49" t="s">
        <v>366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1" t="s">
        <v>983</v>
      </c>
      <c r="O3" s="49"/>
      <c r="P3" s="49"/>
    </row>
    <row r="4" spans="1:16" ht="15" customHeight="1">
      <c r="A4" s="710" t="s">
        <v>2</v>
      </c>
      <c r="B4" s="1377" t="s">
        <v>3</v>
      </c>
      <c r="C4" s="1377"/>
      <c r="D4" s="711" t="s">
        <v>4</v>
      </c>
      <c r="E4" s="711"/>
      <c r="F4" s="1377" t="s">
        <v>5</v>
      </c>
      <c r="G4" s="1377"/>
      <c r="H4" s="1377"/>
      <c r="I4" s="1377"/>
      <c r="J4" s="711" t="s">
        <v>103</v>
      </c>
      <c r="K4" s="1376" t="s">
        <v>6</v>
      </c>
      <c r="L4" s="1376" t="s">
        <v>7</v>
      </c>
      <c r="M4" s="185" t="s">
        <v>407</v>
      </c>
      <c r="N4" s="861" t="s">
        <v>8</v>
      </c>
      <c r="O4" s="1374"/>
      <c r="P4" s="862"/>
    </row>
    <row r="5" spans="1:16" ht="15" customHeight="1">
      <c r="A5" s="711"/>
      <c r="B5" s="1377"/>
      <c r="C5" s="1377"/>
      <c r="D5" s="711"/>
      <c r="E5" s="711"/>
      <c r="F5" s="1377"/>
      <c r="G5" s="1377"/>
      <c r="H5" s="1377"/>
      <c r="I5" s="1377"/>
      <c r="J5" s="711"/>
      <c r="K5" s="1376"/>
      <c r="L5" s="1376"/>
      <c r="M5" s="186" t="s">
        <v>410</v>
      </c>
      <c r="N5" s="861"/>
      <c r="O5" s="1374"/>
      <c r="P5" s="862"/>
    </row>
    <row r="6" spans="1:16" ht="15" customHeight="1">
      <c r="A6" s="614" t="s">
        <v>106</v>
      </c>
      <c r="B6" s="661" t="s">
        <v>35</v>
      </c>
      <c r="C6" s="661"/>
      <c r="D6" s="661" t="s">
        <v>11</v>
      </c>
      <c r="E6" s="661"/>
      <c r="F6" s="699" t="s">
        <v>36</v>
      </c>
      <c r="G6" s="699"/>
      <c r="H6" s="699"/>
      <c r="I6" s="699"/>
      <c r="J6" s="8">
        <v>900</v>
      </c>
      <c r="K6" s="1217"/>
      <c r="L6" s="802"/>
      <c r="M6" s="1114"/>
      <c r="N6" s="660" t="s">
        <v>38</v>
      </c>
      <c r="O6" s="660"/>
      <c r="P6" s="660"/>
    </row>
    <row r="7" spans="1:16" ht="15" customHeight="1">
      <c r="A7" s="616"/>
      <c r="B7" s="661" t="s">
        <v>304</v>
      </c>
      <c r="C7" s="661"/>
      <c r="D7" s="661" t="s">
        <v>11</v>
      </c>
      <c r="E7" s="661"/>
      <c r="F7" s="699" t="s">
        <v>393</v>
      </c>
      <c r="G7" s="699"/>
      <c r="H7" s="699"/>
      <c r="I7" s="699"/>
      <c r="J7" s="8">
        <v>900</v>
      </c>
      <c r="K7" s="1218"/>
      <c r="L7" s="803"/>
      <c r="M7" s="1115"/>
      <c r="N7" s="660"/>
      <c r="O7" s="660"/>
      <c r="P7" s="660"/>
    </row>
    <row r="8" spans="1:16" ht="15" customHeight="1">
      <c r="A8" s="614" t="s">
        <v>233</v>
      </c>
      <c r="B8" s="700" t="s">
        <v>10</v>
      </c>
      <c r="C8" s="701"/>
      <c r="D8" s="700" t="s">
        <v>17</v>
      </c>
      <c r="E8" s="701"/>
      <c r="F8" s="769" t="s">
        <v>994</v>
      </c>
      <c r="G8" s="770"/>
      <c r="H8" s="770"/>
      <c r="I8" s="771"/>
      <c r="J8" s="8">
        <v>703</v>
      </c>
      <c r="K8" s="1380" t="s">
        <v>998</v>
      </c>
      <c r="L8" s="1388" t="s">
        <v>991</v>
      </c>
      <c r="M8" s="913"/>
      <c r="N8" s="656" t="s">
        <v>68</v>
      </c>
      <c r="O8" s="657"/>
      <c r="P8" s="658"/>
    </row>
    <row r="9" spans="1:16" ht="15" customHeight="1">
      <c r="A9" s="616"/>
      <c r="B9" s="700" t="s">
        <v>13</v>
      </c>
      <c r="C9" s="701"/>
      <c r="D9" s="700" t="s">
        <v>11</v>
      </c>
      <c r="E9" s="701"/>
      <c r="F9" s="769" t="s">
        <v>377</v>
      </c>
      <c r="G9" s="770"/>
      <c r="H9" s="770"/>
      <c r="I9" s="771"/>
      <c r="J9" s="8">
        <v>704</v>
      </c>
      <c r="K9" s="1381"/>
      <c r="L9" s="1389"/>
      <c r="M9" s="914"/>
      <c r="N9" s="634"/>
      <c r="O9" s="635"/>
      <c r="P9" s="636"/>
    </row>
    <row r="10" spans="1:16" ht="15" customHeight="1">
      <c r="A10" s="614" t="s">
        <v>298</v>
      </c>
      <c r="B10" s="661" t="s">
        <v>199</v>
      </c>
      <c r="C10" s="661"/>
      <c r="D10" s="661" t="s">
        <v>17</v>
      </c>
      <c r="E10" s="661"/>
      <c r="F10" s="659" t="s">
        <v>995</v>
      </c>
      <c r="G10" s="659"/>
      <c r="H10" s="659"/>
      <c r="I10" s="659"/>
      <c r="J10" s="8">
        <v>3000</v>
      </c>
      <c r="K10" s="1380" t="s">
        <v>999</v>
      </c>
      <c r="L10" s="1177" t="s">
        <v>403</v>
      </c>
      <c r="M10" s="913"/>
      <c r="N10" s="660" t="s">
        <v>546</v>
      </c>
      <c r="O10" s="660"/>
      <c r="P10" s="660"/>
    </row>
    <row r="11" spans="1:16" ht="15" customHeight="1">
      <c r="A11" s="616"/>
      <c r="B11" s="661" t="s">
        <v>202</v>
      </c>
      <c r="C11" s="661"/>
      <c r="D11" s="661" t="s">
        <v>17</v>
      </c>
      <c r="E11" s="661"/>
      <c r="F11" s="659" t="s">
        <v>388</v>
      </c>
      <c r="G11" s="659"/>
      <c r="H11" s="659"/>
      <c r="I11" s="659"/>
      <c r="J11" s="8">
        <v>3000</v>
      </c>
      <c r="K11" s="1381"/>
      <c r="L11" s="1178"/>
      <c r="M11" s="914"/>
      <c r="N11" s="660"/>
      <c r="O11" s="660"/>
      <c r="P11" s="660"/>
    </row>
    <row r="12" spans="1:16" ht="15" customHeight="1">
      <c r="A12" s="614" t="s">
        <v>239</v>
      </c>
      <c r="B12" s="661" t="s">
        <v>199</v>
      </c>
      <c r="C12" s="661"/>
      <c r="D12" s="661" t="s">
        <v>17</v>
      </c>
      <c r="E12" s="661"/>
      <c r="F12" s="659" t="s">
        <v>996</v>
      </c>
      <c r="G12" s="659"/>
      <c r="H12" s="659"/>
      <c r="I12" s="659"/>
      <c r="J12" s="8">
        <v>3000</v>
      </c>
      <c r="K12" s="1380" t="s">
        <v>1000</v>
      </c>
      <c r="L12" s="1177" t="s">
        <v>37</v>
      </c>
      <c r="M12" s="913"/>
      <c r="N12" s="660" t="s">
        <v>548</v>
      </c>
      <c r="O12" s="660"/>
      <c r="P12" s="660"/>
    </row>
    <row r="13" spans="1:16" ht="30" customHeight="1">
      <c r="A13" s="616"/>
      <c r="B13" s="661" t="s">
        <v>202</v>
      </c>
      <c r="C13" s="661"/>
      <c r="D13" s="661" t="s">
        <v>17</v>
      </c>
      <c r="E13" s="661"/>
      <c r="F13" s="659" t="s">
        <v>388</v>
      </c>
      <c r="G13" s="659"/>
      <c r="H13" s="659"/>
      <c r="I13" s="659"/>
      <c r="J13" s="8">
        <v>3000</v>
      </c>
      <c r="K13" s="1381"/>
      <c r="L13" s="1178"/>
      <c r="M13" s="914"/>
      <c r="N13" s="660"/>
      <c r="O13" s="660"/>
      <c r="P13" s="660"/>
    </row>
    <row r="14" spans="1:16" ht="15" customHeight="1">
      <c r="A14" s="1233" t="s">
        <v>385</v>
      </c>
      <c r="B14" s="661" t="s">
        <v>10</v>
      </c>
      <c r="C14" s="661"/>
      <c r="D14" s="661" t="s">
        <v>11</v>
      </c>
      <c r="E14" s="661"/>
      <c r="F14" s="699" t="s">
        <v>383</v>
      </c>
      <c r="G14" s="699"/>
      <c r="H14" s="699"/>
      <c r="I14" s="699"/>
      <c r="J14" s="8">
        <v>900</v>
      </c>
      <c r="K14" s="1217"/>
      <c r="L14" s="802"/>
      <c r="M14" s="1114"/>
      <c r="N14" s="660" t="s">
        <v>12</v>
      </c>
      <c r="O14" s="660"/>
      <c r="P14" s="660"/>
    </row>
    <row r="15" spans="1:16" ht="15" customHeight="1">
      <c r="A15" s="1234"/>
      <c r="B15" s="700" t="s">
        <v>13</v>
      </c>
      <c r="C15" s="701"/>
      <c r="D15" s="661" t="s">
        <v>11</v>
      </c>
      <c r="E15" s="661"/>
      <c r="F15" s="699" t="s">
        <v>377</v>
      </c>
      <c r="G15" s="699"/>
      <c r="H15" s="699"/>
      <c r="I15" s="699"/>
      <c r="J15" s="8">
        <v>900</v>
      </c>
      <c r="K15" s="1218"/>
      <c r="L15" s="803"/>
      <c r="M15" s="1115"/>
      <c r="N15" s="660"/>
      <c r="O15" s="660"/>
      <c r="P15" s="660"/>
    </row>
    <row r="16" spans="1:16" ht="15" customHeight="1">
      <c r="A16" s="59" t="s">
        <v>549</v>
      </c>
      <c r="B16" s="650" t="s">
        <v>164</v>
      </c>
      <c r="C16" s="650"/>
      <c r="D16" s="650" t="s">
        <v>63</v>
      </c>
      <c r="E16" s="650"/>
      <c r="F16" s="651" t="s">
        <v>292</v>
      </c>
      <c r="G16" s="651"/>
      <c r="H16" s="651"/>
      <c r="I16" s="651"/>
      <c r="J16" s="15">
        <v>1000</v>
      </c>
      <c r="K16" s="66" t="s">
        <v>1005</v>
      </c>
      <c r="L16" s="36"/>
      <c r="M16" s="97" t="s">
        <v>425</v>
      </c>
      <c r="N16" s="660" t="s">
        <v>369</v>
      </c>
      <c r="O16" s="660"/>
      <c r="P16" s="660"/>
    </row>
    <row r="17" spans="1:16" ht="15" customHeight="1">
      <c r="A17" s="614" t="s">
        <v>550</v>
      </c>
      <c r="B17" s="650" t="s">
        <v>551</v>
      </c>
      <c r="C17" s="650"/>
      <c r="D17" s="650" t="s">
        <v>11</v>
      </c>
      <c r="E17" s="650"/>
      <c r="F17" s="651" t="s">
        <v>552</v>
      </c>
      <c r="G17" s="651"/>
      <c r="H17" s="651"/>
      <c r="I17" s="651"/>
      <c r="J17" s="25">
        <v>3000</v>
      </c>
      <c r="K17" s="1390" t="s">
        <v>1001</v>
      </c>
      <c r="L17" s="802"/>
      <c r="M17" s="1392"/>
      <c r="N17" s="660" t="s">
        <v>554</v>
      </c>
      <c r="O17" s="660"/>
      <c r="P17" s="660"/>
    </row>
    <row r="18" spans="1:16" ht="15" customHeight="1">
      <c r="A18" s="616"/>
      <c r="B18" s="650" t="s">
        <v>131</v>
      </c>
      <c r="C18" s="650"/>
      <c r="D18" s="650" t="s">
        <v>11</v>
      </c>
      <c r="E18" s="650"/>
      <c r="F18" s="1185" t="s">
        <v>555</v>
      </c>
      <c r="G18" s="1185"/>
      <c r="H18" s="1185"/>
      <c r="I18" s="1185"/>
      <c r="J18" s="25"/>
      <c r="K18" s="1391"/>
      <c r="L18" s="803"/>
      <c r="M18" s="1393"/>
      <c r="N18" s="660"/>
      <c r="O18" s="660"/>
      <c r="P18" s="660"/>
    </row>
    <row r="19" spans="1:16" ht="15" customHeight="1">
      <c r="A19" s="59" t="s">
        <v>248</v>
      </c>
      <c r="B19" s="650" t="s">
        <v>178</v>
      </c>
      <c r="C19" s="650"/>
      <c r="D19" s="650" t="s">
        <v>179</v>
      </c>
      <c r="E19" s="650"/>
      <c r="F19" s="651" t="s">
        <v>556</v>
      </c>
      <c r="G19" s="651"/>
      <c r="H19" s="651"/>
      <c r="I19" s="651"/>
      <c r="J19" s="25">
        <v>1000</v>
      </c>
      <c r="K19" s="66" t="s">
        <v>1003</v>
      </c>
      <c r="L19" s="36" t="s">
        <v>557</v>
      </c>
      <c r="M19" s="97" t="s">
        <v>436</v>
      </c>
      <c r="N19" s="660" t="s">
        <v>558</v>
      </c>
      <c r="O19" s="660"/>
      <c r="P19" s="660"/>
    </row>
    <row r="20" spans="1:16" ht="15" customHeight="1" thickBot="1">
      <c r="A20" s="58" t="s">
        <v>559</v>
      </c>
      <c r="B20" s="727" t="s">
        <v>147</v>
      </c>
      <c r="C20" s="727"/>
      <c r="D20" s="727" t="s">
        <v>560</v>
      </c>
      <c r="E20" s="727"/>
      <c r="F20" s="728" t="s">
        <v>561</v>
      </c>
      <c r="G20" s="728"/>
      <c r="H20" s="728"/>
      <c r="I20" s="728"/>
      <c r="J20" s="79">
        <v>7000</v>
      </c>
      <c r="K20" s="83" t="s">
        <v>1002</v>
      </c>
      <c r="L20" s="84"/>
      <c r="M20" s="97" t="s">
        <v>470</v>
      </c>
      <c r="N20" s="885" t="s">
        <v>563</v>
      </c>
      <c r="O20" s="1386"/>
      <c r="P20" s="886"/>
    </row>
    <row r="21" spans="1:16" ht="15" customHeight="1" thickTop="1">
      <c r="A21" s="729" t="s">
        <v>380</v>
      </c>
      <c r="B21" s="637" t="s">
        <v>10</v>
      </c>
      <c r="C21" s="637"/>
      <c r="D21" s="661" t="s">
        <v>17</v>
      </c>
      <c r="E21" s="661"/>
      <c r="F21" s="659" t="s">
        <v>997</v>
      </c>
      <c r="G21" s="659"/>
      <c r="H21" s="659"/>
      <c r="I21" s="659"/>
      <c r="J21" s="14">
        <v>1000</v>
      </c>
      <c r="K21" s="1387" t="s">
        <v>1004</v>
      </c>
      <c r="L21" s="1388" t="s">
        <v>992</v>
      </c>
      <c r="M21" s="1419"/>
      <c r="N21" s="708" t="s">
        <v>68</v>
      </c>
      <c r="O21" s="708"/>
      <c r="P21" s="708"/>
    </row>
    <row r="22" spans="1:16" ht="15" customHeight="1">
      <c r="A22" s="616"/>
      <c r="B22" s="661" t="s">
        <v>13</v>
      </c>
      <c r="C22" s="661"/>
      <c r="D22" s="700" t="s">
        <v>17</v>
      </c>
      <c r="E22" s="701"/>
      <c r="F22" s="769" t="s">
        <v>717</v>
      </c>
      <c r="G22" s="770"/>
      <c r="H22" s="770"/>
      <c r="I22" s="771"/>
      <c r="J22" s="8">
        <v>702</v>
      </c>
      <c r="K22" s="1381"/>
      <c r="L22" s="1389"/>
      <c r="M22" s="914"/>
      <c r="N22" s="660"/>
      <c r="O22" s="660"/>
      <c r="P22" s="660"/>
    </row>
    <row r="23" spans="1:16" ht="15" customHeight="1">
      <c r="A23" s="57" t="s">
        <v>335</v>
      </c>
      <c r="B23" s="618" t="s">
        <v>147</v>
      </c>
      <c r="C23" s="619"/>
      <c r="D23" s="650" t="s">
        <v>560</v>
      </c>
      <c r="E23" s="650"/>
      <c r="F23" s="651" t="s">
        <v>561</v>
      </c>
      <c r="G23" s="651"/>
      <c r="H23" s="651"/>
      <c r="I23" s="651"/>
      <c r="J23" s="25">
        <v>5000</v>
      </c>
      <c r="K23" s="66" t="s">
        <v>1002</v>
      </c>
      <c r="L23" s="36"/>
      <c r="M23" s="97" t="s">
        <v>470</v>
      </c>
      <c r="N23" s="652" t="s">
        <v>563</v>
      </c>
      <c r="O23" s="623"/>
      <c r="P23" s="624"/>
    </row>
    <row r="24" spans="1:16" ht="15" customHeight="1">
      <c r="A24" s="57" t="s">
        <v>567</v>
      </c>
      <c r="B24" s="706" t="s">
        <v>568</v>
      </c>
      <c r="C24" s="706"/>
      <c r="D24" s="650" t="s">
        <v>373</v>
      </c>
      <c r="E24" s="650"/>
      <c r="F24" s="651" t="s">
        <v>569</v>
      </c>
      <c r="G24" s="651"/>
      <c r="H24" s="651"/>
      <c r="I24" s="651"/>
      <c r="J24" s="15">
        <v>7000</v>
      </c>
      <c r="K24" s="66" t="s">
        <v>1002</v>
      </c>
      <c r="L24" s="36"/>
      <c r="M24" s="221" t="s">
        <v>425</v>
      </c>
      <c r="N24" s="660" t="s">
        <v>570</v>
      </c>
      <c r="O24" s="660"/>
      <c r="P24" s="660"/>
    </row>
    <row r="25" spans="1:16" ht="15" customHeight="1">
      <c r="A25" s="59" t="s">
        <v>70</v>
      </c>
      <c r="B25" s="706" t="s">
        <v>164</v>
      </c>
      <c r="C25" s="706"/>
      <c r="D25" s="762" t="s">
        <v>63</v>
      </c>
      <c r="E25" s="763"/>
      <c r="F25" s="707" t="s">
        <v>286</v>
      </c>
      <c r="G25" s="707"/>
      <c r="H25" s="707"/>
      <c r="I25" s="707"/>
      <c r="J25" s="78">
        <v>5000</v>
      </c>
      <c r="K25" s="66" t="s">
        <v>1005</v>
      </c>
      <c r="L25" s="43"/>
      <c r="M25" s="97" t="s">
        <v>425</v>
      </c>
      <c r="N25" s="708" t="s">
        <v>369</v>
      </c>
      <c r="O25" s="708"/>
      <c r="P25" s="708"/>
    </row>
    <row r="26" spans="1:16" ht="26.1" customHeight="1">
      <c r="A26" s="275" t="s">
        <v>985</v>
      </c>
    </row>
    <row r="27" spans="1:16" ht="18.75" customHeight="1">
      <c r="A27" s="31" t="s">
        <v>541</v>
      </c>
      <c r="I27" s="2"/>
    </row>
    <row r="28" spans="1:16" ht="18.75" customHeight="1">
      <c r="A28" s="117" t="s">
        <v>398</v>
      </c>
      <c r="I28" s="2"/>
    </row>
    <row r="29" spans="1:16" ht="15" customHeight="1">
      <c r="A29" s="49" t="s">
        <v>366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</row>
    <row r="30" spans="1:16" ht="15" customHeight="1">
      <c r="A30" s="1078" t="s">
        <v>2</v>
      </c>
      <c r="B30" s="1415" t="s">
        <v>3</v>
      </c>
      <c r="C30" s="1415"/>
      <c r="D30" s="1079" t="s">
        <v>4</v>
      </c>
      <c r="E30" s="1079"/>
      <c r="F30" s="1415" t="s">
        <v>5</v>
      </c>
      <c r="G30" s="1415"/>
      <c r="H30" s="1415"/>
      <c r="I30" s="1415"/>
      <c r="J30" s="1079" t="s">
        <v>103</v>
      </c>
      <c r="K30" s="1376" t="s">
        <v>6</v>
      </c>
      <c r="L30" s="1376" t="s">
        <v>7</v>
      </c>
      <c r="M30" s="185" t="s">
        <v>407</v>
      </c>
      <c r="N30" s="1416" t="s">
        <v>8</v>
      </c>
      <c r="O30" s="1417"/>
      <c r="P30" s="1418"/>
    </row>
    <row r="31" spans="1:16" ht="15" customHeight="1">
      <c r="A31" s="1079"/>
      <c r="B31" s="1415"/>
      <c r="C31" s="1415"/>
      <c r="D31" s="1079"/>
      <c r="E31" s="1079"/>
      <c r="F31" s="1415"/>
      <c r="G31" s="1415"/>
      <c r="H31" s="1415"/>
      <c r="I31" s="1415"/>
      <c r="J31" s="1079"/>
      <c r="K31" s="1376"/>
      <c r="L31" s="1376"/>
      <c r="M31" s="186" t="s">
        <v>410</v>
      </c>
      <c r="N31" s="1416"/>
      <c r="O31" s="1417"/>
      <c r="P31" s="1418"/>
    </row>
    <row r="32" spans="1:16" ht="15" customHeight="1">
      <c r="A32" s="1399" t="s">
        <v>718</v>
      </c>
      <c r="B32" s="648" t="s">
        <v>199</v>
      </c>
      <c r="C32" s="648"/>
      <c r="D32" s="648" t="s">
        <v>17</v>
      </c>
      <c r="E32" s="648"/>
      <c r="F32" s="649" t="s">
        <v>396</v>
      </c>
      <c r="G32" s="649"/>
      <c r="H32" s="649"/>
      <c r="I32" s="649"/>
      <c r="J32" s="8">
        <v>3000</v>
      </c>
      <c r="K32" s="1217" t="s">
        <v>545</v>
      </c>
      <c r="L32" s="702" t="s">
        <v>403</v>
      </c>
      <c r="M32" s="913"/>
      <c r="N32" s="1401" t="s">
        <v>546</v>
      </c>
      <c r="O32" s="1401"/>
      <c r="P32" s="1401"/>
    </row>
    <row r="33" spans="1:16" ht="15" customHeight="1">
      <c r="A33" s="1400"/>
      <c r="B33" s="648" t="s">
        <v>202</v>
      </c>
      <c r="C33" s="648"/>
      <c r="D33" s="648" t="s">
        <v>17</v>
      </c>
      <c r="E33" s="648"/>
      <c r="F33" s="649" t="s">
        <v>388</v>
      </c>
      <c r="G33" s="649"/>
      <c r="H33" s="649"/>
      <c r="I33" s="649"/>
      <c r="J33" s="8">
        <v>3000</v>
      </c>
      <c r="K33" s="1218"/>
      <c r="L33" s="691"/>
      <c r="M33" s="914"/>
      <c r="N33" s="1401"/>
      <c r="O33" s="1401"/>
      <c r="P33" s="1401"/>
    </row>
    <row r="34" spans="1:16" ht="15" customHeight="1">
      <c r="A34" s="1399" t="s">
        <v>295</v>
      </c>
      <c r="B34" s="648" t="s">
        <v>35</v>
      </c>
      <c r="C34" s="648"/>
      <c r="D34" s="648" t="s">
        <v>11</v>
      </c>
      <c r="E34" s="648"/>
      <c r="F34" s="1069" t="s">
        <v>36</v>
      </c>
      <c r="G34" s="1069"/>
      <c r="H34" s="1069"/>
      <c r="I34" s="1069"/>
      <c r="J34" s="8">
        <v>900</v>
      </c>
      <c r="K34" s="1394"/>
      <c r="L34" s="1396"/>
      <c r="M34" s="1422"/>
      <c r="N34" s="1401" t="s">
        <v>38</v>
      </c>
      <c r="O34" s="1401"/>
      <c r="P34" s="1401"/>
    </row>
    <row r="35" spans="1:16" ht="15" customHeight="1">
      <c r="A35" s="1400"/>
      <c r="B35" s="648" t="s">
        <v>304</v>
      </c>
      <c r="C35" s="648"/>
      <c r="D35" s="648" t="s">
        <v>11</v>
      </c>
      <c r="E35" s="648"/>
      <c r="F35" s="1069" t="s">
        <v>393</v>
      </c>
      <c r="G35" s="1069"/>
      <c r="H35" s="1069"/>
      <c r="I35" s="1069"/>
      <c r="J35" s="8">
        <v>900</v>
      </c>
      <c r="K35" s="1395"/>
      <c r="L35" s="1397"/>
      <c r="M35" s="1423"/>
      <c r="N35" s="1401"/>
      <c r="O35" s="1401"/>
      <c r="P35" s="1401"/>
    </row>
    <row r="36" spans="1:16" ht="15" customHeight="1">
      <c r="A36" s="1399" t="s">
        <v>392</v>
      </c>
      <c r="B36" s="648" t="s">
        <v>199</v>
      </c>
      <c r="C36" s="648"/>
      <c r="D36" s="648" t="s">
        <v>17</v>
      </c>
      <c r="E36" s="648"/>
      <c r="F36" s="649" t="s">
        <v>391</v>
      </c>
      <c r="G36" s="649"/>
      <c r="H36" s="649"/>
      <c r="I36" s="649"/>
      <c r="J36" s="8">
        <v>3000</v>
      </c>
      <c r="K36" s="1217" t="s">
        <v>547</v>
      </c>
      <c r="L36" s="702" t="s">
        <v>37</v>
      </c>
      <c r="M36" s="913"/>
      <c r="N36" s="1401" t="s">
        <v>548</v>
      </c>
      <c r="O36" s="1401"/>
      <c r="P36" s="1401"/>
    </row>
    <row r="37" spans="1:16" ht="15" customHeight="1">
      <c r="A37" s="1400"/>
      <c r="B37" s="648" t="s">
        <v>202</v>
      </c>
      <c r="C37" s="648"/>
      <c r="D37" s="648" t="s">
        <v>17</v>
      </c>
      <c r="E37" s="648"/>
      <c r="F37" s="649" t="s">
        <v>388</v>
      </c>
      <c r="G37" s="649"/>
      <c r="H37" s="649"/>
      <c r="I37" s="649"/>
      <c r="J37" s="8">
        <v>3000</v>
      </c>
      <c r="K37" s="1218"/>
      <c r="L37" s="691"/>
      <c r="M37" s="914"/>
      <c r="N37" s="1401"/>
      <c r="O37" s="1401"/>
      <c r="P37" s="1401"/>
    </row>
    <row r="38" spans="1:16" ht="15" customHeight="1">
      <c r="A38" s="1402" t="s">
        <v>27</v>
      </c>
      <c r="B38" s="648" t="s">
        <v>10</v>
      </c>
      <c r="C38" s="648"/>
      <c r="D38" s="648" t="s">
        <v>17</v>
      </c>
      <c r="E38" s="648"/>
      <c r="F38" s="1398" t="s">
        <v>542</v>
      </c>
      <c r="G38" s="1398"/>
      <c r="H38" s="1398"/>
      <c r="I38" s="1398"/>
      <c r="J38" s="8">
        <v>703</v>
      </c>
      <c r="K38" s="1217" t="s">
        <v>543</v>
      </c>
      <c r="L38" s="1027" t="s">
        <v>544</v>
      </c>
      <c r="M38" s="913"/>
      <c r="N38" s="1401" t="s">
        <v>68</v>
      </c>
      <c r="O38" s="1401"/>
      <c r="P38" s="1401"/>
    </row>
    <row r="39" spans="1:16" ht="15" customHeight="1">
      <c r="A39" s="1402"/>
      <c r="B39" s="1052" t="s">
        <v>13</v>
      </c>
      <c r="C39" s="1053"/>
      <c r="D39" s="1052" t="s">
        <v>11</v>
      </c>
      <c r="E39" s="1053"/>
      <c r="F39" s="1049" t="s">
        <v>377</v>
      </c>
      <c r="G39" s="1050"/>
      <c r="H39" s="1050"/>
      <c r="I39" s="1051"/>
      <c r="J39" s="8">
        <v>704</v>
      </c>
      <c r="K39" s="1218"/>
      <c r="L39" s="1028"/>
      <c r="M39" s="914"/>
      <c r="N39" s="1401"/>
      <c r="O39" s="1401"/>
      <c r="P39" s="1401"/>
    </row>
    <row r="40" spans="1:16" ht="15" customHeight="1">
      <c r="A40" s="1403" t="s">
        <v>384</v>
      </c>
      <c r="B40" s="648" t="s">
        <v>10</v>
      </c>
      <c r="C40" s="648"/>
      <c r="D40" s="648" t="s">
        <v>11</v>
      </c>
      <c r="E40" s="648"/>
      <c r="F40" s="1069" t="s">
        <v>383</v>
      </c>
      <c r="G40" s="1069"/>
      <c r="H40" s="1069"/>
      <c r="I40" s="1069"/>
      <c r="J40" s="8">
        <v>900</v>
      </c>
      <c r="K40" s="1394"/>
      <c r="L40" s="1396"/>
      <c r="M40" s="1422"/>
      <c r="N40" s="1401" t="s">
        <v>12</v>
      </c>
      <c r="O40" s="1401"/>
      <c r="P40" s="1401"/>
    </row>
    <row r="41" spans="1:16" ht="15" customHeight="1">
      <c r="A41" s="1404"/>
      <c r="B41" s="1052" t="s">
        <v>13</v>
      </c>
      <c r="C41" s="1053"/>
      <c r="D41" s="648" t="s">
        <v>11</v>
      </c>
      <c r="E41" s="648"/>
      <c r="F41" s="1069" t="s">
        <v>377</v>
      </c>
      <c r="G41" s="1069"/>
      <c r="H41" s="1069"/>
      <c r="I41" s="1069"/>
      <c r="J41" s="8">
        <v>900</v>
      </c>
      <c r="K41" s="1395"/>
      <c r="L41" s="1397"/>
      <c r="M41" s="1423"/>
      <c r="N41" s="1401"/>
      <c r="O41" s="1401"/>
      <c r="P41" s="1401"/>
    </row>
    <row r="42" spans="1:16" ht="15" customHeight="1">
      <c r="A42" s="1402" t="s">
        <v>550</v>
      </c>
      <c r="B42" s="1047" t="s">
        <v>551</v>
      </c>
      <c r="C42" s="1047"/>
      <c r="D42" s="1047" t="s">
        <v>11</v>
      </c>
      <c r="E42" s="1047"/>
      <c r="F42" s="1046" t="s">
        <v>552</v>
      </c>
      <c r="G42" s="1046"/>
      <c r="H42" s="1046"/>
      <c r="I42" s="1046"/>
      <c r="J42" s="25">
        <v>3000</v>
      </c>
      <c r="K42" s="1407" t="s">
        <v>553</v>
      </c>
      <c r="L42" s="1405"/>
      <c r="M42" s="1420"/>
      <c r="N42" s="1401" t="s">
        <v>719</v>
      </c>
      <c r="O42" s="1401"/>
      <c r="P42" s="1401"/>
    </row>
    <row r="43" spans="1:16" ht="15" customHeight="1">
      <c r="A43" s="1402"/>
      <c r="B43" s="1047" t="s">
        <v>131</v>
      </c>
      <c r="C43" s="1047"/>
      <c r="D43" s="1047" t="s">
        <v>11</v>
      </c>
      <c r="E43" s="1047"/>
      <c r="F43" s="1096" t="s">
        <v>555</v>
      </c>
      <c r="G43" s="1096"/>
      <c r="H43" s="1096"/>
      <c r="I43" s="1096"/>
      <c r="J43" s="25"/>
      <c r="K43" s="1408"/>
      <c r="L43" s="1406"/>
      <c r="M43" s="1421"/>
      <c r="N43" s="1401"/>
      <c r="O43" s="1401"/>
      <c r="P43" s="1401"/>
    </row>
    <row r="44" spans="1:16" ht="15" customHeight="1">
      <c r="A44" s="161" t="s">
        <v>248</v>
      </c>
      <c r="B44" s="1047" t="s">
        <v>164</v>
      </c>
      <c r="C44" s="1047"/>
      <c r="D44" s="1047" t="s">
        <v>63</v>
      </c>
      <c r="E44" s="1047"/>
      <c r="F44" s="1046" t="s">
        <v>286</v>
      </c>
      <c r="G44" s="1046"/>
      <c r="H44" s="1046"/>
      <c r="I44" s="1046"/>
      <c r="J44" s="15">
        <v>1000</v>
      </c>
      <c r="K44" s="155"/>
      <c r="L44" s="156"/>
      <c r="M44" s="97" t="s">
        <v>425</v>
      </c>
      <c r="N44" s="1401" t="s">
        <v>369</v>
      </c>
      <c r="O44" s="1401"/>
      <c r="P44" s="1401"/>
    </row>
    <row r="45" spans="1:16" ht="15" customHeight="1">
      <c r="A45" s="161" t="s">
        <v>559</v>
      </c>
      <c r="B45" s="1047" t="s">
        <v>178</v>
      </c>
      <c r="C45" s="1047"/>
      <c r="D45" s="1047" t="s">
        <v>179</v>
      </c>
      <c r="E45" s="1047"/>
      <c r="F45" s="1046" t="s">
        <v>556</v>
      </c>
      <c r="G45" s="1046"/>
      <c r="H45" s="1046"/>
      <c r="I45" s="1046"/>
      <c r="J45" s="25">
        <v>1000</v>
      </c>
      <c r="K45" s="155"/>
      <c r="L45" s="36" t="s">
        <v>557</v>
      </c>
      <c r="M45" s="97" t="s">
        <v>436</v>
      </c>
      <c r="N45" s="1401" t="s">
        <v>720</v>
      </c>
      <c r="O45" s="1401"/>
      <c r="P45" s="1401"/>
    </row>
    <row r="46" spans="1:16" ht="15" customHeight="1" thickBot="1">
      <c r="A46" s="162" t="s">
        <v>256</v>
      </c>
      <c r="B46" s="1411" t="s">
        <v>147</v>
      </c>
      <c r="C46" s="1411"/>
      <c r="D46" s="1411" t="s">
        <v>560</v>
      </c>
      <c r="E46" s="1411"/>
      <c r="F46" s="1412" t="s">
        <v>561</v>
      </c>
      <c r="G46" s="1412"/>
      <c r="H46" s="1412"/>
      <c r="I46" s="1412"/>
      <c r="J46" s="79">
        <v>7000</v>
      </c>
      <c r="K46" s="157" t="s">
        <v>562</v>
      </c>
      <c r="L46" s="158"/>
      <c r="M46" s="97" t="s">
        <v>470</v>
      </c>
      <c r="N46" s="1413" t="s">
        <v>563</v>
      </c>
      <c r="O46" s="1413"/>
      <c r="P46" s="1413"/>
    </row>
    <row r="47" spans="1:16" ht="15" customHeight="1" thickTop="1">
      <c r="A47" s="1400" t="s">
        <v>66</v>
      </c>
      <c r="B47" s="1048" t="s">
        <v>10</v>
      </c>
      <c r="C47" s="1048"/>
      <c r="D47" s="1048" t="s">
        <v>17</v>
      </c>
      <c r="E47" s="1048"/>
      <c r="F47" s="1398" t="s">
        <v>564</v>
      </c>
      <c r="G47" s="1398"/>
      <c r="H47" s="1398"/>
      <c r="I47" s="1398"/>
      <c r="J47" s="14">
        <v>1000</v>
      </c>
      <c r="K47" s="1213" t="s">
        <v>565</v>
      </c>
      <c r="L47" s="1027" t="s">
        <v>566</v>
      </c>
      <c r="M47" s="1419"/>
      <c r="N47" s="1410" t="s">
        <v>68</v>
      </c>
      <c r="O47" s="1410"/>
      <c r="P47" s="1410"/>
    </row>
    <row r="48" spans="1:16" ht="15" customHeight="1">
      <c r="A48" s="1402"/>
      <c r="B48" s="648" t="s">
        <v>13</v>
      </c>
      <c r="C48" s="648"/>
      <c r="D48" s="648" t="s">
        <v>17</v>
      </c>
      <c r="E48" s="648"/>
      <c r="F48" s="649" t="s">
        <v>717</v>
      </c>
      <c r="G48" s="649"/>
      <c r="H48" s="649"/>
      <c r="I48" s="649"/>
      <c r="J48" s="8">
        <v>702</v>
      </c>
      <c r="K48" s="1218"/>
      <c r="L48" s="1028"/>
      <c r="M48" s="914"/>
      <c r="N48" s="1401"/>
      <c r="O48" s="1401"/>
      <c r="P48" s="1401"/>
    </row>
    <row r="49" spans="1:16" ht="15" customHeight="1">
      <c r="A49" s="161" t="s">
        <v>130</v>
      </c>
      <c r="B49" s="1047" t="s">
        <v>147</v>
      </c>
      <c r="C49" s="1047"/>
      <c r="D49" s="1047" t="s">
        <v>560</v>
      </c>
      <c r="E49" s="1047"/>
      <c r="F49" s="1046" t="s">
        <v>561</v>
      </c>
      <c r="G49" s="1046"/>
      <c r="H49" s="1046"/>
      <c r="I49" s="1046"/>
      <c r="J49" s="25">
        <v>5000</v>
      </c>
      <c r="K49" s="155" t="s">
        <v>562</v>
      </c>
      <c r="L49" s="156"/>
      <c r="M49" s="97" t="s">
        <v>470</v>
      </c>
      <c r="N49" s="1401" t="s">
        <v>563</v>
      </c>
      <c r="O49" s="1401"/>
      <c r="P49" s="1401"/>
    </row>
    <row r="50" spans="1:16" ht="15" customHeight="1">
      <c r="A50" s="161" t="s">
        <v>567</v>
      </c>
      <c r="B50" s="1414" t="s">
        <v>568</v>
      </c>
      <c r="C50" s="1414"/>
      <c r="D50" s="1414" t="s">
        <v>373</v>
      </c>
      <c r="E50" s="1414"/>
      <c r="F50" s="1409" t="s">
        <v>569</v>
      </c>
      <c r="G50" s="1409"/>
      <c r="H50" s="1409"/>
      <c r="I50" s="1409"/>
      <c r="J50" s="15">
        <v>7000</v>
      </c>
      <c r="K50" s="155" t="s">
        <v>562</v>
      </c>
      <c r="L50" s="156"/>
      <c r="M50" s="221" t="s">
        <v>425</v>
      </c>
      <c r="N50" s="1401" t="s">
        <v>570</v>
      </c>
      <c r="O50" s="1401"/>
      <c r="P50" s="1401"/>
    </row>
    <row r="51" spans="1:16" ht="15" customHeight="1">
      <c r="A51" s="163" t="s">
        <v>99</v>
      </c>
      <c r="B51" s="1047" t="s">
        <v>164</v>
      </c>
      <c r="C51" s="1047"/>
      <c r="D51" s="1070" t="s">
        <v>63</v>
      </c>
      <c r="E51" s="1071"/>
      <c r="F51" s="1409" t="s">
        <v>286</v>
      </c>
      <c r="G51" s="1409"/>
      <c r="H51" s="1409"/>
      <c r="I51" s="1409"/>
      <c r="J51" s="78">
        <v>5000</v>
      </c>
      <c r="K51" s="159"/>
      <c r="L51" s="160"/>
      <c r="M51" s="97" t="s">
        <v>425</v>
      </c>
      <c r="N51" s="1410" t="s">
        <v>369</v>
      </c>
      <c r="O51" s="1410"/>
      <c r="P51" s="1410"/>
    </row>
    <row r="52" spans="1:16" ht="15" customHeight="1"/>
    <row r="53" spans="1:16" ht="15" customHeight="1"/>
    <row r="54" spans="1:16" ht="15" customHeight="1"/>
    <row r="80" ht="13.5" customHeight="1"/>
    <row r="81" ht="13.5" customHeight="1"/>
  </sheetData>
  <mergeCells count="218">
    <mergeCell ref="M47:M48"/>
    <mergeCell ref="M42:M43"/>
    <mergeCell ref="M21:M22"/>
    <mergeCell ref="M10:M11"/>
    <mergeCell ref="M8:M9"/>
    <mergeCell ref="M6:M7"/>
    <mergeCell ref="M40:M41"/>
    <mergeCell ref="M38:M39"/>
    <mergeCell ref="M36:M37"/>
    <mergeCell ref="M34:M35"/>
    <mergeCell ref="M32:M33"/>
    <mergeCell ref="N49:P49"/>
    <mergeCell ref="B50:C50"/>
    <mergeCell ref="D50:E50"/>
    <mergeCell ref="F50:I50"/>
    <mergeCell ref="K47:K48"/>
    <mergeCell ref="L47:L48"/>
    <mergeCell ref="A30:A31"/>
    <mergeCell ref="B30:C31"/>
    <mergeCell ref="D30:E31"/>
    <mergeCell ref="F30:I31"/>
    <mergeCell ref="J30:J31"/>
    <mergeCell ref="K30:K31"/>
    <mergeCell ref="L30:L31"/>
    <mergeCell ref="N30:P31"/>
    <mergeCell ref="A32:A33"/>
    <mergeCell ref="B32:C32"/>
    <mergeCell ref="D32:E32"/>
    <mergeCell ref="F32:I32"/>
    <mergeCell ref="N32:P33"/>
    <mergeCell ref="B33:C33"/>
    <mergeCell ref="D33:E33"/>
    <mergeCell ref="F33:I33"/>
    <mergeCell ref="K32:K33"/>
    <mergeCell ref="L32:L33"/>
    <mergeCell ref="B51:C51"/>
    <mergeCell ref="D51:E51"/>
    <mergeCell ref="F51:I51"/>
    <mergeCell ref="A47:A48"/>
    <mergeCell ref="N47:P48"/>
    <mergeCell ref="N50:P50"/>
    <mergeCell ref="N51:P51"/>
    <mergeCell ref="B45:C45"/>
    <mergeCell ref="D45:E45"/>
    <mergeCell ref="F45:I45"/>
    <mergeCell ref="N45:P45"/>
    <mergeCell ref="B46:C46"/>
    <mergeCell ref="D46:E46"/>
    <mergeCell ref="F46:I46"/>
    <mergeCell ref="B47:C47"/>
    <mergeCell ref="D47:E47"/>
    <mergeCell ref="F47:I47"/>
    <mergeCell ref="N46:P46"/>
    <mergeCell ref="B48:C48"/>
    <mergeCell ref="D48:E48"/>
    <mergeCell ref="F48:I48"/>
    <mergeCell ref="B49:C49"/>
    <mergeCell ref="D49:E49"/>
    <mergeCell ref="F49:I49"/>
    <mergeCell ref="N44:P44"/>
    <mergeCell ref="L42:L43"/>
    <mergeCell ref="K42:K43"/>
    <mergeCell ref="B41:C41"/>
    <mergeCell ref="D41:E41"/>
    <mergeCell ref="F41:I41"/>
    <mergeCell ref="K38:K39"/>
    <mergeCell ref="L38:L39"/>
    <mergeCell ref="B42:C42"/>
    <mergeCell ref="D42:E42"/>
    <mergeCell ref="F42:I42"/>
    <mergeCell ref="N40:P41"/>
    <mergeCell ref="B39:C39"/>
    <mergeCell ref="D39:E39"/>
    <mergeCell ref="F39:I39"/>
    <mergeCell ref="B43:C43"/>
    <mergeCell ref="D43:E43"/>
    <mergeCell ref="F43:I43"/>
    <mergeCell ref="K40:K41"/>
    <mergeCell ref="L40:L41"/>
    <mergeCell ref="B44:C44"/>
    <mergeCell ref="D44:E44"/>
    <mergeCell ref="F44:I44"/>
    <mergeCell ref="B40:C40"/>
    <mergeCell ref="D40:E40"/>
    <mergeCell ref="F40:I40"/>
    <mergeCell ref="A38:A39"/>
    <mergeCell ref="N38:P39"/>
    <mergeCell ref="B37:C37"/>
    <mergeCell ref="D37:E37"/>
    <mergeCell ref="F37:I37"/>
    <mergeCell ref="N42:P43"/>
    <mergeCell ref="A42:A43"/>
    <mergeCell ref="A40:A41"/>
    <mergeCell ref="K34:K35"/>
    <mergeCell ref="L34:L35"/>
    <mergeCell ref="B38:C38"/>
    <mergeCell ref="D38:E38"/>
    <mergeCell ref="F38:I38"/>
    <mergeCell ref="A36:A37"/>
    <mergeCell ref="N36:P37"/>
    <mergeCell ref="B35:C35"/>
    <mergeCell ref="D35:E35"/>
    <mergeCell ref="F35:I35"/>
    <mergeCell ref="B36:C36"/>
    <mergeCell ref="D36:E36"/>
    <mergeCell ref="F36:I36"/>
    <mergeCell ref="A34:A35"/>
    <mergeCell ref="B34:C34"/>
    <mergeCell ref="D34:E34"/>
    <mergeCell ref="F34:I34"/>
    <mergeCell ref="N34:P35"/>
    <mergeCell ref="K36:K37"/>
    <mergeCell ref="L36:L37"/>
    <mergeCell ref="L4:L5"/>
    <mergeCell ref="N4:P5"/>
    <mergeCell ref="A6:A7"/>
    <mergeCell ref="B6:C6"/>
    <mergeCell ref="D6:E6"/>
    <mergeCell ref="F6:I6"/>
    <mergeCell ref="K6:K7"/>
    <mergeCell ref="L6:L7"/>
    <mergeCell ref="N6:P7"/>
    <mergeCell ref="B7:C7"/>
    <mergeCell ref="A4:A5"/>
    <mergeCell ref="B4:C5"/>
    <mergeCell ref="D4:E5"/>
    <mergeCell ref="F4:I5"/>
    <mergeCell ref="J4:J5"/>
    <mergeCell ref="K4:K5"/>
    <mergeCell ref="K8:K9"/>
    <mergeCell ref="L8:L9"/>
    <mergeCell ref="N8:P9"/>
    <mergeCell ref="B9:C9"/>
    <mergeCell ref="D9:E9"/>
    <mergeCell ref="F9:I9"/>
    <mergeCell ref="D7:E7"/>
    <mergeCell ref="F7:I7"/>
    <mergeCell ref="A8:A9"/>
    <mergeCell ref="B8:C8"/>
    <mergeCell ref="D8:E8"/>
    <mergeCell ref="F8:I8"/>
    <mergeCell ref="A14:A15"/>
    <mergeCell ref="B14:C14"/>
    <mergeCell ref="D14:E14"/>
    <mergeCell ref="F14:I14"/>
    <mergeCell ref="K14:K15"/>
    <mergeCell ref="L14:L15"/>
    <mergeCell ref="N10:P11"/>
    <mergeCell ref="B11:C11"/>
    <mergeCell ref="D11:E11"/>
    <mergeCell ref="F11:I11"/>
    <mergeCell ref="A12:A13"/>
    <mergeCell ref="B12:C12"/>
    <mergeCell ref="D12:E12"/>
    <mergeCell ref="F12:I12"/>
    <mergeCell ref="K12:K13"/>
    <mergeCell ref="L12:L13"/>
    <mergeCell ref="A10:A11"/>
    <mergeCell ref="B10:C10"/>
    <mergeCell ref="D10:E10"/>
    <mergeCell ref="F10:I10"/>
    <mergeCell ref="K10:K11"/>
    <mergeCell ref="L10:L11"/>
    <mergeCell ref="N14:P15"/>
    <mergeCell ref="B15:C15"/>
    <mergeCell ref="D15:E15"/>
    <mergeCell ref="F15:I15"/>
    <mergeCell ref="B16:C16"/>
    <mergeCell ref="D16:E16"/>
    <mergeCell ref="F16:I16"/>
    <mergeCell ref="N16:P16"/>
    <mergeCell ref="N12:P13"/>
    <mergeCell ref="B13:C13"/>
    <mergeCell ref="D13:E13"/>
    <mergeCell ref="F13:I13"/>
    <mergeCell ref="M14:M15"/>
    <mergeCell ref="M12:M13"/>
    <mergeCell ref="N17:P18"/>
    <mergeCell ref="B18:C18"/>
    <mergeCell ref="D18:E18"/>
    <mergeCell ref="F18:I18"/>
    <mergeCell ref="B19:C19"/>
    <mergeCell ref="D19:E19"/>
    <mergeCell ref="F19:I19"/>
    <mergeCell ref="N19:P19"/>
    <mergeCell ref="A17:A18"/>
    <mergeCell ref="B17:C17"/>
    <mergeCell ref="D17:E17"/>
    <mergeCell ref="F17:I17"/>
    <mergeCell ref="K17:K18"/>
    <mergeCell ref="L17:L18"/>
    <mergeCell ref="M17:M18"/>
    <mergeCell ref="B20:C20"/>
    <mergeCell ref="D20:E20"/>
    <mergeCell ref="F20:I20"/>
    <mergeCell ref="N20:P20"/>
    <mergeCell ref="A21:A22"/>
    <mergeCell ref="B21:C21"/>
    <mergeCell ref="D21:E21"/>
    <mergeCell ref="F21:I21"/>
    <mergeCell ref="K21:K22"/>
    <mergeCell ref="L21:L22"/>
    <mergeCell ref="B24:C24"/>
    <mergeCell ref="D24:E24"/>
    <mergeCell ref="F24:I24"/>
    <mergeCell ref="N24:P24"/>
    <mergeCell ref="B25:C25"/>
    <mergeCell ref="D25:E25"/>
    <mergeCell ref="F25:I25"/>
    <mergeCell ref="N25:P25"/>
    <mergeCell ref="N21:P22"/>
    <mergeCell ref="B22:C22"/>
    <mergeCell ref="D22:E22"/>
    <mergeCell ref="F22:I22"/>
    <mergeCell ref="B23:C23"/>
    <mergeCell ref="D23:E23"/>
    <mergeCell ref="F23:I23"/>
    <mergeCell ref="N23:P23"/>
  </mergeCells>
  <phoneticPr fontId="11"/>
  <pageMargins left="0.70866141732283472" right="0.70866141732283472" top="0.74803149606299213" bottom="0.74803149606299213" header="0.31496062992125984" footer="0.31496062992125984"/>
  <pageSetup paperSize="9" scale="79" orientation="landscape" r:id="rId1"/>
  <rowBreaks count="1" manualBreakCount="1">
    <brk id="26" max="16383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9D1AB-6956-4D05-85CB-79D528521C74}">
  <dimension ref="A1:U168"/>
  <sheetViews>
    <sheetView view="pageBreakPreview" topLeftCell="A130" zoomScale="115" zoomScaleNormal="100" zoomScaleSheetLayoutView="115" workbookViewId="0">
      <selection activeCell="J164" sqref="J164"/>
    </sheetView>
  </sheetViews>
  <sheetFormatPr defaultColWidth="9" defaultRowHeight="18"/>
  <cols>
    <col min="1" max="1" width="6.59765625" style="1" customWidth="1"/>
    <col min="2" max="4" width="7.59765625" style="1" customWidth="1"/>
    <col min="5" max="5" width="4.19921875" style="1" customWidth="1"/>
    <col min="6" max="8" width="7.59765625" style="1" customWidth="1"/>
    <col min="9" max="9" width="3.8984375" style="1" customWidth="1"/>
    <col min="10" max="10" width="20.59765625" style="1" customWidth="1"/>
    <col min="11" max="11" width="27.69921875" style="1" customWidth="1"/>
    <col min="12" max="12" width="7.59765625" style="1" customWidth="1"/>
    <col min="13" max="13" width="4" style="1" hidden="1" customWidth="1"/>
    <col min="14" max="14" width="5" style="1" hidden="1" customWidth="1"/>
    <col min="15" max="15" width="5.5" style="1" hidden="1" customWidth="1"/>
    <col min="16" max="16" width="6.69921875" style="1" hidden="1" customWidth="1"/>
    <col min="17" max="17" width="3" style="1" hidden="1" customWidth="1"/>
    <col min="18" max="18" width="5.69921875" style="1" hidden="1" customWidth="1"/>
    <col min="19" max="21" width="7.59765625" style="1" customWidth="1"/>
    <col min="22" max="23" width="9" style="1"/>
    <col min="24" max="24" width="10" style="1" customWidth="1"/>
    <col min="25" max="16384" width="9" style="1"/>
  </cols>
  <sheetData>
    <row r="1" spans="1:21" ht="18.75" customHeight="1">
      <c r="A1" s="215" t="s">
        <v>780</v>
      </c>
    </row>
    <row r="2" spans="1:21" ht="18.75" customHeight="1">
      <c r="A2" s="243" t="s">
        <v>806</v>
      </c>
      <c r="L2" s="2"/>
    </row>
    <row r="3" spans="1:21" ht="15" customHeight="1">
      <c r="A3" s="49" t="s">
        <v>366</v>
      </c>
    </row>
    <row r="4" spans="1:21" ht="15" customHeight="1">
      <c r="A4" s="710" t="s">
        <v>2</v>
      </c>
      <c r="B4" s="712" t="s">
        <v>3</v>
      </c>
      <c r="C4" s="712"/>
      <c r="D4" s="650" t="s">
        <v>4</v>
      </c>
      <c r="E4" s="650"/>
      <c r="F4" s="712" t="s">
        <v>5</v>
      </c>
      <c r="G4" s="712"/>
      <c r="H4" s="712"/>
      <c r="I4" s="712"/>
      <c r="J4" s="713" t="s">
        <v>491</v>
      </c>
      <c r="K4" s="715" t="s">
        <v>7</v>
      </c>
      <c r="L4" s="185" t="s">
        <v>407</v>
      </c>
      <c r="M4" s="696" t="s">
        <v>408</v>
      </c>
      <c r="N4" s="1425" t="s">
        <v>409</v>
      </c>
      <c r="O4" s="1261" t="s">
        <v>614</v>
      </c>
      <c r="P4" s="1426" t="s">
        <v>619</v>
      </c>
      <c r="Q4" s="1426" t="s">
        <v>620</v>
      </c>
      <c r="R4" s="1428"/>
      <c r="S4" s="674" t="s">
        <v>8</v>
      </c>
      <c r="T4" s="675"/>
      <c r="U4" s="676"/>
    </row>
    <row r="5" spans="1:21" ht="15" customHeight="1">
      <c r="A5" s="711"/>
      <c r="B5" s="712"/>
      <c r="C5" s="712"/>
      <c r="D5" s="650"/>
      <c r="E5" s="650"/>
      <c r="F5" s="712"/>
      <c r="G5" s="712"/>
      <c r="H5" s="712"/>
      <c r="I5" s="712"/>
      <c r="J5" s="714"/>
      <c r="K5" s="715"/>
      <c r="L5" s="186" t="s">
        <v>410</v>
      </c>
      <c r="M5" s="706"/>
      <c r="N5" s="706"/>
      <c r="O5" s="1261"/>
      <c r="P5" s="1427"/>
      <c r="Q5" s="1427"/>
      <c r="R5" s="1429"/>
      <c r="S5" s="674"/>
      <c r="T5" s="675"/>
      <c r="U5" s="676"/>
    </row>
    <row r="6" spans="1:21" ht="15" customHeight="1">
      <c r="A6" s="59" t="s">
        <v>298</v>
      </c>
      <c r="B6" s="706" t="s">
        <v>178</v>
      </c>
      <c r="C6" s="706"/>
      <c r="D6" s="650" t="s">
        <v>240</v>
      </c>
      <c r="E6" s="650"/>
      <c r="F6" s="707" t="s">
        <v>428</v>
      </c>
      <c r="G6" s="707"/>
      <c r="H6" s="707"/>
      <c r="I6" s="707"/>
      <c r="J6" s="23" t="s">
        <v>786</v>
      </c>
      <c r="K6" s="96" t="s">
        <v>709</v>
      </c>
      <c r="L6" s="93" t="s">
        <v>425</v>
      </c>
      <c r="M6" s="25" t="e">
        <f>ROUNDUP(#REF!/(J6*K6),0)</f>
        <v>#REF!</v>
      </c>
      <c r="N6" s="25" t="e">
        <f t="shared" ref="N6:N8" si="0">ROUNDUP(M6*0.2,0)</f>
        <v>#REF!</v>
      </c>
      <c r="O6" s="194"/>
      <c r="P6" s="193" t="e">
        <f>M6+N6-O6</f>
        <v>#REF!</v>
      </c>
      <c r="Q6" s="189" t="e">
        <f t="shared" ref="Q6:Q8" si="1">IF((M6+N6-O6)&lt;=0,0,P6)</f>
        <v>#REF!</v>
      </c>
      <c r="R6" s="191" t="s">
        <v>784</v>
      </c>
      <c r="S6" s="708" t="s">
        <v>813</v>
      </c>
      <c r="T6" s="708"/>
      <c r="U6" s="708"/>
    </row>
    <row r="7" spans="1:21" ht="15" customHeight="1">
      <c r="A7" s="57" t="s">
        <v>239</v>
      </c>
      <c r="B7" s="650" t="s">
        <v>236</v>
      </c>
      <c r="C7" s="650"/>
      <c r="D7" s="650" t="s">
        <v>49</v>
      </c>
      <c r="E7" s="650"/>
      <c r="F7" s="651" t="s">
        <v>804</v>
      </c>
      <c r="G7" s="651"/>
      <c r="H7" s="651"/>
      <c r="I7" s="651"/>
      <c r="J7" s="15"/>
      <c r="K7" s="15"/>
      <c r="L7" s="97" t="s">
        <v>436</v>
      </c>
      <c r="M7" s="25" t="e">
        <f>ROUNDUP(#REF!/(J7*K7),0)</f>
        <v>#REF!</v>
      </c>
      <c r="N7" s="25" t="e">
        <f t="shared" si="0"/>
        <v>#REF!</v>
      </c>
      <c r="O7" s="192"/>
      <c r="P7" s="193" t="e">
        <f>M7+N7-O7</f>
        <v>#REF!</v>
      </c>
      <c r="Q7" s="189" t="e">
        <f t="shared" si="1"/>
        <v>#REF!</v>
      </c>
      <c r="R7" s="191" t="s">
        <v>784</v>
      </c>
      <c r="S7" s="708" t="s">
        <v>785</v>
      </c>
      <c r="T7" s="708"/>
      <c r="U7" s="708"/>
    </row>
    <row r="8" spans="1:21" ht="15" customHeight="1">
      <c r="A8" s="614" t="s">
        <v>242</v>
      </c>
      <c r="B8" s="661" t="s">
        <v>10</v>
      </c>
      <c r="C8" s="661"/>
      <c r="D8" s="700" t="s">
        <v>11</v>
      </c>
      <c r="E8" s="701"/>
      <c r="F8" s="659" t="s">
        <v>415</v>
      </c>
      <c r="G8" s="659"/>
      <c r="H8" s="659"/>
      <c r="I8" s="659"/>
      <c r="J8" s="685" t="s">
        <v>783</v>
      </c>
      <c r="K8" s="687"/>
      <c r="L8" s="88"/>
      <c r="M8" s="8" t="e">
        <f>ROUNDUP(#REF!/(J8*K8),0)</f>
        <v>#REF!</v>
      </c>
      <c r="N8" s="8" t="e">
        <f t="shared" si="0"/>
        <v>#REF!</v>
      </c>
      <c r="O8" s="187"/>
      <c r="P8" s="188" t="e">
        <f>ROUNDUP((M8+N8-O8)/10,0)</f>
        <v>#REF!</v>
      </c>
      <c r="Q8" s="189" t="e">
        <f t="shared" si="1"/>
        <v>#REF!</v>
      </c>
      <c r="R8" s="190" t="s">
        <v>622</v>
      </c>
      <c r="S8" s="660" t="s">
        <v>417</v>
      </c>
      <c r="T8" s="660"/>
      <c r="U8" s="660"/>
    </row>
    <row r="9" spans="1:21" ht="15" customHeight="1">
      <c r="A9" s="616"/>
      <c r="B9" s="700" t="s">
        <v>13</v>
      </c>
      <c r="C9" s="701"/>
      <c r="D9" s="700" t="s">
        <v>11</v>
      </c>
      <c r="E9" s="701"/>
      <c r="F9" s="659" t="s">
        <v>418</v>
      </c>
      <c r="G9" s="659"/>
      <c r="H9" s="659"/>
      <c r="I9" s="659"/>
      <c r="J9" s="686"/>
      <c r="K9" s="726"/>
      <c r="L9" s="88"/>
      <c r="M9" s="8"/>
      <c r="N9" s="8"/>
      <c r="O9" s="187"/>
      <c r="P9" s="188"/>
      <c r="Q9" s="189"/>
      <c r="R9" s="191" t="str">
        <f t="shared" ref="R9" si="2">IF(Q9&gt;0,"個","")</f>
        <v/>
      </c>
      <c r="S9" s="660"/>
      <c r="T9" s="660"/>
      <c r="U9" s="660"/>
    </row>
    <row r="10" spans="1:21" ht="15" customHeight="1">
      <c r="A10" s="614" t="s">
        <v>807</v>
      </c>
      <c r="B10" s="661" t="s">
        <v>10</v>
      </c>
      <c r="C10" s="661"/>
      <c r="D10" s="700" t="s">
        <v>43</v>
      </c>
      <c r="E10" s="701"/>
      <c r="F10" s="653" t="s">
        <v>823</v>
      </c>
      <c r="G10" s="653"/>
      <c r="H10" s="653"/>
      <c r="I10" s="653"/>
      <c r="J10" s="685" t="s">
        <v>781</v>
      </c>
      <c r="K10" s="703" t="s">
        <v>782</v>
      </c>
      <c r="L10" s="88"/>
      <c r="M10" s="8" t="e">
        <f>ROUNDUP(#REF!/(J10*K10),0)</f>
        <v>#REF!</v>
      </c>
      <c r="N10" s="8" t="e">
        <f>ROUNDUP(M10*0.3,0)</f>
        <v>#REF!</v>
      </c>
      <c r="O10" s="187"/>
      <c r="P10" s="188" t="e">
        <f>ROUNDUP((M10+N10-O10)/10,0)</f>
        <v>#REF!</v>
      </c>
      <c r="Q10" s="189" t="e">
        <f t="shared" ref="Q10" si="3">IF((M10+N10-O10)&lt;=0,0,P10)</f>
        <v>#REF!</v>
      </c>
      <c r="R10" s="190" t="s">
        <v>622</v>
      </c>
      <c r="S10" s="660" t="s">
        <v>68</v>
      </c>
      <c r="T10" s="660"/>
      <c r="U10" s="660"/>
    </row>
    <row r="11" spans="1:21" ht="15" customHeight="1">
      <c r="A11" s="616"/>
      <c r="B11" s="700" t="s">
        <v>13</v>
      </c>
      <c r="C11" s="701"/>
      <c r="D11" s="700" t="s">
        <v>11</v>
      </c>
      <c r="E11" s="701"/>
      <c r="F11" s="653" t="s">
        <v>414</v>
      </c>
      <c r="G11" s="653"/>
      <c r="H11" s="653"/>
      <c r="I11" s="653"/>
      <c r="J11" s="686"/>
      <c r="K11" s="673"/>
      <c r="L11" s="88"/>
      <c r="M11" s="8"/>
      <c r="N11" s="8"/>
      <c r="O11" s="187"/>
      <c r="P11" s="188"/>
      <c r="Q11" s="189"/>
      <c r="R11" s="191" t="str">
        <f t="shared" ref="R11" si="4">IF(Q11&gt;0,"個","")</f>
        <v/>
      </c>
      <c r="S11" s="660"/>
      <c r="T11" s="660"/>
      <c r="U11" s="660"/>
    </row>
    <row r="12" spans="1:21" ht="15" customHeight="1">
      <c r="A12" s="614" t="s">
        <v>808</v>
      </c>
      <c r="B12" s="661" t="s">
        <v>35</v>
      </c>
      <c r="C12" s="661"/>
      <c r="D12" s="661" t="s">
        <v>11</v>
      </c>
      <c r="E12" s="661"/>
      <c r="F12" s="699" t="s">
        <v>303</v>
      </c>
      <c r="G12" s="699"/>
      <c r="H12" s="699"/>
      <c r="I12" s="699"/>
      <c r="J12" s="685"/>
      <c r="K12" s="702" t="s">
        <v>37</v>
      </c>
      <c r="L12" s="88"/>
      <c r="M12" s="8" t="e">
        <f>ROUNDUP(#REF!/(J12*K12),0)</f>
        <v>#REF!</v>
      </c>
      <c r="N12" s="8" t="e">
        <f t="shared" ref="N12" si="5">ROUNDUP(M12*0.2,0)</f>
        <v>#REF!</v>
      </c>
      <c r="O12" s="187"/>
      <c r="P12" s="188" t="e">
        <f>ROUNDUP((M12+N12-O12)/10,0)</f>
        <v>#REF!</v>
      </c>
      <c r="Q12" s="189" t="e">
        <f t="shared" ref="Q12" si="6">IF((M12+N12-O12)&lt;=0,0,P12)</f>
        <v>#REF!</v>
      </c>
      <c r="R12" s="190" t="s">
        <v>622</v>
      </c>
      <c r="S12" s="660" t="s">
        <v>38</v>
      </c>
      <c r="T12" s="660"/>
      <c r="U12" s="660"/>
    </row>
    <row r="13" spans="1:21" ht="15" customHeight="1">
      <c r="A13" s="616"/>
      <c r="B13" s="661" t="s">
        <v>304</v>
      </c>
      <c r="C13" s="661"/>
      <c r="D13" s="661" t="s">
        <v>11</v>
      </c>
      <c r="E13" s="661"/>
      <c r="F13" s="699" t="s">
        <v>422</v>
      </c>
      <c r="G13" s="699"/>
      <c r="H13" s="699"/>
      <c r="I13" s="699"/>
      <c r="J13" s="686"/>
      <c r="K13" s="691"/>
      <c r="L13" s="88"/>
      <c r="M13" s="8"/>
      <c r="N13" s="8"/>
      <c r="O13" s="187"/>
      <c r="P13" s="188"/>
      <c r="Q13" s="189"/>
      <c r="R13" s="191" t="str">
        <f t="shared" ref="R13" si="7">IF(Q13&gt;0,"個","")</f>
        <v/>
      </c>
      <c r="S13" s="660"/>
      <c r="T13" s="660"/>
      <c r="U13" s="660"/>
    </row>
    <row r="14" spans="1:21" ht="15" customHeight="1">
      <c r="A14" s="59" t="s">
        <v>549</v>
      </c>
      <c r="B14" s="650" t="s">
        <v>211</v>
      </c>
      <c r="C14" s="650"/>
      <c r="D14" s="650" t="s">
        <v>63</v>
      </c>
      <c r="E14" s="650"/>
      <c r="F14" s="651" t="s">
        <v>788</v>
      </c>
      <c r="G14" s="651"/>
      <c r="H14" s="651"/>
      <c r="I14" s="651"/>
      <c r="J14" s="25"/>
      <c r="K14" s="25"/>
      <c r="L14" s="93" t="s">
        <v>425</v>
      </c>
      <c r="M14" s="25" t="e">
        <f>ROUNDUP(#REF!/(J14*K14),0)</f>
        <v>#REF!</v>
      </c>
      <c r="N14" s="25" t="e">
        <f>ROUNDUP(M14*0.3,0)+2</f>
        <v>#REF!</v>
      </c>
      <c r="O14" s="192"/>
      <c r="P14" s="193" t="e">
        <f>M14+N14-O14</f>
        <v>#REF!</v>
      </c>
      <c r="Q14" s="189" t="e">
        <f t="shared" ref="Q14:Q17" si="8">IF((M14+N14-O14)&lt;=0,0,P14)</f>
        <v>#REF!</v>
      </c>
      <c r="R14" s="191" t="s">
        <v>784</v>
      </c>
      <c r="S14" s="652" t="s">
        <v>789</v>
      </c>
      <c r="T14" s="623"/>
      <c r="U14" s="624"/>
    </row>
    <row r="15" spans="1:21" ht="15" customHeight="1">
      <c r="A15" s="57" t="s">
        <v>434</v>
      </c>
      <c r="B15" s="696" t="s">
        <v>178</v>
      </c>
      <c r="C15" s="696"/>
      <c r="D15" s="696" t="s">
        <v>179</v>
      </c>
      <c r="E15" s="696"/>
      <c r="F15" s="697" t="s">
        <v>515</v>
      </c>
      <c r="G15" s="697"/>
      <c r="H15" s="697"/>
      <c r="I15" s="697"/>
      <c r="J15" s="67" t="s">
        <v>790</v>
      </c>
      <c r="K15" s="67"/>
      <c r="L15" s="97" t="s">
        <v>436</v>
      </c>
      <c r="M15" s="25" t="e">
        <f>ROUNDUP(#REF!/(J15*K15),0)</f>
        <v>#REF!</v>
      </c>
      <c r="N15" s="25" t="e">
        <f>ROUNDUP(M15*0.2,0)+2</f>
        <v>#REF!</v>
      </c>
      <c r="O15" s="195"/>
      <c r="P15" s="193" t="e">
        <f>M15+N15-O15</f>
        <v>#REF!</v>
      </c>
      <c r="Q15" s="189" t="e">
        <f t="shared" si="8"/>
        <v>#REF!</v>
      </c>
      <c r="R15" s="191" t="s">
        <v>784</v>
      </c>
      <c r="S15" s="698" t="s">
        <v>517</v>
      </c>
      <c r="T15" s="698"/>
      <c r="U15" s="698"/>
    </row>
    <row r="16" spans="1:21" ht="15" customHeight="1">
      <c r="A16" s="229" t="s">
        <v>309</v>
      </c>
      <c r="B16" s="650" t="s">
        <v>147</v>
      </c>
      <c r="C16" s="650"/>
      <c r="D16" s="650" t="s">
        <v>49</v>
      </c>
      <c r="E16" s="650"/>
      <c r="F16" s="651" t="s">
        <v>518</v>
      </c>
      <c r="G16" s="651"/>
      <c r="H16" s="651"/>
      <c r="I16" s="651"/>
      <c r="J16" s="25" t="s">
        <v>562</v>
      </c>
      <c r="K16" s="25"/>
      <c r="L16" s="113" t="s">
        <v>425</v>
      </c>
      <c r="M16" s="25" t="e">
        <f>ROUNDUP(#REF!/(J16*K16),0)</f>
        <v>#REF!</v>
      </c>
      <c r="N16" s="25" t="e">
        <f>ROUNDUP(M16*0.5,0)+5</f>
        <v>#REF!</v>
      </c>
      <c r="O16" s="192"/>
      <c r="P16" s="193" t="e">
        <f>M16+N16-O16</f>
        <v>#REF!</v>
      </c>
      <c r="Q16" s="189" t="e">
        <f t="shared" si="8"/>
        <v>#REF!</v>
      </c>
      <c r="R16" s="190" t="s">
        <v>784</v>
      </c>
      <c r="S16" s="660" t="s">
        <v>520</v>
      </c>
      <c r="T16" s="660"/>
      <c r="U16" s="660"/>
    </row>
    <row r="17" spans="1:21" ht="15" customHeight="1">
      <c r="A17" s="614" t="s">
        <v>809</v>
      </c>
      <c r="B17" s="661" t="s">
        <v>199</v>
      </c>
      <c r="C17" s="661"/>
      <c r="D17" s="661" t="s">
        <v>11</v>
      </c>
      <c r="E17" s="661"/>
      <c r="F17" s="659" t="s">
        <v>419</v>
      </c>
      <c r="G17" s="659"/>
      <c r="H17" s="659"/>
      <c r="I17" s="659"/>
      <c r="J17" s="685"/>
      <c r="K17" s="702" t="s">
        <v>420</v>
      </c>
      <c r="L17" s="88"/>
      <c r="M17" s="8" t="e">
        <f>ROUNDUP(#REF!/(J17*K17),0)</f>
        <v>#REF!</v>
      </c>
      <c r="N17" s="8" t="e">
        <f t="shared" ref="N17" si="9">ROUNDUP(M17*0.2,0)</f>
        <v>#REF!</v>
      </c>
      <c r="O17" s="187"/>
      <c r="P17" s="188" t="e">
        <f>ROUNDUP((M17+N17-O17)/10,0)</f>
        <v>#REF!</v>
      </c>
      <c r="Q17" s="189" t="e">
        <f t="shared" si="8"/>
        <v>#REF!</v>
      </c>
      <c r="R17" s="190" t="s">
        <v>622</v>
      </c>
      <c r="S17" s="660" t="s">
        <v>323</v>
      </c>
      <c r="T17" s="660"/>
      <c r="U17" s="660"/>
    </row>
    <row r="18" spans="1:21" ht="15" customHeight="1">
      <c r="A18" s="616"/>
      <c r="B18" s="661" t="s">
        <v>202</v>
      </c>
      <c r="C18" s="661"/>
      <c r="D18" s="661" t="s">
        <v>11</v>
      </c>
      <c r="E18" s="661"/>
      <c r="F18" s="659" t="s">
        <v>203</v>
      </c>
      <c r="G18" s="659"/>
      <c r="H18" s="659"/>
      <c r="I18" s="659"/>
      <c r="J18" s="686"/>
      <c r="K18" s="691"/>
      <c r="L18" s="88"/>
      <c r="M18" s="8"/>
      <c r="N18" s="8"/>
      <c r="O18" s="187"/>
      <c r="P18" s="188"/>
      <c r="Q18" s="189"/>
      <c r="R18" s="191" t="str">
        <f t="shared" ref="R18" si="10">IF(Q18&gt;0,"個","")</f>
        <v/>
      </c>
      <c r="S18" s="660"/>
      <c r="T18" s="660"/>
      <c r="U18" s="660"/>
    </row>
    <row r="19" spans="1:21" ht="15" customHeight="1">
      <c r="A19" s="614" t="s">
        <v>127</v>
      </c>
      <c r="B19" s="661" t="s">
        <v>10</v>
      </c>
      <c r="C19" s="661"/>
      <c r="D19" s="661" t="s">
        <v>43</v>
      </c>
      <c r="E19" s="661"/>
      <c r="F19" s="659" t="s">
        <v>810</v>
      </c>
      <c r="G19" s="659"/>
      <c r="H19" s="659"/>
      <c r="I19" s="659"/>
      <c r="J19" s="685"/>
      <c r="K19" s="687"/>
      <c r="L19" s="88"/>
      <c r="M19" s="8" t="e">
        <f>ROUNDUP(#REF!/(J19*K19),0)</f>
        <v>#REF!</v>
      </c>
      <c r="N19" s="8" t="e">
        <f>ROUNDUP(M19*0.3,0)</f>
        <v>#REF!</v>
      </c>
      <c r="O19" s="187"/>
      <c r="P19" s="188" t="e">
        <f>ROUNDUP((M19+N19-O19)/10,0)</f>
        <v>#REF!</v>
      </c>
      <c r="Q19" s="189" t="e">
        <f>IF((M19+N19-O19)&lt;=0,0,P19)</f>
        <v>#REF!</v>
      </c>
      <c r="R19" s="190" t="s">
        <v>622</v>
      </c>
      <c r="S19" s="660" t="s">
        <v>12</v>
      </c>
      <c r="T19" s="660"/>
      <c r="U19" s="660"/>
    </row>
    <row r="20" spans="1:21" ht="15" customHeight="1" thickBot="1">
      <c r="A20" s="684"/>
      <c r="B20" s="693" t="s">
        <v>13</v>
      </c>
      <c r="C20" s="694"/>
      <c r="D20" s="693" t="s">
        <v>14</v>
      </c>
      <c r="E20" s="694"/>
      <c r="F20" s="695" t="s">
        <v>811</v>
      </c>
      <c r="G20" s="695"/>
      <c r="H20" s="695"/>
      <c r="I20" s="695"/>
      <c r="J20" s="1026"/>
      <c r="K20" s="688"/>
      <c r="L20" s="224"/>
      <c r="M20" s="24"/>
      <c r="N20" s="24"/>
      <c r="O20" s="225"/>
      <c r="P20" s="226"/>
      <c r="Q20" s="198"/>
      <c r="R20" s="227" t="str">
        <f t="shared" ref="R20" si="11">IF(Q20&gt;0,"個","")</f>
        <v/>
      </c>
      <c r="S20" s="692"/>
      <c r="T20" s="692"/>
      <c r="U20" s="692"/>
    </row>
    <row r="21" spans="1:21" ht="15" customHeight="1" thickTop="1">
      <c r="A21" s="228" t="s">
        <v>380</v>
      </c>
      <c r="B21" s="650" t="s">
        <v>178</v>
      </c>
      <c r="C21" s="650"/>
      <c r="D21" s="650" t="s">
        <v>179</v>
      </c>
      <c r="E21" s="650"/>
      <c r="F21" s="651" t="s">
        <v>477</v>
      </c>
      <c r="G21" s="651"/>
      <c r="H21" s="651"/>
      <c r="I21" s="651"/>
      <c r="J21" s="25" t="s">
        <v>800</v>
      </c>
      <c r="K21" s="25" t="s">
        <v>801</v>
      </c>
      <c r="L21" s="113" t="s">
        <v>425</v>
      </c>
      <c r="M21" s="25" t="e">
        <f>ROUNDUP(#REF!/(J21*K21),0)</f>
        <v>#REF!</v>
      </c>
      <c r="N21" s="25" t="e">
        <f>ROUNDUP(M21*0.2,0)+2</f>
        <v>#REF!</v>
      </c>
      <c r="O21" s="192"/>
      <c r="P21" s="193" t="e">
        <f>M21+N21-O21</f>
        <v>#REF!</v>
      </c>
      <c r="Q21" s="189" t="e">
        <f t="shared" ref="Q21:Q23" si="12">IF((M21+N21-O21)&lt;=0,0,P21)</f>
        <v>#REF!</v>
      </c>
      <c r="R21" s="190" t="s">
        <v>784</v>
      </c>
      <c r="S21" s="652" t="s">
        <v>479</v>
      </c>
      <c r="T21" s="623"/>
      <c r="U21" s="624"/>
    </row>
    <row r="22" spans="1:21" ht="15" customHeight="1">
      <c r="A22" s="59" t="s">
        <v>269</v>
      </c>
      <c r="B22" s="650" t="s">
        <v>211</v>
      </c>
      <c r="C22" s="650"/>
      <c r="D22" s="650" t="s">
        <v>72</v>
      </c>
      <c r="E22" s="650"/>
      <c r="F22" s="651" t="s">
        <v>474</v>
      </c>
      <c r="G22" s="651"/>
      <c r="H22" s="651"/>
      <c r="I22" s="651"/>
      <c r="J22" s="25"/>
      <c r="K22" s="25"/>
      <c r="L22" s="97" t="s">
        <v>436</v>
      </c>
      <c r="M22" s="25" t="e">
        <f>ROUNDUP(#REF!/(J22*K22),0)</f>
        <v>#REF!</v>
      </c>
      <c r="N22" s="25" t="e">
        <f t="shared" ref="N22" si="13">ROUNDUP(M22*0.2,0)</f>
        <v>#REF!</v>
      </c>
      <c r="O22" s="192"/>
      <c r="P22" s="193" t="e">
        <f>M22+N22-O22</f>
        <v>#REF!</v>
      </c>
      <c r="Q22" s="189" t="e">
        <f t="shared" si="12"/>
        <v>#REF!</v>
      </c>
      <c r="R22" s="190" t="s">
        <v>784</v>
      </c>
      <c r="S22" s="652" t="s">
        <v>475</v>
      </c>
      <c r="T22" s="623"/>
      <c r="U22" s="624"/>
    </row>
    <row r="23" spans="1:21" ht="15" customHeight="1">
      <c r="A23" s="57" t="s">
        <v>156</v>
      </c>
      <c r="B23" s="650" t="s">
        <v>211</v>
      </c>
      <c r="C23" s="650"/>
      <c r="D23" s="650" t="s">
        <v>72</v>
      </c>
      <c r="E23" s="650"/>
      <c r="F23" s="651" t="s">
        <v>465</v>
      </c>
      <c r="G23" s="651"/>
      <c r="H23" s="651"/>
      <c r="I23" s="651"/>
      <c r="J23" s="25"/>
      <c r="K23" s="25"/>
      <c r="L23" s="97" t="s">
        <v>436</v>
      </c>
      <c r="M23" s="25" t="e">
        <f>ROUNDUP(#REF!/(J23*K23),0)</f>
        <v>#REF!</v>
      </c>
      <c r="N23" s="25" t="e">
        <f>ROUNDUP(M23*0.2,0)+1</f>
        <v>#REF!</v>
      </c>
      <c r="O23" s="192"/>
      <c r="P23" s="193" t="e">
        <f t="shared" ref="P23" si="14">M23+N23-O23</f>
        <v>#REF!</v>
      </c>
      <c r="Q23" s="189" t="e">
        <f t="shared" si="12"/>
        <v>#REF!</v>
      </c>
      <c r="R23" s="190" t="s">
        <v>784</v>
      </c>
      <c r="S23" s="660" t="s">
        <v>466</v>
      </c>
      <c r="T23" s="660"/>
      <c r="U23" s="660"/>
    </row>
    <row r="24" spans="1:21" ht="15" customHeight="1">
      <c r="A24" s="664" t="s">
        <v>70</v>
      </c>
      <c r="B24" s="637" t="s">
        <v>10</v>
      </c>
      <c r="C24" s="637"/>
      <c r="D24" s="638" t="s">
        <v>14</v>
      </c>
      <c r="E24" s="639"/>
      <c r="F24" s="653" t="s">
        <v>445</v>
      </c>
      <c r="G24" s="653"/>
      <c r="H24" s="653"/>
      <c r="I24" s="653"/>
      <c r="J24" s="626" t="s">
        <v>791</v>
      </c>
      <c r="K24" s="1263"/>
      <c r="L24" s="108"/>
      <c r="M24" s="14" t="e">
        <f>ROUNDUP(#REF!/(J24*K24),0)</f>
        <v>#REF!</v>
      </c>
      <c r="N24" s="14" t="e">
        <f t="shared" ref="N24" si="15">ROUNDUP(M24*0.2,0)</f>
        <v>#REF!</v>
      </c>
      <c r="O24" s="203"/>
      <c r="P24" s="201" t="e">
        <f>ROUNDUP((M24+N24-O24)/10,0)</f>
        <v>#REF!</v>
      </c>
      <c r="Q24" s="202" t="e">
        <f>IF((M24+N24-O24)&lt;=0,0,P24)</f>
        <v>#REF!</v>
      </c>
      <c r="R24" s="191" t="s">
        <v>622</v>
      </c>
      <c r="S24" s="631" t="s">
        <v>792</v>
      </c>
      <c r="T24" s="632"/>
      <c r="U24" s="633"/>
    </row>
    <row r="25" spans="1:21" ht="15" customHeight="1">
      <c r="A25" s="664"/>
      <c r="B25" s="637" t="s">
        <v>81</v>
      </c>
      <c r="C25" s="637"/>
      <c r="D25" s="638" t="s">
        <v>14</v>
      </c>
      <c r="E25" s="639"/>
      <c r="F25" s="653" t="s">
        <v>448</v>
      </c>
      <c r="G25" s="653"/>
      <c r="H25" s="653"/>
      <c r="I25" s="653"/>
      <c r="J25" s="626"/>
      <c r="K25" s="1263"/>
      <c r="L25" s="108"/>
      <c r="M25" s="8"/>
      <c r="N25" s="8"/>
      <c r="O25" s="203"/>
      <c r="P25" s="204"/>
      <c r="Q25" s="189"/>
      <c r="R25" s="191" t="str">
        <f>IF(Q25&gt;0,"個","")</f>
        <v/>
      </c>
      <c r="S25" s="631"/>
      <c r="T25" s="632"/>
      <c r="U25" s="633"/>
    </row>
    <row r="26" spans="1:21" ht="15" customHeight="1">
      <c r="A26" s="665"/>
      <c r="B26" s="637" t="s">
        <v>83</v>
      </c>
      <c r="C26" s="637"/>
      <c r="D26" s="638" t="s">
        <v>14</v>
      </c>
      <c r="E26" s="639"/>
      <c r="F26" s="659" t="s">
        <v>812</v>
      </c>
      <c r="G26" s="659"/>
      <c r="H26" s="659"/>
      <c r="I26" s="659"/>
      <c r="J26" s="627"/>
      <c r="K26" s="726"/>
      <c r="L26" s="108"/>
      <c r="M26" s="8"/>
      <c r="N26" s="8"/>
      <c r="O26" s="203"/>
      <c r="P26" s="204"/>
      <c r="Q26" s="189"/>
      <c r="R26" s="191" t="str">
        <f t="shared" ref="R26" si="16">IF(Q26&gt;0,"個","")</f>
        <v/>
      </c>
      <c r="S26" s="634"/>
      <c r="T26" s="635"/>
      <c r="U26" s="636"/>
    </row>
    <row r="27" spans="1:21" ht="15" customHeight="1">
      <c r="A27" s="59" t="s">
        <v>768</v>
      </c>
      <c r="B27" s="650" t="s">
        <v>147</v>
      </c>
      <c r="C27" s="650"/>
      <c r="D27" s="650" t="s">
        <v>49</v>
      </c>
      <c r="E27" s="650"/>
      <c r="F27" s="651" t="s">
        <v>820</v>
      </c>
      <c r="G27" s="651"/>
      <c r="H27" s="651"/>
      <c r="I27" s="651"/>
      <c r="J27" s="15" t="s">
        <v>793</v>
      </c>
      <c r="K27" s="109" t="s">
        <v>822</v>
      </c>
      <c r="L27" s="97" t="s">
        <v>470</v>
      </c>
      <c r="M27" s="25" t="e">
        <f>ROUNDUP(#REF!/(J27*K27),0)</f>
        <v>#REF!</v>
      </c>
      <c r="N27" s="25" t="e">
        <f>ROUNDUP(M27*0.2,0)</f>
        <v>#REF!</v>
      </c>
      <c r="O27" s="192"/>
      <c r="P27" s="193" t="e">
        <f>M27+N27-O27</f>
        <v>#REF!</v>
      </c>
      <c r="Q27" s="189" t="e">
        <f t="shared" ref="Q27:Q30" si="17">IF((M27+N27-O27)&lt;=0,0,P27)</f>
        <v>#REF!</v>
      </c>
      <c r="R27" s="190" t="s">
        <v>784</v>
      </c>
      <c r="S27" s="660" t="s">
        <v>458</v>
      </c>
      <c r="T27" s="660"/>
      <c r="U27" s="660"/>
    </row>
    <row r="28" spans="1:21" ht="15" customHeight="1">
      <c r="A28" s="73" t="s">
        <v>352</v>
      </c>
      <c r="B28" s="650" t="s">
        <v>178</v>
      </c>
      <c r="C28" s="650"/>
      <c r="D28" s="650" t="s">
        <v>72</v>
      </c>
      <c r="E28" s="650"/>
      <c r="F28" s="651" t="s">
        <v>814</v>
      </c>
      <c r="G28" s="651"/>
      <c r="H28" s="651"/>
      <c r="I28" s="651"/>
      <c r="J28" s="15" t="s">
        <v>793</v>
      </c>
      <c r="K28" s="109" t="s">
        <v>821</v>
      </c>
      <c r="L28" s="97" t="s">
        <v>436</v>
      </c>
      <c r="M28" s="25" t="e">
        <f>ROUNDUP(#REF!/(J28*K28),0)</f>
        <v>#REF!</v>
      </c>
      <c r="N28" s="25" t="e">
        <f>ROUNDUP(M28*0.2,0)</f>
        <v>#REF!</v>
      </c>
      <c r="O28" s="192"/>
      <c r="P28" s="193" t="e">
        <f>M28+N28-O28</f>
        <v>#REF!</v>
      </c>
      <c r="Q28" s="189" t="e">
        <f t="shared" si="17"/>
        <v>#REF!</v>
      </c>
      <c r="R28" s="190" t="s">
        <v>784</v>
      </c>
      <c r="S28" s="660" t="s">
        <v>458</v>
      </c>
      <c r="T28" s="660"/>
      <c r="U28" s="660"/>
    </row>
    <row r="29" spans="1:21" ht="15" customHeight="1">
      <c r="A29" s="184" t="s">
        <v>75</v>
      </c>
      <c r="B29" s="650" t="s">
        <v>147</v>
      </c>
      <c r="C29" s="650"/>
      <c r="D29" s="650" t="s">
        <v>240</v>
      </c>
      <c r="E29" s="650"/>
      <c r="F29" s="651" t="s">
        <v>838</v>
      </c>
      <c r="G29" s="651"/>
      <c r="H29" s="651"/>
      <c r="I29" s="651"/>
      <c r="J29" s="25" t="s">
        <v>798</v>
      </c>
      <c r="K29" s="25"/>
      <c r="L29" s="97" t="s">
        <v>425</v>
      </c>
      <c r="M29" s="25" t="e">
        <f>ROUNDUP(#REF!/(J29*K29),0)</f>
        <v>#REF!</v>
      </c>
      <c r="N29" s="25" t="e">
        <f>ROUNDUP(M29*0.2,0)+1</f>
        <v>#REF!</v>
      </c>
      <c r="O29" s="192"/>
      <c r="P29" s="193" t="e">
        <f t="shared" ref="P29:P30" si="18">M29+N29-O29</f>
        <v>#REF!</v>
      </c>
      <c r="Q29" s="189" t="e">
        <f t="shared" si="17"/>
        <v>#REF!</v>
      </c>
      <c r="R29" s="190" t="s">
        <v>784</v>
      </c>
      <c r="S29" s="660" t="s">
        <v>799</v>
      </c>
      <c r="T29" s="660"/>
      <c r="U29" s="660"/>
    </row>
    <row r="30" spans="1:21" ht="15" customHeight="1">
      <c r="A30" s="184" t="s">
        <v>78</v>
      </c>
      <c r="B30" s="650" t="s">
        <v>147</v>
      </c>
      <c r="C30" s="650"/>
      <c r="D30" s="650" t="s">
        <v>179</v>
      </c>
      <c r="E30" s="650"/>
      <c r="F30" s="651" t="s">
        <v>795</v>
      </c>
      <c r="G30" s="651"/>
      <c r="H30" s="651"/>
      <c r="I30" s="651"/>
      <c r="J30" s="25" t="s">
        <v>796</v>
      </c>
      <c r="K30" s="25"/>
      <c r="L30" s="97" t="s">
        <v>470</v>
      </c>
      <c r="M30" s="25" t="e">
        <f>ROUNDUP(#REF!/(J30*K30),0)</f>
        <v>#REF!</v>
      </c>
      <c r="N30" s="25" t="e">
        <f>ROUNDUP(M30*0.2,0)+1</f>
        <v>#REF!</v>
      </c>
      <c r="O30" s="192"/>
      <c r="P30" s="193" t="e">
        <f t="shared" si="18"/>
        <v>#REF!</v>
      </c>
      <c r="Q30" s="189" t="e">
        <f t="shared" si="17"/>
        <v>#REF!</v>
      </c>
      <c r="R30" s="190" t="s">
        <v>784</v>
      </c>
      <c r="S30" s="660" t="s">
        <v>797</v>
      </c>
      <c r="T30" s="660"/>
      <c r="U30" s="660"/>
    </row>
    <row r="31" spans="1:21" ht="15" customHeight="1">
      <c r="A31" s="1246" t="s">
        <v>803</v>
      </c>
      <c r="B31" s="1424"/>
      <c r="C31" s="1424"/>
      <c r="D31" s="205"/>
      <c r="E31" s="205"/>
      <c r="F31" s="206"/>
      <c r="G31" s="206"/>
      <c r="H31" s="206"/>
      <c r="I31" s="206"/>
      <c r="J31" s="207"/>
      <c r="K31" s="207"/>
      <c r="L31" s="207"/>
      <c r="M31" s="207"/>
      <c r="N31" s="207"/>
      <c r="O31" s="212"/>
      <c r="P31" s="213"/>
      <c r="Q31" s="213"/>
      <c r="R31" s="213"/>
      <c r="S31" s="214"/>
      <c r="T31" s="214"/>
      <c r="U31" s="214"/>
    </row>
    <row r="32" spans="1:21" ht="18.75" customHeight="1">
      <c r="A32" s="215" t="s">
        <v>780</v>
      </c>
    </row>
    <row r="33" spans="1:21" ht="18.75" customHeight="1">
      <c r="A33" s="243" t="s">
        <v>824</v>
      </c>
      <c r="L33" s="2"/>
    </row>
    <row r="34" spans="1:21" ht="15" customHeight="1">
      <c r="A34" s="49" t="s">
        <v>366</v>
      </c>
    </row>
    <row r="35" spans="1:21" ht="15" customHeight="1">
      <c r="A35" s="710" t="s">
        <v>2</v>
      </c>
      <c r="B35" s="712" t="s">
        <v>3</v>
      </c>
      <c r="C35" s="712"/>
      <c r="D35" s="650" t="s">
        <v>4</v>
      </c>
      <c r="E35" s="650"/>
      <c r="F35" s="712" t="s">
        <v>5</v>
      </c>
      <c r="G35" s="712"/>
      <c r="H35" s="712"/>
      <c r="I35" s="712"/>
      <c r="J35" s="713" t="s">
        <v>491</v>
      </c>
      <c r="K35" s="715" t="s">
        <v>7</v>
      </c>
      <c r="L35" s="185" t="s">
        <v>407</v>
      </c>
      <c r="M35" s="696" t="s">
        <v>408</v>
      </c>
      <c r="N35" s="1425" t="s">
        <v>409</v>
      </c>
      <c r="O35" s="1261" t="s">
        <v>614</v>
      </c>
      <c r="P35" s="1426" t="s">
        <v>619</v>
      </c>
      <c r="Q35" s="1426" t="s">
        <v>620</v>
      </c>
      <c r="R35" s="1428"/>
      <c r="S35" s="674" t="s">
        <v>8</v>
      </c>
      <c r="T35" s="675"/>
      <c r="U35" s="676"/>
    </row>
    <row r="36" spans="1:21" ht="15" customHeight="1">
      <c r="A36" s="711"/>
      <c r="B36" s="712"/>
      <c r="C36" s="712"/>
      <c r="D36" s="650"/>
      <c r="E36" s="650"/>
      <c r="F36" s="712"/>
      <c r="G36" s="712"/>
      <c r="H36" s="712"/>
      <c r="I36" s="712"/>
      <c r="J36" s="714"/>
      <c r="K36" s="715"/>
      <c r="L36" s="186" t="s">
        <v>410</v>
      </c>
      <c r="M36" s="706"/>
      <c r="N36" s="706"/>
      <c r="O36" s="1261"/>
      <c r="P36" s="1427"/>
      <c r="Q36" s="1427"/>
      <c r="R36" s="1429"/>
      <c r="S36" s="674"/>
      <c r="T36" s="675"/>
      <c r="U36" s="676"/>
    </row>
    <row r="37" spans="1:21" ht="15" customHeight="1">
      <c r="A37" s="59" t="s">
        <v>298</v>
      </c>
      <c r="B37" s="706" t="s">
        <v>178</v>
      </c>
      <c r="C37" s="706"/>
      <c r="D37" s="650" t="s">
        <v>240</v>
      </c>
      <c r="E37" s="650"/>
      <c r="F37" s="707" t="s">
        <v>428</v>
      </c>
      <c r="G37" s="707"/>
      <c r="H37" s="707"/>
      <c r="I37" s="707"/>
      <c r="J37" s="23" t="s">
        <v>786</v>
      </c>
      <c r="K37" s="96" t="s">
        <v>709</v>
      </c>
      <c r="L37" s="93" t="s">
        <v>425</v>
      </c>
      <c r="M37" s="25" t="e">
        <f>ROUNDUP(#REF!/(J37*K37),0)</f>
        <v>#REF!</v>
      </c>
      <c r="N37" s="25" t="e">
        <f t="shared" ref="N37:N39" si="19">ROUNDUP(M37*0.2,0)</f>
        <v>#REF!</v>
      </c>
      <c r="O37" s="194"/>
      <c r="P37" s="193" t="e">
        <f>M37+N37-O37</f>
        <v>#REF!</v>
      </c>
      <c r="Q37" s="189" t="e">
        <f t="shared" ref="Q37:Q39" si="20">IF((M37+N37-O37)&lt;=0,0,P37)</f>
        <v>#REF!</v>
      </c>
      <c r="R37" s="191" t="s">
        <v>784</v>
      </c>
      <c r="S37" s="708" t="s">
        <v>813</v>
      </c>
      <c r="T37" s="708"/>
      <c r="U37" s="708"/>
    </row>
    <row r="38" spans="1:21" ht="15" customHeight="1">
      <c r="A38" s="57" t="s">
        <v>239</v>
      </c>
      <c r="B38" s="650" t="s">
        <v>236</v>
      </c>
      <c r="C38" s="650"/>
      <c r="D38" s="650" t="s">
        <v>49</v>
      </c>
      <c r="E38" s="650"/>
      <c r="F38" s="651" t="s">
        <v>804</v>
      </c>
      <c r="G38" s="651"/>
      <c r="H38" s="651"/>
      <c r="I38" s="651"/>
      <c r="J38" s="15"/>
      <c r="K38" s="15"/>
      <c r="L38" s="97" t="s">
        <v>436</v>
      </c>
      <c r="M38" s="25" t="e">
        <f>ROUNDUP(#REF!/(J38*K38),0)</f>
        <v>#REF!</v>
      </c>
      <c r="N38" s="25" t="e">
        <f t="shared" si="19"/>
        <v>#REF!</v>
      </c>
      <c r="O38" s="192"/>
      <c r="P38" s="193" t="e">
        <f>M38+N38-O38</f>
        <v>#REF!</v>
      </c>
      <c r="Q38" s="189" t="e">
        <f t="shared" si="20"/>
        <v>#REF!</v>
      </c>
      <c r="R38" s="191" t="s">
        <v>784</v>
      </c>
      <c r="S38" s="708" t="s">
        <v>785</v>
      </c>
      <c r="T38" s="708"/>
      <c r="U38" s="708"/>
    </row>
    <row r="39" spans="1:21" ht="15" customHeight="1">
      <c r="A39" s="614" t="s">
        <v>242</v>
      </c>
      <c r="B39" s="661" t="s">
        <v>10</v>
      </c>
      <c r="C39" s="661"/>
      <c r="D39" s="700" t="s">
        <v>11</v>
      </c>
      <c r="E39" s="701"/>
      <c r="F39" s="659" t="s">
        <v>415</v>
      </c>
      <c r="G39" s="659"/>
      <c r="H39" s="659"/>
      <c r="I39" s="659"/>
      <c r="J39" s="685" t="s">
        <v>783</v>
      </c>
      <c r="K39" s="687"/>
      <c r="L39" s="88"/>
      <c r="M39" s="8" t="e">
        <f>ROUNDUP(#REF!/(J39*K39),0)</f>
        <v>#REF!</v>
      </c>
      <c r="N39" s="8" t="e">
        <f t="shared" si="19"/>
        <v>#REF!</v>
      </c>
      <c r="O39" s="187"/>
      <c r="P39" s="188" t="e">
        <f>ROUNDUP((M39+N39-O39)/10,0)</f>
        <v>#REF!</v>
      </c>
      <c r="Q39" s="189" t="e">
        <f t="shared" si="20"/>
        <v>#REF!</v>
      </c>
      <c r="R39" s="190" t="s">
        <v>622</v>
      </c>
      <c r="S39" s="660" t="s">
        <v>417</v>
      </c>
      <c r="T39" s="660"/>
      <c r="U39" s="660"/>
    </row>
    <row r="40" spans="1:21" ht="15" customHeight="1">
      <c r="A40" s="616"/>
      <c r="B40" s="700" t="s">
        <v>13</v>
      </c>
      <c r="C40" s="701"/>
      <c r="D40" s="700" t="s">
        <v>11</v>
      </c>
      <c r="E40" s="701"/>
      <c r="F40" s="659" t="s">
        <v>418</v>
      </c>
      <c r="G40" s="659"/>
      <c r="H40" s="659"/>
      <c r="I40" s="659"/>
      <c r="J40" s="686"/>
      <c r="K40" s="726"/>
      <c r="L40" s="88"/>
      <c r="M40" s="8"/>
      <c r="N40" s="8"/>
      <c r="O40" s="187"/>
      <c r="P40" s="188"/>
      <c r="Q40" s="189"/>
      <c r="R40" s="191" t="str">
        <f t="shared" ref="R40" si="21">IF(Q40&gt;0,"個","")</f>
        <v/>
      </c>
      <c r="S40" s="660"/>
      <c r="T40" s="660"/>
      <c r="U40" s="660"/>
    </row>
    <row r="41" spans="1:21" ht="15" customHeight="1">
      <c r="A41" s="614" t="s">
        <v>807</v>
      </c>
      <c r="B41" s="661" t="s">
        <v>10</v>
      </c>
      <c r="C41" s="661"/>
      <c r="D41" s="700" t="s">
        <v>43</v>
      </c>
      <c r="E41" s="701"/>
      <c r="F41" s="653" t="s">
        <v>823</v>
      </c>
      <c r="G41" s="653"/>
      <c r="H41" s="653"/>
      <c r="I41" s="653"/>
      <c r="J41" s="685" t="s">
        <v>781</v>
      </c>
      <c r="K41" s="703" t="s">
        <v>782</v>
      </c>
      <c r="L41" s="88"/>
      <c r="M41" s="8" t="e">
        <f>ROUNDUP(#REF!/(J41*K41),0)</f>
        <v>#REF!</v>
      </c>
      <c r="N41" s="8" t="e">
        <f>ROUNDUP(M41*0.3,0)</f>
        <v>#REF!</v>
      </c>
      <c r="O41" s="187"/>
      <c r="P41" s="188" t="e">
        <f>ROUNDUP((M41+N41-O41)/10,0)</f>
        <v>#REF!</v>
      </c>
      <c r="Q41" s="189" t="e">
        <f t="shared" ref="Q41" si="22">IF((M41+N41-O41)&lt;=0,0,P41)</f>
        <v>#REF!</v>
      </c>
      <c r="R41" s="190" t="s">
        <v>622</v>
      </c>
      <c r="S41" s="660" t="s">
        <v>68</v>
      </c>
      <c r="T41" s="660"/>
      <c r="U41" s="660"/>
    </row>
    <row r="42" spans="1:21" ht="15" customHeight="1">
      <c r="A42" s="616"/>
      <c r="B42" s="700" t="s">
        <v>13</v>
      </c>
      <c r="C42" s="701"/>
      <c r="D42" s="700" t="s">
        <v>11</v>
      </c>
      <c r="E42" s="701"/>
      <c r="F42" s="653" t="s">
        <v>414</v>
      </c>
      <c r="G42" s="653"/>
      <c r="H42" s="653"/>
      <c r="I42" s="653"/>
      <c r="J42" s="686"/>
      <c r="K42" s="673"/>
      <c r="L42" s="88"/>
      <c r="M42" s="8"/>
      <c r="N42" s="8"/>
      <c r="O42" s="187"/>
      <c r="P42" s="188"/>
      <c r="Q42" s="189"/>
      <c r="R42" s="191" t="str">
        <f t="shared" ref="R42" si="23">IF(Q42&gt;0,"個","")</f>
        <v/>
      </c>
      <c r="S42" s="660"/>
      <c r="T42" s="660"/>
      <c r="U42" s="660"/>
    </row>
    <row r="43" spans="1:21" ht="15" customHeight="1">
      <c r="A43" s="614" t="s">
        <v>808</v>
      </c>
      <c r="B43" s="661" t="s">
        <v>35</v>
      </c>
      <c r="C43" s="661"/>
      <c r="D43" s="661" t="s">
        <v>11</v>
      </c>
      <c r="E43" s="661"/>
      <c r="F43" s="699" t="s">
        <v>303</v>
      </c>
      <c r="G43" s="699"/>
      <c r="H43" s="699"/>
      <c r="I43" s="699"/>
      <c r="J43" s="685"/>
      <c r="K43" s="702" t="s">
        <v>37</v>
      </c>
      <c r="L43" s="88"/>
      <c r="M43" s="8" t="e">
        <f>ROUNDUP(#REF!/(J43*K43),0)</f>
        <v>#REF!</v>
      </c>
      <c r="N43" s="8" t="e">
        <f t="shared" ref="N43" si="24">ROUNDUP(M43*0.2,0)</f>
        <v>#REF!</v>
      </c>
      <c r="O43" s="187"/>
      <c r="P43" s="188" t="e">
        <f>ROUNDUP((M43+N43-O43)/10,0)</f>
        <v>#REF!</v>
      </c>
      <c r="Q43" s="189" t="e">
        <f t="shared" ref="Q43" si="25">IF((M43+N43-O43)&lt;=0,0,P43)</f>
        <v>#REF!</v>
      </c>
      <c r="R43" s="190" t="s">
        <v>622</v>
      </c>
      <c r="S43" s="660" t="s">
        <v>38</v>
      </c>
      <c r="T43" s="660"/>
      <c r="U43" s="660"/>
    </row>
    <row r="44" spans="1:21" ht="15" customHeight="1">
      <c r="A44" s="616"/>
      <c r="B44" s="661" t="s">
        <v>304</v>
      </c>
      <c r="C44" s="661"/>
      <c r="D44" s="661" t="s">
        <v>11</v>
      </c>
      <c r="E44" s="661"/>
      <c r="F44" s="699" t="s">
        <v>422</v>
      </c>
      <c r="G44" s="699"/>
      <c r="H44" s="699"/>
      <c r="I44" s="699"/>
      <c r="J44" s="686"/>
      <c r="K44" s="691"/>
      <c r="L44" s="88"/>
      <c r="M44" s="8"/>
      <c r="N44" s="8"/>
      <c r="O44" s="187"/>
      <c r="P44" s="188"/>
      <c r="Q44" s="189"/>
      <c r="R44" s="191" t="str">
        <f t="shared" ref="R44" si="26">IF(Q44&gt;0,"個","")</f>
        <v/>
      </c>
      <c r="S44" s="660"/>
      <c r="T44" s="660"/>
      <c r="U44" s="660"/>
    </row>
    <row r="45" spans="1:21" ht="15" customHeight="1">
      <c r="A45" s="59" t="s">
        <v>549</v>
      </c>
      <c r="B45" s="650" t="s">
        <v>211</v>
      </c>
      <c r="C45" s="650"/>
      <c r="D45" s="650" t="s">
        <v>63</v>
      </c>
      <c r="E45" s="650"/>
      <c r="F45" s="651" t="s">
        <v>788</v>
      </c>
      <c r="G45" s="651"/>
      <c r="H45" s="651"/>
      <c r="I45" s="651"/>
      <c r="J45" s="25"/>
      <c r="K45" s="25"/>
      <c r="L45" s="93" t="s">
        <v>425</v>
      </c>
      <c r="M45" s="25" t="e">
        <f>ROUNDUP(#REF!/(J45*K45),0)</f>
        <v>#REF!</v>
      </c>
      <c r="N45" s="25" t="e">
        <f>ROUNDUP(M45*0.3,0)+2</f>
        <v>#REF!</v>
      </c>
      <c r="O45" s="192"/>
      <c r="P45" s="193" t="e">
        <f>M45+N45-O45</f>
        <v>#REF!</v>
      </c>
      <c r="Q45" s="189" t="e">
        <f t="shared" ref="Q45:Q48" si="27">IF((M45+N45-O45)&lt;=0,0,P45)</f>
        <v>#REF!</v>
      </c>
      <c r="R45" s="191" t="s">
        <v>784</v>
      </c>
      <c r="S45" s="652" t="s">
        <v>789</v>
      </c>
      <c r="T45" s="623"/>
      <c r="U45" s="624"/>
    </row>
    <row r="46" spans="1:21" ht="15" customHeight="1">
      <c r="A46" s="57" t="s">
        <v>434</v>
      </c>
      <c r="B46" s="696" t="s">
        <v>178</v>
      </c>
      <c r="C46" s="696"/>
      <c r="D46" s="696" t="s">
        <v>179</v>
      </c>
      <c r="E46" s="696"/>
      <c r="F46" s="697" t="s">
        <v>515</v>
      </c>
      <c r="G46" s="697"/>
      <c r="H46" s="697"/>
      <c r="I46" s="697"/>
      <c r="J46" s="67" t="s">
        <v>790</v>
      </c>
      <c r="K46" s="67"/>
      <c r="L46" s="97" t="s">
        <v>436</v>
      </c>
      <c r="M46" s="25" t="e">
        <f>ROUNDUP(#REF!/(J46*K46),0)</f>
        <v>#REF!</v>
      </c>
      <c r="N46" s="25" t="e">
        <f>ROUNDUP(M46*0.2,0)+2</f>
        <v>#REF!</v>
      </c>
      <c r="O46" s="195"/>
      <c r="P46" s="193" t="e">
        <f>M46+N46-O46</f>
        <v>#REF!</v>
      </c>
      <c r="Q46" s="189" t="e">
        <f t="shared" si="27"/>
        <v>#REF!</v>
      </c>
      <c r="R46" s="191" t="s">
        <v>784</v>
      </c>
      <c r="S46" s="698" t="s">
        <v>517</v>
      </c>
      <c r="T46" s="698"/>
      <c r="U46" s="698"/>
    </row>
    <row r="47" spans="1:21" ht="15" customHeight="1">
      <c r="A47" s="229" t="s">
        <v>309</v>
      </c>
      <c r="B47" s="650" t="s">
        <v>147</v>
      </c>
      <c r="C47" s="650"/>
      <c r="D47" s="650" t="s">
        <v>49</v>
      </c>
      <c r="E47" s="650"/>
      <c r="F47" s="651" t="s">
        <v>518</v>
      </c>
      <c r="G47" s="651"/>
      <c r="H47" s="651"/>
      <c r="I47" s="651"/>
      <c r="J47" s="25" t="s">
        <v>562</v>
      </c>
      <c r="K47" s="25"/>
      <c r="L47" s="113" t="s">
        <v>425</v>
      </c>
      <c r="M47" s="25" t="e">
        <f>ROUNDUP(#REF!/(J47*K47),0)</f>
        <v>#REF!</v>
      </c>
      <c r="N47" s="25" t="e">
        <f>ROUNDUP(M47*0.5,0)+5</f>
        <v>#REF!</v>
      </c>
      <c r="O47" s="192"/>
      <c r="P47" s="193" t="e">
        <f>M47+N47-O47</f>
        <v>#REF!</v>
      </c>
      <c r="Q47" s="189" t="e">
        <f t="shared" si="27"/>
        <v>#REF!</v>
      </c>
      <c r="R47" s="190" t="s">
        <v>784</v>
      </c>
      <c r="S47" s="660" t="s">
        <v>520</v>
      </c>
      <c r="T47" s="660"/>
      <c r="U47" s="660"/>
    </row>
    <row r="48" spans="1:21" ht="15" customHeight="1">
      <c r="A48" s="614" t="s">
        <v>125</v>
      </c>
      <c r="B48" s="661" t="s">
        <v>199</v>
      </c>
      <c r="C48" s="661"/>
      <c r="D48" s="661" t="s">
        <v>11</v>
      </c>
      <c r="E48" s="661"/>
      <c r="F48" s="659" t="s">
        <v>419</v>
      </c>
      <c r="G48" s="659"/>
      <c r="H48" s="659"/>
      <c r="I48" s="659"/>
      <c r="J48" s="685"/>
      <c r="K48" s="702" t="s">
        <v>420</v>
      </c>
      <c r="L48" s="88"/>
      <c r="M48" s="8" t="e">
        <f>ROUNDUP(#REF!/(J48*K48),0)</f>
        <v>#REF!</v>
      </c>
      <c r="N48" s="8" t="e">
        <f t="shared" ref="N48" si="28">ROUNDUP(M48*0.2,0)</f>
        <v>#REF!</v>
      </c>
      <c r="O48" s="187"/>
      <c r="P48" s="188" t="e">
        <f>ROUNDUP((M48+N48-O48)/10,0)</f>
        <v>#REF!</v>
      </c>
      <c r="Q48" s="189" t="e">
        <f t="shared" si="27"/>
        <v>#REF!</v>
      </c>
      <c r="R48" s="190" t="s">
        <v>622</v>
      </c>
      <c r="S48" s="660" t="s">
        <v>323</v>
      </c>
      <c r="T48" s="660"/>
      <c r="U48" s="660"/>
    </row>
    <row r="49" spans="1:21" ht="15" customHeight="1">
      <c r="A49" s="616"/>
      <c r="B49" s="661" t="s">
        <v>202</v>
      </c>
      <c r="C49" s="661"/>
      <c r="D49" s="661" t="s">
        <v>11</v>
      </c>
      <c r="E49" s="661"/>
      <c r="F49" s="659" t="s">
        <v>203</v>
      </c>
      <c r="G49" s="659"/>
      <c r="H49" s="659"/>
      <c r="I49" s="659"/>
      <c r="J49" s="686"/>
      <c r="K49" s="691"/>
      <c r="L49" s="88"/>
      <c r="M49" s="8"/>
      <c r="N49" s="8"/>
      <c r="O49" s="187"/>
      <c r="P49" s="188"/>
      <c r="Q49" s="189"/>
      <c r="R49" s="191" t="str">
        <f t="shared" ref="R49" si="29">IF(Q49&gt;0,"個","")</f>
        <v/>
      </c>
      <c r="S49" s="660"/>
      <c r="T49" s="660"/>
      <c r="U49" s="660"/>
    </row>
    <row r="50" spans="1:21" ht="15" customHeight="1">
      <c r="A50" s="614" t="s">
        <v>127</v>
      </c>
      <c r="B50" s="661" t="s">
        <v>10</v>
      </c>
      <c r="C50" s="661"/>
      <c r="D50" s="661" t="s">
        <v>43</v>
      </c>
      <c r="E50" s="661"/>
      <c r="F50" s="659" t="s">
        <v>810</v>
      </c>
      <c r="G50" s="659"/>
      <c r="H50" s="659"/>
      <c r="I50" s="659"/>
      <c r="J50" s="685"/>
      <c r="K50" s="687"/>
      <c r="L50" s="88"/>
      <c r="M50" s="8" t="e">
        <f>ROUNDUP(#REF!/(J50*K50),0)</f>
        <v>#REF!</v>
      </c>
      <c r="N50" s="8" t="e">
        <f>ROUNDUP(M50*0.3,0)</f>
        <v>#REF!</v>
      </c>
      <c r="O50" s="187"/>
      <c r="P50" s="188" t="e">
        <f>ROUNDUP((M50+N50-O50)/10,0)</f>
        <v>#REF!</v>
      </c>
      <c r="Q50" s="189" t="e">
        <f>IF((M50+N50-O50)&lt;=0,0,P50)</f>
        <v>#REF!</v>
      </c>
      <c r="R50" s="190" t="s">
        <v>622</v>
      </c>
      <c r="S50" s="660" t="s">
        <v>12</v>
      </c>
      <c r="T50" s="660"/>
      <c r="U50" s="660"/>
    </row>
    <row r="51" spans="1:21" ht="15" customHeight="1" thickBot="1">
      <c r="A51" s="684"/>
      <c r="B51" s="693" t="s">
        <v>13</v>
      </c>
      <c r="C51" s="694"/>
      <c r="D51" s="693" t="s">
        <v>14</v>
      </c>
      <c r="E51" s="694"/>
      <c r="F51" s="695" t="s">
        <v>811</v>
      </c>
      <c r="G51" s="695"/>
      <c r="H51" s="695"/>
      <c r="I51" s="695"/>
      <c r="J51" s="1026"/>
      <c r="K51" s="688"/>
      <c r="L51" s="224"/>
      <c r="M51" s="24"/>
      <c r="N51" s="24"/>
      <c r="O51" s="225"/>
      <c r="P51" s="226"/>
      <c r="Q51" s="198"/>
      <c r="R51" s="227" t="str">
        <f t="shared" ref="R51" si="30">IF(Q51&gt;0,"個","")</f>
        <v/>
      </c>
      <c r="S51" s="692"/>
      <c r="T51" s="692"/>
      <c r="U51" s="692"/>
    </row>
    <row r="52" spans="1:21" ht="15" customHeight="1" thickTop="1">
      <c r="A52" s="228" t="s">
        <v>380</v>
      </c>
      <c r="B52" s="650" t="s">
        <v>178</v>
      </c>
      <c r="C52" s="650"/>
      <c r="D52" s="650" t="s">
        <v>179</v>
      </c>
      <c r="E52" s="650"/>
      <c r="F52" s="651" t="s">
        <v>477</v>
      </c>
      <c r="G52" s="651"/>
      <c r="H52" s="651"/>
      <c r="I52" s="651"/>
      <c r="J52" s="25" t="s">
        <v>800</v>
      </c>
      <c r="K52" s="25" t="s">
        <v>801</v>
      </c>
      <c r="L52" s="113" t="s">
        <v>425</v>
      </c>
      <c r="M52" s="25" t="e">
        <f>ROUNDUP(#REF!/(J52*K52),0)</f>
        <v>#REF!</v>
      </c>
      <c r="N52" s="25" t="e">
        <f>ROUNDUP(M52*0.2,0)+2</f>
        <v>#REF!</v>
      </c>
      <c r="O52" s="192"/>
      <c r="P52" s="193" t="e">
        <f>M52+N52-O52</f>
        <v>#REF!</v>
      </c>
      <c r="Q52" s="189" t="e">
        <f t="shared" ref="Q52:Q54" si="31">IF((M52+N52-O52)&lt;=0,0,P52)</f>
        <v>#REF!</v>
      </c>
      <c r="R52" s="190" t="s">
        <v>784</v>
      </c>
      <c r="S52" s="652" t="s">
        <v>479</v>
      </c>
      <c r="T52" s="623"/>
      <c r="U52" s="624"/>
    </row>
    <row r="53" spans="1:21" ht="15" customHeight="1">
      <c r="A53" s="59" t="s">
        <v>269</v>
      </c>
      <c r="B53" s="650" t="s">
        <v>211</v>
      </c>
      <c r="C53" s="650"/>
      <c r="D53" s="650" t="s">
        <v>72</v>
      </c>
      <c r="E53" s="650"/>
      <c r="F53" s="651" t="s">
        <v>474</v>
      </c>
      <c r="G53" s="651"/>
      <c r="H53" s="651"/>
      <c r="I53" s="651"/>
      <c r="J53" s="25"/>
      <c r="K53" s="25"/>
      <c r="L53" s="97" t="s">
        <v>436</v>
      </c>
      <c r="M53" s="25" t="e">
        <f>ROUNDUP(#REF!/(J53*K53),0)</f>
        <v>#REF!</v>
      </c>
      <c r="N53" s="25" t="e">
        <f t="shared" ref="N53" si="32">ROUNDUP(M53*0.2,0)</f>
        <v>#REF!</v>
      </c>
      <c r="O53" s="192"/>
      <c r="P53" s="193" t="e">
        <f>M53+N53-O53</f>
        <v>#REF!</v>
      </c>
      <c r="Q53" s="189" t="e">
        <f t="shared" si="31"/>
        <v>#REF!</v>
      </c>
      <c r="R53" s="190" t="s">
        <v>784</v>
      </c>
      <c r="S53" s="652" t="s">
        <v>475</v>
      </c>
      <c r="T53" s="623"/>
      <c r="U53" s="624"/>
    </row>
    <row r="54" spans="1:21" ht="15" customHeight="1">
      <c r="A54" s="57" t="s">
        <v>156</v>
      </c>
      <c r="B54" s="650" t="s">
        <v>211</v>
      </c>
      <c r="C54" s="650"/>
      <c r="D54" s="650" t="s">
        <v>72</v>
      </c>
      <c r="E54" s="650"/>
      <c r="F54" s="651" t="s">
        <v>465</v>
      </c>
      <c r="G54" s="651"/>
      <c r="H54" s="651"/>
      <c r="I54" s="651"/>
      <c r="J54" s="25"/>
      <c r="K54" s="25"/>
      <c r="L54" s="97" t="s">
        <v>436</v>
      </c>
      <c r="M54" s="25" t="e">
        <f>ROUNDUP(#REF!/(J54*K54),0)</f>
        <v>#REF!</v>
      </c>
      <c r="N54" s="25" t="e">
        <f>ROUNDUP(M54*0.2,0)+1</f>
        <v>#REF!</v>
      </c>
      <c r="O54" s="192"/>
      <c r="P54" s="193" t="e">
        <f t="shared" ref="P54" si="33">M54+N54-O54</f>
        <v>#REF!</v>
      </c>
      <c r="Q54" s="189" t="e">
        <f t="shared" si="31"/>
        <v>#REF!</v>
      </c>
      <c r="R54" s="190" t="s">
        <v>784</v>
      </c>
      <c r="S54" s="660" t="s">
        <v>466</v>
      </c>
      <c r="T54" s="660"/>
      <c r="U54" s="660"/>
    </row>
    <row r="55" spans="1:21" ht="15" customHeight="1">
      <c r="A55" s="664" t="s">
        <v>70</v>
      </c>
      <c r="B55" s="637" t="s">
        <v>10</v>
      </c>
      <c r="C55" s="637"/>
      <c r="D55" s="638" t="s">
        <v>14</v>
      </c>
      <c r="E55" s="639"/>
      <c r="F55" s="653" t="s">
        <v>445</v>
      </c>
      <c r="G55" s="653"/>
      <c r="H55" s="653"/>
      <c r="I55" s="653"/>
      <c r="J55" s="626" t="s">
        <v>791</v>
      </c>
      <c r="K55" s="1263"/>
      <c r="L55" s="108"/>
      <c r="M55" s="14" t="e">
        <f>ROUNDUP(#REF!/(J55*K55),0)</f>
        <v>#REF!</v>
      </c>
      <c r="N55" s="14" t="e">
        <f t="shared" ref="N55" si="34">ROUNDUP(M55*0.2,0)</f>
        <v>#REF!</v>
      </c>
      <c r="O55" s="203"/>
      <c r="P55" s="201" t="e">
        <f>ROUNDUP((M55+N55-O55)/10,0)</f>
        <v>#REF!</v>
      </c>
      <c r="Q55" s="202" t="e">
        <f>IF((M55+N55-O55)&lt;=0,0,P55)</f>
        <v>#REF!</v>
      </c>
      <c r="R55" s="191" t="s">
        <v>622</v>
      </c>
      <c r="S55" s="631" t="s">
        <v>825</v>
      </c>
      <c r="T55" s="632"/>
      <c r="U55" s="633"/>
    </row>
    <row r="56" spans="1:21" ht="15" customHeight="1">
      <c r="A56" s="664"/>
      <c r="B56" s="637" t="s">
        <v>81</v>
      </c>
      <c r="C56" s="637"/>
      <c r="D56" s="638" t="s">
        <v>14</v>
      </c>
      <c r="E56" s="639"/>
      <c r="F56" s="653" t="s">
        <v>448</v>
      </c>
      <c r="G56" s="653"/>
      <c r="H56" s="653"/>
      <c r="I56" s="653"/>
      <c r="J56" s="626"/>
      <c r="K56" s="1263"/>
      <c r="L56" s="108"/>
      <c r="M56" s="8"/>
      <c r="N56" s="8"/>
      <c r="O56" s="203"/>
      <c r="P56" s="204"/>
      <c r="Q56" s="189"/>
      <c r="R56" s="191" t="str">
        <f>IF(Q56&gt;0,"個","")</f>
        <v/>
      </c>
      <c r="S56" s="631"/>
      <c r="T56" s="632"/>
      <c r="U56" s="633"/>
    </row>
    <row r="57" spans="1:21" ht="15" customHeight="1">
      <c r="A57" s="665"/>
      <c r="B57" s="637" t="s">
        <v>83</v>
      </c>
      <c r="C57" s="637"/>
      <c r="D57" s="638" t="s">
        <v>14</v>
      </c>
      <c r="E57" s="639"/>
      <c r="F57" s="659" t="s">
        <v>812</v>
      </c>
      <c r="G57" s="659"/>
      <c r="H57" s="659"/>
      <c r="I57" s="659"/>
      <c r="J57" s="627"/>
      <c r="K57" s="726"/>
      <c r="L57" s="108"/>
      <c r="M57" s="8"/>
      <c r="N57" s="8"/>
      <c r="O57" s="203"/>
      <c r="P57" s="204"/>
      <c r="Q57" s="189"/>
      <c r="R57" s="191" t="str">
        <f t="shared" ref="R57" si="35">IF(Q57&gt;0,"個","")</f>
        <v/>
      </c>
      <c r="S57" s="634"/>
      <c r="T57" s="635"/>
      <c r="U57" s="636"/>
    </row>
    <row r="58" spans="1:21" ht="15" customHeight="1">
      <c r="A58" s="59" t="s">
        <v>768</v>
      </c>
      <c r="B58" s="650" t="s">
        <v>147</v>
      </c>
      <c r="C58" s="650"/>
      <c r="D58" s="650" t="s">
        <v>49</v>
      </c>
      <c r="E58" s="650"/>
      <c r="F58" s="651" t="s">
        <v>820</v>
      </c>
      <c r="G58" s="651"/>
      <c r="H58" s="651"/>
      <c r="I58" s="651"/>
      <c r="J58" s="15" t="s">
        <v>793</v>
      </c>
      <c r="K58" s="109" t="s">
        <v>822</v>
      </c>
      <c r="L58" s="97" t="s">
        <v>470</v>
      </c>
      <c r="M58" s="25" t="e">
        <f>ROUNDUP(#REF!/(J58*K58),0)</f>
        <v>#REF!</v>
      </c>
      <c r="N58" s="25" t="e">
        <f>ROUNDUP(M58*0.2,0)</f>
        <v>#REF!</v>
      </c>
      <c r="O58" s="192"/>
      <c r="P58" s="193" t="e">
        <f>M58+N58-O58</f>
        <v>#REF!</v>
      </c>
      <c r="Q58" s="189" t="e">
        <f t="shared" ref="Q58:Q61" si="36">IF((M58+N58-O58)&lt;=0,0,P58)</f>
        <v>#REF!</v>
      </c>
      <c r="R58" s="190" t="s">
        <v>784</v>
      </c>
      <c r="S58" s="660" t="s">
        <v>458</v>
      </c>
      <c r="T58" s="660"/>
      <c r="U58" s="660"/>
    </row>
    <row r="59" spans="1:21" ht="15" customHeight="1">
      <c r="A59" s="73" t="s">
        <v>352</v>
      </c>
      <c r="B59" s="650" t="s">
        <v>178</v>
      </c>
      <c r="C59" s="650"/>
      <c r="D59" s="650" t="s">
        <v>72</v>
      </c>
      <c r="E59" s="650"/>
      <c r="F59" s="651" t="s">
        <v>814</v>
      </c>
      <c r="G59" s="651"/>
      <c r="H59" s="651"/>
      <c r="I59" s="651"/>
      <c r="J59" s="15" t="s">
        <v>793</v>
      </c>
      <c r="K59" s="109" t="s">
        <v>821</v>
      </c>
      <c r="L59" s="97" t="s">
        <v>436</v>
      </c>
      <c r="M59" s="25" t="e">
        <f>ROUNDUP(#REF!/(J59*K59),0)</f>
        <v>#REF!</v>
      </c>
      <c r="N59" s="25" t="e">
        <f>ROUNDUP(M59*0.2,0)</f>
        <v>#REF!</v>
      </c>
      <c r="O59" s="192"/>
      <c r="P59" s="193" t="e">
        <f>M59+N59-O59</f>
        <v>#REF!</v>
      </c>
      <c r="Q59" s="189" t="e">
        <f t="shared" si="36"/>
        <v>#REF!</v>
      </c>
      <c r="R59" s="190" t="s">
        <v>784</v>
      </c>
      <c r="S59" s="660" t="s">
        <v>458</v>
      </c>
      <c r="T59" s="660"/>
      <c r="U59" s="660"/>
    </row>
    <row r="60" spans="1:21" ht="15" customHeight="1">
      <c r="A60" s="184" t="s">
        <v>75</v>
      </c>
      <c r="B60" s="650" t="s">
        <v>147</v>
      </c>
      <c r="C60" s="650"/>
      <c r="D60" s="650" t="s">
        <v>240</v>
      </c>
      <c r="E60" s="650"/>
      <c r="F60" s="651" t="s">
        <v>838</v>
      </c>
      <c r="G60" s="651"/>
      <c r="H60" s="651"/>
      <c r="I60" s="651"/>
      <c r="J60" s="25" t="s">
        <v>798</v>
      </c>
      <c r="K60" s="25"/>
      <c r="L60" s="97" t="s">
        <v>425</v>
      </c>
      <c r="M60" s="25" t="e">
        <f>ROUNDUP(#REF!/(J60*K60),0)</f>
        <v>#REF!</v>
      </c>
      <c r="N60" s="25" t="e">
        <f>ROUNDUP(M60*0.2,0)+1</f>
        <v>#REF!</v>
      </c>
      <c r="O60" s="192"/>
      <c r="P60" s="193" t="e">
        <f t="shared" ref="P60:P61" si="37">M60+N60-O60</f>
        <v>#REF!</v>
      </c>
      <c r="Q60" s="189" t="e">
        <f t="shared" si="36"/>
        <v>#REF!</v>
      </c>
      <c r="R60" s="190" t="s">
        <v>784</v>
      </c>
      <c r="S60" s="660" t="s">
        <v>799</v>
      </c>
      <c r="T60" s="660"/>
      <c r="U60" s="660"/>
    </row>
    <row r="61" spans="1:21" ht="15" customHeight="1">
      <c r="A61" s="184" t="s">
        <v>78</v>
      </c>
      <c r="B61" s="650" t="s">
        <v>147</v>
      </c>
      <c r="C61" s="650"/>
      <c r="D61" s="650" t="s">
        <v>179</v>
      </c>
      <c r="E61" s="650"/>
      <c r="F61" s="651" t="s">
        <v>795</v>
      </c>
      <c r="G61" s="651"/>
      <c r="H61" s="651"/>
      <c r="I61" s="651"/>
      <c r="J61" s="25" t="s">
        <v>796</v>
      </c>
      <c r="K61" s="25"/>
      <c r="L61" s="97" t="s">
        <v>470</v>
      </c>
      <c r="M61" s="25" t="e">
        <f>ROUNDUP(#REF!/(J61*K61),0)</f>
        <v>#REF!</v>
      </c>
      <c r="N61" s="25" t="e">
        <f>ROUNDUP(M61*0.2,0)+1</f>
        <v>#REF!</v>
      </c>
      <c r="O61" s="192"/>
      <c r="P61" s="193" t="e">
        <f t="shared" si="37"/>
        <v>#REF!</v>
      </c>
      <c r="Q61" s="189" t="e">
        <f t="shared" si="36"/>
        <v>#REF!</v>
      </c>
      <c r="R61" s="190" t="s">
        <v>784</v>
      </c>
      <c r="S61" s="660" t="s">
        <v>797</v>
      </c>
      <c r="T61" s="660"/>
      <c r="U61" s="660"/>
    </row>
    <row r="62" spans="1:21" ht="18.75" customHeight="1">
      <c r="A62" s="1246" t="s">
        <v>803</v>
      </c>
      <c r="B62" s="1246"/>
      <c r="C62" s="1246"/>
      <c r="D62" s="205"/>
      <c r="E62" s="205"/>
      <c r="F62" s="206"/>
      <c r="G62" s="206"/>
      <c r="H62" s="206"/>
      <c r="I62" s="206"/>
      <c r="J62" s="207"/>
      <c r="K62" s="207"/>
      <c r="L62" s="207"/>
      <c r="M62" s="207"/>
      <c r="N62" s="207"/>
      <c r="O62" s="212"/>
      <c r="P62" s="213"/>
      <c r="Q62" s="213"/>
      <c r="R62" s="213"/>
      <c r="S62" s="214"/>
      <c r="T62" s="214"/>
      <c r="U62" s="214"/>
    </row>
    <row r="63" spans="1:21" ht="18.75" customHeight="1">
      <c r="A63" s="215" t="s">
        <v>780</v>
      </c>
    </row>
    <row r="64" spans="1:21" ht="15" customHeight="1">
      <c r="A64" s="243" t="s">
        <v>162</v>
      </c>
      <c r="L64" s="2"/>
    </row>
    <row r="65" spans="1:21" ht="15" customHeight="1">
      <c r="A65" s="49" t="s">
        <v>366</v>
      </c>
    </row>
    <row r="66" spans="1:21" ht="15" customHeight="1">
      <c r="A66" s="710" t="s">
        <v>2</v>
      </c>
      <c r="B66" s="712" t="s">
        <v>3</v>
      </c>
      <c r="C66" s="712"/>
      <c r="D66" s="650" t="s">
        <v>4</v>
      </c>
      <c r="E66" s="650"/>
      <c r="F66" s="712" t="s">
        <v>5</v>
      </c>
      <c r="G66" s="712"/>
      <c r="H66" s="712"/>
      <c r="I66" s="712"/>
      <c r="J66" s="713" t="s">
        <v>491</v>
      </c>
      <c r="K66" s="715" t="s">
        <v>7</v>
      </c>
      <c r="L66" s="185" t="s">
        <v>407</v>
      </c>
      <c r="M66" s="696" t="s">
        <v>408</v>
      </c>
      <c r="N66" s="1425" t="s">
        <v>409</v>
      </c>
      <c r="O66" s="1261" t="s">
        <v>614</v>
      </c>
      <c r="P66" s="1426" t="s">
        <v>619</v>
      </c>
      <c r="Q66" s="1426" t="s">
        <v>620</v>
      </c>
      <c r="R66" s="1428"/>
      <c r="S66" s="674" t="s">
        <v>8</v>
      </c>
      <c r="T66" s="675"/>
      <c r="U66" s="676"/>
    </row>
    <row r="67" spans="1:21" ht="15" customHeight="1">
      <c r="A67" s="711"/>
      <c r="B67" s="712"/>
      <c r="C67" s="712"/>
      <c r="D67" s="650"/>
      <c r="E67" s="650"/>
      <c r="F67" s="712"/>
      <c r="G67" s="712"/>
      <c r="H67" s="712"/>
      <c r="I67" s="712"/>
      <c r="J67" s="714"/>
      <c r="K67" s="715"/>
      <c r="L67" s="186" t="s">
        <v>410</v>
      </c>
      <c r="M67" s="706"/>
      <c r="N67" s="706"/>
      <c r="O67" s="1261"/>
      <c r="P67" s="1427"/>
      <c r="Q67" s="1427"/>
      <c r="R67" s="1429"/>
      <c r="S67" s="674"/>
      <c r="T67" s="675"/>
      <c r="U67" s="676"/>
    </row>
    <row r="68" spans="1:21" ht="15" customHeight="1">
      <c r="A68" s="59" t="s">
        <v>233</v>
      </c>
      <c r="B68" s="679" t="s">
        <v>868</v>
      </c>
      <c r="C68" s="680"/>
      <c r="D68" s="618" t="s">
        <v>72</v>
      </c>
      <c r="E68" s="619"/>
      <c r="F68" s="681" t="s">
        <v>869</v>
      </c>
      <c r="G68" s="682"/>
      <c r="H68" s="682"/>
      <c r="I68" s="683"/>
      <c r="J68" s="255" t="s">
        <v>879</v>
      </c>
      <c r="K68" s="96" t="s">
        <v>880</v>
      </c>
      <c r="L68" s="76" t="s">
        <v>425</v>
      </c>
      <c r="M68" s="76"/>
      <c r="N68" s="76"/>
      <c r="O68" s="246"/>
      <c r="P68" s="244"/>
      <c r="Q68" s="244"/>
      <c r="R68" s="245"/>
      <c r="S68" s="674" t="s">
        <v>901</v>
      </c>
      <c r="T68" s="675"/>
      <c r="U68" s="676"/>
    </row>
    <row r="69" spans="1:21" ht="15" customHeight="1">
      <c r="A69" s="59" t="s">
        <v>298</v>
      </c>
      <c r="B69" s="706" t="s">
        <v>178</v>
      </c>
      <c r="C69" s="706"/>
      <c r="D69" s="650" t="s">
        <v>240</v>
      </c>
      <c r="E69" s="650"/>
      <c r="F69" s="707" t="s">
        <v>428</v>
      </c>
      <c r="G69" s="707"/>
      <c r="H69" s="707"/>
      <c r="I69" s="707"/>
      <c r="J69" s="23" t="s">
        <v>786</v>
      </c>
      <c r="K69" s="96" t="s">
        <v>709</v>
      </c>
      <c r="L69" s="93" t="s">
        <v>425</v>
      </c>
      <c r="M69" s="25" t="e">
        <f>ROUNDUP(#REF!/(J69*K69),0)</f>
        <v>#REF!</v>
      </c>
      <c r="N69" s="25" t="e">
        <f t="shared" ref="N69:N70" si="38">ROUNDUP(M69*0.2,0)</f>
        <v>#REF!</v>
      </c>
      <c r="O69" s="194"/>
      <c r="P69" s="193" t="e">
        <f>M69+N69-O69</f>
        <v>#REF!</v>
      </c>
      <c r="Q69" s="189" t="e">
        <f t="shared" ref="Q69:Q71" si="39">IF((M69+N69-O69)&lt;=0,0,P69)</f>
        <v>#REF!</v>
      </c>
      <c r="R69" s="191" t="s">
        <v>784</v>
      </c>
      <c r="S69" s="708" t="s">
        <v>813</v>
      </c>
      <c r="T69" s="708"/>
      <c r="U69" s="708"/>
    </row>
    <row r="70" spans="1:21" ht="15" customHeight="1">
      <c r="A70" s="57" t="s">
        <v>239</v>
      </c>
      <c r="B70" s="650" t="s">
        <v>236</v>
      </c>
      <c r="C70" s="650"/>
      <c r="D70" s="650" t="s">
        <v>49</v>
      </c>
      <c r="E70" s="650"/>
      <c r="F70" s="651" t="s">
        <v>804</v>
      </c>
      <c r="G70" s="651"/>
      <c r="H70" s="651"/>
      <c r="I70" s="651"/>
      <c r="J70" s="15"/>
      <c r="K70" s="15"/>
      <c r="L70" s="97" t="s">
        <v>436</v>
      </c>
      <c r="M70" s="25" t="e">
        <f>ROUNDUP(#REF!/(J70*K70),0)</f>
        <v>#REF!</v>
      </c>
      <c r="N70" s="25" t="e">
        <f t="shared" si="38"/>
        <v>#REF!</v>
      </c>
      <c r="O70" s="192"/>
      <c r="P70" s="193" t="e">
        <f>M70+N70-O70</f>
        <v>#REF!</v>
      </c>
      <c r="Q70" s="189" t="e">
        <f t="shared" si="39"/>
        <v>#REF!</v>
      </c>
      <c r="R70" s="191" t="s">
        <v>784</v>
      </c>
      <c r="S70" s="708" t="s">
        <v>785</v>
      </c>
      <c r="T70" s="708"/>
      <c r="U70" s="708"/>
    </row>
    <row r="71" spans="1:21" ht="15" customHeight="1">
      <c r="A71" s="614" t="s">
        <v>242</v>
      </c>
      <c r="B71" s="661" t="s">
        <v>10</v>
      </c>
      <c r="C71" s="661"/>
      <c r="D71" s="661" t="s">
        <v>11</v>
      </c>
      <c r="E71" s="661"/>
      <c r="F71" s="659" t="s">
        <v>415</v>
      </c>
      <c r="G71" s="659"/>
      <c r="H71" s="659"/>
      <c r="I71" s="659"/>
      <c r="J71" s="685" t="s">
        <v>783</v>
      </c>
      <c r="K71" s="703"/>
      <c r="L71" s="88"/>
      <c r="M71" s="8" t="e">
        <f>ROUNDUP(#REF!/(J71*K71),0)</f>
        <v>#REF!</v>
      </c>
      <c r="N71" s="8" t="e">
        <f>ROUNDUP(M71*0.3,0)</f>
        <v>#REF!</v>
      </c>
      <c r="O71" s="187"/>
      <c r="P71" s="188" t="e">
        <f>ROUNDUP((M71+N71-O71)/10,0)</f>
        <v>#REF!</v>
      </c>
      <c r="Q71" s="189" t="e">
        <f t="shared" si="39"/>
        <v>#REF!</v>
      </c>
      <c r="R71" s="190" t="s">
        <v>622</v>
      </c>
      <c r="S71" s="656" t="s">
        <v>875</v>
      </c>
      <c r="T71" s="657"/>
      <c r="U71" s="658"/>
    </row>
    <row r="72" spans="1:21" ht="15" customHeight="1">
      <c r="A72" s="616"/>
      <c r="B72" s="700" t="s">
        <v>13</v>
      </c>
      <c r="C72" s="701"/>
      <c r="D72" s="661" t="s">
        <v>11</v>
      </c>
      <c r="E72" s="661"/>
      <c r="F72" s="659" t="s">
        <v>418</v>
      </c>
      <c r="G72" s="659"/>
      <c r="H72" s="659"/>
      <c r="I72" s="659"/>
      <c r="J72" s="686"/>
      <c r="K72" s="673"/>
      <c r="L72" s="88"/>
      <c r="M72" s="8"/>
      <c r="N72" s="8"/>
      <c r="O72" s="187"/>
      <c r="P72" s="188"/>
      <c r="Q72" s="189"/>
      <c r="R72" s="191" t="str">
        <f t="shared" ref="R72" si="40">IF(Q72&gt;0,"個","")</f>
        <v/>
      </c>
      <c r="S72" s="634"/>
      <c r="T72" s="635"/>
      <c r="U72" s="636"/>
    </row>
    <row r="73" spans="1:21" ht="15" customHeight="1">
      <c r="A73" s="614" t="s">
        <v>807</v>
      </c>
      <c r="B73" s="661" t="s">
        <v>10</v>
      </c>
      <c r="C73" s="661"/>
      <c r="D73" s="661" t="s">
        <v>43</v>
      </c>
      <c r="E73" s="661"/>
      <c r="F73" s="653" t="s">
        <v>823</v>
      </c>
      <c r="G73" s="653"/>
      <c r="H73" s="653"/>
      <c r="I73" s="653"/>
      <c r="J73" s="685" t="s">
        <v>781</v>
      </c>
      <c r="K73" s="703" t="s">
        <v>782</v>
      </c>
      <c r="L73" s="88"/>
      <c r="M73" s="8"/>
      <c r="N73" s="8"/>
      <c r="O73" s="187"/>
      <c r="P73" s="188"/>
      <c r="Q73" s="189"/>
      <c r="R73" s="191"/>
      <c r="S73" s="656" t="s">
        <v>914</v>
      </c>
      <c r="T73" s="657"/>
      <c r="U73" s="658"/>
    </row>
    <row r="74" spans="1:21" ht="15" customHeight="1">
      <c r="A74" s="616"/>
      <c r="B74" s="700" t="s">
        <v>13</v>
      </c>
      <c r="C74" s="701"/>
      <c r="D74" s="661" t="s">
        <v>11</v>
      </c>
      <c r="E74" s="661"/>
      <c r="F74" s="653" t="s">
        <v>414</v>
      </c>
      <c r="G74" s="653"/>
      <c r="H74" s="653"/>
      <c r="I74" s="653"/>
      <c r="J74" s="686"/>
      <c r="K74" s="673"/>
      <c r="L74" s="88"/>
      <c r="M74" s="8"/>
      <c r="N74" s="8"/>
      <c r="O74" s="187"/>
      <c r="P74" s="188"/>
      <c r="Q74" s="189"/>
      <c r="R74" s="191"/>
      <c r="S74" s="634"/>
      <c r="T74" s="635"/>
      <c r="U74" s="636"/>
    </row>
    <row r="75" spans="1:21" ht="15" customHeight="1">
      <c r="A75" s="614" t="s">
        <v>808</v>
      </c>
      <c r="B75" s="661" t="s">
        <v>35</v>
      </c>
      <c r="C75" s="661"/>
      <c r="D75" s="661" t="s">
        <v>11</v>
      </c>
      <c r="E75" s="661"/>
      <c r="F75" s="699" t="s">
        <v>303</v>
      </c>
      <c r="G75" s="699"/>
      <c r="H75" s="699"/>
      <c r="I75" s="699"/>
      <c r="J75" s="685"/>
      <c r="K75" s="702" t="s">
        <v>37</v>
      </c>
      <c r="L75" s="88"/>
      <c r="M75" s="8" t="e">
        <f>ROUNDUP(#REF!/(J75*K75),0)</f>
        <v>#REF!</v>
      </c>
      <c r="N75" s="8" t="e">
        <f t="shared" ref="N75" si="41">ROUNDUP(M75*0.2,0)</f>
        <v>#REF!</v>
      </c>
      <c r="O75" s="187"/>
      <c r="P75" s="188" t="e">
        <f>ROUNDUP((M75+N75-O75)/10,0)</f>
        <v>#REF!</v>
      </c>
      <c r="Q75" s="189" t="e">
        <f t="shared" ref="Q75" si="42">IF((M75+N75-O75)&lt;=0,0,P75)</f>
        <v>#REF!</v>
      </c>
      <c r="R75" s="190" t="s">
        <v>622</v>
      </c>
      <c r="S75" s="660" t="s">
        <v>38</v>
      </c>
      <c r="T75" s="660"/>
      <c r="U75" s="660"/>
    </row>
    <row r="76" spans="1:21" ht="15" customHeight="1">
      <c r="A76" s="616"/>
      <c r="B76" s="661" t="s">
        <v>304</v>
      </c>
      <c r="C76" s="661"/>
      <c r="D76" s="661" t="s">
        <v>11</v>
      </c>
      <c r="E76" s="661"/>
      <c r="F76" s="699" t="s">
        <v>393</v>
      </c>
      <c r="G76" s="699"/>
      <c r="H76" s="699"/>
      <c r="I76" s="699"/>
      <c r="J76" s="686"/>
      <c r="K76" s="691"/>
      <c r="L76" s="88"/>
      <c r="M76" s="8"/>
      <c r="N76" s="8"/>
      <c r="O76" s="187"/>
      <c r="P76" s="188"/>
      <c r="Q76" s="189"/>
      <c r="R76" s="191" t="str">
        <f t="shared" ref="R76" si="43">IF(Q76&gt;0,"個","")</f>
        <v/>
      </c>
      <c r="S76" s="660"/>
      <c r="T76" s="660"/>
      <c r="U76" s="660"/>
    </row>
    <row r="77" spans="1:21" ht="15" customHeight="1">
      <c r="A77" s="59" t="s">
        <v>549</v>
      </c>
      <c r="B77" s="650" t="s">
        <v>164</v>
      </c>
      <c r="C77" s="650"/>
      <c r="D77" s="650" t="s">
        <v>63</v>
      </c>
      <c r="E77" s="650"/>
      <c r="F77" s="651" t="s">
        <v>788</v>
      </c>
      <c r="G77" s="651"/>
      <c r="H77" s="651"/>
      <c r="I77" s="651"/>
      <c r="J77" s="25"/>
      <c r="K77" s="25"/>
      <c r="L77" s="93" t="s">
        <v>425</v>
      </c>
      <c r="M77" s="25" t="e">
        <f>ROUNDUP(#REF!/(J77*K77),0)</f>
        <v>#REF!</v>
      </c>
      <c r="N77" s="25" t="e">
        <f>ROUNDUP(M77*0.3,0)+2</f>
        <v>#REF!</v>
      </c>
      <c r="O77" s="192"/>
      <c r="P77" s="193" t="e">
        <f>M77+N77-O77</f>
        <v>#REF!</v>
      </c>
      <c r="Q77" s="189" t="e">
        <f t="shared" ref="Q77:Q80" si="44">IF((M77+N77-O77)&lt;=0,0,P77)</f>
        <v>#REF!</v>
      </c>
      <c r="R77" s="191" t="s">
        <v>784</v>
      </c>
      <c r="S77" s="652" t="s">
        <v>789</v>
      </c>
      <c r="T77" s="623"/>
      <c r="U77" s="624"/>
    </row>
    <row r="78" spans="1:21" ht="15" customHeight="1">
      <c r="A78" s="57" t="s">
        <v>434</v>
      </c>
      <c r="B78" s="696" t="s">
        <v>178</v>
      </c>
      <c r="C78" s="696"/>
      <c r="D78" s="696" t="s">
        <v>179</v>
      </c>
      <c r="E78" s="696"/>
      <c r="F78" s="697" t="s">
        <v>515</v>
      </c>
      <c r="G78" s="697"/>
      <c r="H78" s="697"/>
      <c r="I78" s="697"/>
      <c r="J78" s="67" t="s">
        <v>790</v>
      </c>
      <c r="K78" s="67"/>
      <c r="L78" s="97" t="s">
        <v>436</v>
      </c>
      <c r="M78" s="25" t="e">
        <f>ROUNDUP(#REF!/(J78*K78),0)</f>
        <v>#REF!</v>
      </c>
      <c r="N78" s="25" t="e">
        <f>ROUNDUP(M78*0.2,0)+2</f>
        <v>#REF!</v>
      </c>
      <c r="O78" s="195"/>
      <c r="P78" s="193" t="e">
        <f>M78+N78-O78</f>
        <v>#REF!</v>
      </c>
      <c r="Q78" s="189" t="e">
        <f t="shared" si="44"/>
        <v>#REF!</v>
      </c>
      <c r="R78" s="191" t="s">
        <v>784</v>
      </c>
      <c r="S78" s="698" t="s">
        <v>517</v>
      </c>
      <c r="T78" s="698"/>
      <c r="U78" s="698"/>
    </row>
    <row r="79" spans="1:21" ht="15" customHeight="1">
      <c r="A79" s="229" t="s">
        <v>309</v>
      </c>
      <c r="B79" s="650" t="s">
        <v>147</v>
      </c>
      <c r="C79" s="650"/>
      <c r="D79" s="650" t="s">
        <v>49</v>
      </c>
      <c r="E79" s="650"/>
      <c r="F79" s="651" t="s">
        <v>518</v>
      </c>
      <c r="G79" s="651"/>
      <c r="H79" s="651"/>
      <c r="I79" s="651"/>
      <c r="J79" s="25" t="s">
        <v>562</v>
      </c>
      <c r="K79" s="25"/>
      <c r="L79" s="113" t="s">
        <v>425</v>
      </c>
      <c r="M79" s="25" t="e">
        <f>ROUNDUP(#REF!/(J79*K79),0)</f>
        <v>#REF!</v>
      </c>
      <c r="N79" s="25" t="e">
        <f>ROUNDUP(M79*0.5,0)+5</f>
        <v>#REF!</v>
      </c>
      <c r="O79" s="192"/>
      <c r="P79" s="193" t="e">
        <f>M79+N79-O79</f>
        <v>#REF!</v>
      </c>
      <c r="Q79" s="189" t="e">
        <f t="shared" si="44"/>
        <v>#REF!</v>
      </c>
      <c r="R79" s="190" t="s">
        <v>784</v>
      </c>
      <c r="S79" s="660" t="s">
        <v>520</v>
      </c>
      <c r="T79" s="660"/>
      <c r="U79" s="660"/>
    </row>
    <row r="80" spans="1:21" ht="15" customHeight="1">
      <c r="A80" s="614" t="s">
        <v>809</v>
      </c>
      <c r="B80" s="661" t="s">
        <v>199</v>
      </c>
      <c r="C80" s="661"/>
      <c r="D80" s="661" t="s">
        <v>11</v>
      </c>
      <c r="E80" s="661"/>
      <c r="F80" s="659" t="s">
        <v>419</v>
      </c>
      <c r="G80" s="659"/>
      <c r="H80" s="659"/>
      <c r="I80" s="659"/>
      <c r="J80" s="685"/>
      <c r="K80" s="702" t="s">
        <v>420</v>
      </c>
      <c r="L80" s="88"/>
      <c r="M80" s="8" t="e">
        <f>ROUNDUP(#REF!/(J80*K80),0)</f>
        <v>#REF!</v>
      </c>
      <c r="N80" s="8" t="e">
        <f t="shared" ref="N80" si="45">ROUNDUP(M80*0.2,0)</f>
        <v>#REF!</v>
      </c>
      <c r="O80" s="187"/>
      <c r="P80" s="188" t="e">
        <f>ROUNDUP((M80+N80-O80)/10,0)</f>
        <v>#REF!</v>
      </c>
      <c r="Q80" s="189" t="e">
        <f t="shared" si="44"/>
        <v>#REF!</v>
      </c>
      <c r="R80" s="190" t="s">
        <v>622</v>
      </c>
      <c r="S80" s="660" t="s">
        <v>323</v>
      </c>
      <c r="T80" s="660"/>
      <c r="U80" s="660"/>
    </row>
    <row r="81" spans="1:21" ht="15" customHeight="1">
      <c r="A81" s="616"/>
      <c r="B81" s="661" t="s">
        <v>202</v>
      </c>
      <c r="C81" s="661"/>
      <c r="D81" s="661" t="s">
        <v>11</v>
      </c>
      <c r="E81" s="661"/>
      <c r="F81" s="659" t="s">
        <v>203</v>
      </c>
      <c r="G81" s="659"/>
      <c r="H81" s="659"/>
      <c r="I81" s="659"/>
      <c r="J81" s="686"/>
      <c r="K81" s="691"/>
      <c r="L81" s="88"/>
      <c r="M81" s="8"/>
      <c r="N81" s="8"/>
      <c r="O81" s="187"/>
      <c r="P81" s="188"/>
      <c r="Q81" s="189"/>
      <c r="R81" s="191" t="str">
        <f t="shared" ref="R81" si="46">IF(Q81&gt;0,"個","")</f>
        <v/>
      </c>
      <c r="S81" s="660"/>
      <c r="T81" s="660"/>
      <c r="U81" s="660"/>
    </row>
    <row r="82" spans="1:21" ht="15" customHeight="1">
      <c r="A82" s="614" t="s">
        <v>127</v>
      </c>
      <c r="B82" s="661" t="s">
        <v>10</v>
      </c>
      <c r="C82" s="661"/>
      <c r="D82" s="661" t="s">
        <v>43</v>
      </c>
      <c r="E82" s="661"/>
      <c r="F82" s="659" t="s">
        <v>810</v>
      </c>
      <c r="G82" s="659"/>
      <c r="H82" s="659"/>
      <c r="I82" s="659"/>
      <c r="J82" s="685"/>
      <c r="K82" s="687"/>
      <c r="L82" s="88"/>
      <c r="M82" s="8" t="e">
        <f>ROUNDUP(#REF!/(J82*K82),0)</f>
        <v>#REF!</v>
      </c>
      <c r="N82" s="8" t="e">
        <f>ROUNDUP(M82*0.3,0)</f>
        <v>#REF!</v>
      </c>
      <c r="O82" s="187"/>
      <c r="P82" s="188" t="e">
        <f>ROUNDUP((M82+N82-O82)/10,0)</f>
        <v>#REF!</v>
      </c>
      <c r="Q82" s="189" t="e">
        <f>IF((M82+N82-O82)&lt;=0,0,P82)</f>
        <v>#REF!</v>
      </c>
      <c r="R82" s="190" t="s">
        <v>622</v>
      </c>
      <c r="S82" s="660" t="s">
        <v>12</v>
      </c>
      <c r="T82" s="660"/>
      <c r="U82" s="660"/>
    </row>
    <row r="83" spans="1:21" ht="15" customHeight="1" thickBot="1">
      <c r="A83" s="684"/>
      <c r="B83" s="693" t="s">
        <v>13</v>
      </c>
      <c r="C83" s="694"/>
      <c r="D83" s="693" t="s">
        <v>14</v>
      </c>
      <c r="E83" s="694"/>
      <c r="F83" s="695" t="s">
        <v>811</v>
      </c>
      <c r="G83" s="695"/>
      <c r="H83" s="695"/>
      <c r="I83" s="695"/>
      <c r="J83" s="1026"/>
      <c r="K83" s="688"/>
      <c r="L83" s="224"/>
      <c r="M83" s="24"/>
      <c r="N83" s="24"/>
      <c r="O83" s="225"/>
      <c r="P83" s="226"/>
      <c r="Q83" s="198"/>
      <c r="R83" s="227" t="str">
        <f t="shared" ref="R83" si="47">IF(Q83&gt;0,"個","")</f>
        <v/>
      </c>
      <c r="S83" s="692"/>
      <c r="T83" s="692"/>
      <c r="U83" s="692"/>
    </row>
    <row r="84" spans="1:21" ht="15" customHeight="1" thickTop="1">
      <c r="A84" s="664" t="s">
        <v>380</v>
      </c>
      <c r="B84" s="637" t="s">
        <v>10</v>
      </c>
      <c r="C84" s="637"/>
      <c r="D84" s="638" t="s">
        <v>14</v>
      </c>
      <c r="E84" s="639"/>
      <c r="F84" s="653" t="s">
        <v>445</v>
      </c>
      <c r="G84" s="653"/>
      <c r="H84" s="653"/>
      <c r="I84" s="653"/>
      <c r="J84" s="626" t="s">
        <v>791</v>
      </c>
      <c r="K84" s="1263"/>
      <c r="L84" s="108"/>
      <c r="M84" s="14" t="e">
        <f>ROUNDUP(#REF!/(J84*K84),0)</f>
        <v>#REF!</v>
      </c>
      <c r="N84" s="14" t="e">
        <f t="shared" ref="N84" si="48">ROUNDUP(M84*0.2,0)</f>
        <v>#REF!</v>
      </c>
      <c r="O84" s="203"/>
      <c r="P84" s="201" t="e">
        <f>ROUNDUP((M84+N84-O84)/10,0)</f>
        <v>#REF!</v>
      </c>
      <c r="Q84" s="202" t="e">
        <f>IF((M84+N84-O84)&lt;=0,0,P84)</f>
        <v>#REF!</v>
      </c>
      <c r="R84" s="191" t="s">
        <v>622</v>
      </c>
      <c r="S84" s="631" t="s">
        <v>825</v>
      </c>
      <c r="T84" s="632"/>
      <c r="U84" s="633"/>
    </row>
    <row r="85" spans="1:21" ht="15" customHeight="1">
      <c r="A85" s="664"/>
      <c r="B85" s="637" t="s">
        <v>81</v>
      </c>
      <c r="C85" s="637"/>
      <c r="D85" s="638" t="s">
        <v>14</v>
      </c>
      <c r="E85" s="639"/>
      <c r="F85" s="653" t="s">
        <v>448</v>
      </c>
      <c r="G85" s="653"/>
      <c r="H85" s="653"/>
      <c r="I85" s="653"/>
      <c r="J85" s="626"/>
      <c r="K85" s="1263"/>
      <c r="L85" s="108"/>
      <c r="M85" s="8"/>
      <c r="N85" s="8"/>
      <c r="O85" s="203"/>
      <c r="P85" s="204"/>
      <c r="Q85" s="189"/>
      <c r="R85" s="191" t="str">
        <f>IF(Q85&gt;0,"個","")</f>
        <v/>
      </c>
      <c r="S85" s="631"/>
      <c r="T85" s="632"/>
      <c r="U85" s="633"/>
    </row>
    <row r="86" spans="1:21" ht="15" customHeight="1">
      <c r="A86" s="665"/>
      <c r="B86" s="637" t="s">
        <v>83</v>
      </c>
      <c r="C86" s="637"/>
      <c r="D86" s="638" t="s">
        <v>14</v>
      </c>
      <c r="E86" s="639"/>
      <c r="F86" s="659" t="s">
        <v>812</v>
      </c>
      <c r="G86" s="659"/>
      <c r="H86" s="659"/>
      <c r="I86" s="659"/>
      <c r="J86" s="627"/>
      <c r="K86" s="726"/>
      <c r="L86" s="108"/>
      <c r="M86" s="8"/>
      <c r="N86" s="8"/>
      <c r="O86" s="203"/>
      <c r="P86" s="204"/>
      <c r="Q86" s="189"/>
      <c r="R86" s="191" t="str">
        <f t="shared" ref="R86" si="49">IF(Q86&gt;0,"個","")</f>
        <v/>
      </c>
      <c r="S86" s="634"/>
      <c r="T86" s="635"/>
      <c r="U86" s="636"/>
    </row>
    <row r="87" spans="1:21" ht="15" customHeight="1">
      <c r="A87" s="184" t="s">
        <v>269</v>
      </c>
      <c r="B87" s="650" t="s">
        <v>147</v>
      </c>
      <c r="C87" s="650"/>
      <c r="D87" s="650" t="s">
        <v>240</v>
      </c>
      <c r="E87" s="650"/>
      <c r="F87" s="651" t="s">
        <v>838</v>
      </c>
      <c r="G87" s="651"/>
      <c r="H87" s="651"/>
      <c r="I87" s="651"/>
      <c r="J87" s="25" t="s">
        <v>798</v>
      </c>
      <c r="K87" s="25"/>
      <c r="L87" s="97" t="s">
        <v>425</v>
      </c>
      <c r="M87" s="25" t="e">
        <f>ROUNDUP(#REF!/(J87*K87),0)</f>
        <v>#REF!</v>
      </c>
      <c r="N87" s="25" t="e">
        <f>ROUNDUP(M87*0.2,0)+1</f>
        <v>#REF!</v>
      </c>
      <c r="O87" s="192"/>
      <c r="P87" s="193" t="e">
        <f t="shared" ref="P87" si="50">M87+N87-O87</f>
        <v>#REF!</v>
      </c>
      <c r="Q87" s="189" t="e">
        <f t="shared" ref="Q87:Q92" si="51">IF((M87+N87-O87)&lt;=0,0,P87)</f>
        <v>#REF!</v>
      </c>
      <c r="R87" s="190" t="s">
        <v>784</v>
      </c>
      <c r="S87" s="660" t="s">
        <v>799</v>
      </c>
      <c r="T87" s="660"/>
      <c r="U87" s="660"/>
    </row>
    <row r="88" spans="1:21" ht="15" customHeight="1">
      <c r="A88" s="59" t="s">
        <v>156</v>
      </c>
      <c r="B88" s="650" t="s">
        <v>205</v>
      </c>
      <c r="C88" s="650"/>
      <c r="D88" s="650" t="s">
        <v>206</v>
      </c>
      <c r="E88" s="650"/>
      <c r="F88" s="651" t="s">
        <v>903</v>
      </c>
      <c r="G88" s="651"/>
      <c r="H88" s="651"/>
      <c r="I88" s="651"/>
      <c r="J88" s="25"/>
      <c r="K88" s="25" t="s">
        <v>881</v>
      </c>
      <c r="L88" s="97" t="s">
        <v>425</v>
      </c>
      <c r="M88" s="25" t="e">
        <f>ROUNDUP(#REF!/(J88*K88),0)</f>
        <v>#REF!</v>
      </c>
      <c r="N88" s="25" t="e">
        <f t="shared" ref="N88" si="52">ROUNDUP(M88*0.2,0)</f>
        <v>#REF!</v>
      </c>
      <c r="O88" s="192"/>
      <c r="P88" s="193" t="e">
        <f>M88+N88-O88</f>
        <v>#REF!</v>
      </c>
      <c r="Q88" s="189" t="e">
        <f t="shared" si="51"/>
        <v>#REF!</v>
      </c>
      <c r="R88" s="190" t="s">
        <v>784</v>
      </c>
      <c r="S88" s="652" t="s">
        <v>904</v>
      </c>
      <c r="T88" s="623"/>
      <c r="U88" s="624"/>
    </row>
    <row r="89" spans="1:21" ht="15" customHeight="1">
      <c r="A89" s="231" t="s">
        <v>70</v>
      </c>
      <c r="B89" s="650" t="s">
        <v>147</v>
      </c>
      <c r="C89" s="650"/>
      <c r="D89" s="650" t="s">
        <v>49</v>
      </c>
      <c r="E89" s="650"/>
      <c r="F89" s="651" t="s">
        <v>518</v>
      </c>
      <c r="G89" s="651"/>
      <c r="H89" s="651"/>
      <c r="I89" s="651"/>
      <c r="J89" s="25"/>
      <c r="K89" s="25" t="s">
        <v>881</v>
      </c>
      <c r="L89" s="97" t="s">
        <v>425</v>
      </c>
      <c r="M89" s="25" t="e">
        <f>ROUNDUP(#REF!/(J89*K89),0)</f>
        <v>#REF!</v>
      </c>
      <c r="N89" s="25" t="e">
        <f>ROUNDUP(M89*0.2,0)+1</f>
        <v>#REF!</v>
      </c>
      <c r="O89" s="192"/>
      <c r="P89" s="193" t="e">
        <f t="shared" ref="P89" si="53">M89+N89-O89</f>
        <v>#REF!</v>
      </c>
      <c r="Q89" s="189" t="e">
        <f t="shared" si="51"/>
        <v>#REF!</v>
      </c>
      <c r="R89" s="190" t="s">
        <v>784</v>
      </c>
      <c r="S89" s="660" t="s">
        <v>905</v>
      </c>
      <c r="T89" s="660"/>
      <c r="U89" s="660"/>
    </row>
    <row r="90" spans="1:21" ht="15" customHeight="1">
      <c r="A90" s="73" t="s">
        <v>141</v>
      </c>
      <c r="B90" s="650" t="s">
        <v>178</v>
      </c>
      <c r="C90" s="650"/>
      <c r="D90" s="650" t="s">
        <v>72</v>
      </c>
      <c r="E90" s="650"/>
      <c r="F90" s="651" t="s">
        <v>814</v>
      </c>
      <c r="G90" s="651"/>
      <c r="H90" s="651"/>
      <c r="I90" s="651"/>
      <c r="J90" s="15" t="s">
        <v>793</v>
      </c>
      <c r="K90" s="109" t="s">
        <v>821</v>
      </c>
      <c r="L90" s="97" t="s">
        <v>436</v>
      </c>
      <c r="M90" s="25" t="e">
        <f>ROUNDUP(#REF!/(J90*K90),0)</f>
        <v>#REF!</v>
      </c>
      <c r="N90" s="25" t="e">
        <f>ROUNDUP(M90*0.2,0)</f>
        <v>#REF!</v>
      </c>
      <c r="O90" s="192"/>
      <c r="P90" s="193" t="e">
        <f>M90+N90-O90</f>
        <v>#REF!</v>
      </c>
      <c r="Q90" s="189" t="e">
        <f t="shared" si="51"/>
        <v>#REF!</v>
      </c>
      <c r="R90" s="190" t="s">
        <v>784</v>
      </c>
      <c r="S90" s="660" t="s">
        <v>878</v>
      </c>
      <c r="T90" s="660"/>
      <c r="U90" s="660"/>
    </row>
    <row r="91" spans="1:21" ht="15" customHeight="1">
      <c r="A91" s="229" t="s">
        <v>352</v>
      </c>
      <c r="B91" s="650" t="s">
        <v>147</v>
      </c>
      <c r="C91" s="650"/>
      <c r="D91" s="650" t="s">
        <v>179</v>
      </c>
      <c r="E91" s="650"/>
      <c r="F91" s="651" t="s">
        <v>795</v>
      </c>
      <c r="G91" s="651"/>
      <c r="H91" s="651"/>
      <c r="I91" s="651"/>
      <c r="J91" s="25" t="s">
        <v>796</v>
      </c>
      <c r="K91" s="25"/>
      <c r="L91" s="97" t="s">
        <v>425</v>
      </c>
      <c r="M91" s="25" t="e">
        <f>ROUNDUP(#REF!/(J91*K91),0)</f>
        <v>#REF!</v>
      </c>
      <c r="N91" s="25" t="e">
        <f>ROUNDUP(M91*0.2,0)+1</f>
        <v>#REF!</v>
      </c>
      <c r="O91" s="192"/>
      <c r="P91" s="193" t="e">
        <f t="shared" ref="P91:P92" si="54">M91+N91-O91</f>
        <v>#REF!</v>
      </c>
      <c r="Q91" s="189" t="e">
        <f t="shared" si="51"/>
        <v>#REF!</v>
      </c>
      <c r="R91" s="190" t="s">
        <v>784</v>
      </c>
      <c r="S91" s="660" t="s">
        <v>797</v>
      </c>
      <c r="T91" s="660"/>
      <c r="U91" s="660"/>
    </row>
    <row r="92" spans="1:21" ht="15" customHeight="1">
      <c r="A92" s="73" t="s">
        <v>794</v>
      </c>
      <c r="B92" s="650" t="s">
        <v>211</v>
      </c>
      <c r="C92" s="650"/>
      <c r="D92" s="650" t="s">
        <v>72</v>
      </c>
      <c r="E92" s="650"/>
      <c r="F92" s="651" t="s">
        <v>893</v>
      </c>
      <c r="G92" s="651"/>
      <c r="H92" s="651"/>
      <c r="I92" s="651"/>
      <c r="J92" s="25"/>
      <c r="K92" s="25"/>
      <c r="L92" s="97" t="s">
        <v>436</v>
      </c>
      <c r="M92" s="25" t="e">
        <f>ROUNDUP(#REF!/(J92*K92),0)</f>
        <v>#REF!</v>
      </c>
      <c r="N92" s="25" t="e">
        <f>ROUNDUP(M92*0.2,0)+1</f>
        <v>#REF!</v>
      </c>
      <c r="O92" s="192"/>
      <c r="P92" s="193" t="e">
        <f t="shared" si="54"/>
        <v>#REF!</v>
      </c>
      <c r="Q92" s="189" t="e">
        <f t="shared" si="51"/>
        <v>#REF!</v>
      </c>
      <c r="R92" s="190" t="s">
        <v>784</v>
      </c>
      <c r="S92" s="660" t="s">
        <v>909</v>
      </c>
      <c r="T92" s="660"/>
      <c r="U92" s="660"/>
    </row>
    <row r="93" spans="1:21" ht="18.75" customHeight="1">
      <c r="A93" s="614" t="s">
        <v>913</v>
      </c>
      <c r="B93" s="637" t="s">
        <v>10</v>
      </c>
      <c r="C93" s="637"/>
      <c r="D93" s="638" t="s">
        <v>43</v>
      </c>
      <c r="E93" s="639"/>
      <c r="F93" s="666" t="s">
        <v>890</v>
      </c>
      <c r="G93" s="667"/>
      <c r="H93" s="667"/>
      <c r="I93" s="667"/>
      <c r="J93" s="685"/>
      <c r="K93" s="671" t="s">
        <v>899</v>
      </c>
      <c r="L93" s="108"/>
      <c r="M93" s="8" t="e">
        <f>ROUNDUP(#REF!/(J93*K93),0)</f>
        <v>#REF!</v>
      </c>
      <c r="N93" s="8" t="e">
        <f t="shared" ref="N93" si="55">ROUNDUP(M93*0.2,0)</f>
        <v>#REF!</v>
      </c>
      <c r="O93" s="203"/>
      <c r="P93" s="188" t="e">
        <f>ROUNDUP((M93+N93-O93)/10,0)</f>
        <v>#REF!</v>
      </c>
      <c r="Q93" s="189" t="e">
        <f>IF((M93+N93-O93)&lt;=0,0,P93)</f>
        <v>#REF!</v>
      </c>
      <c r="R93" s="190" t="s">
        <v>622</v>
      </c>
      <c r="S93" s="631" t="s">
        <v>910</v>
      </c>
      <c r="T93" s="632"/>
      <c r="U93" s="633"/>
    </row>
    <row r="94" spans="1:21" ht="18.75" customHeight="1">
      <c r="A94" s="615"/>
      <c r="B94" s="637" t="s">
        <v>81</v>
      </c>
      <c r="C94" s="637"/>
      <c r="D94" s="661" t="s">
        <v>11</v>
      </c>
      <c r="E94" s="661"/>
      <c r="F94" s="662" t="s">
        <v>891</v>
      </c>
      <c r="G94" s="663"/>
      <c r="H94" s="663"/>
      <c r="I94" s="663"/>
      <c r="J94" s="689"/>
      <c r="K94" s="672"/>
      <c r="L94" s="108"/>
      <c r="M94" s="8"/>
      <c r="N94" s="8"/>
      <c r="O94" s="203"/>
      <c r="P94" s="204"/>
      <c r="Q94" s="189"/>
      <c r="R94" s="191" t="str">
        <f t="shared" ref="R94:R95" si="56">IF(Q94&gt;0,"個","")</f>
        <v/>
      </c>
      <c r="S94" s="631"/>
      <c r="T94" s="632"/>
      <c r="U94" s="633"/>
    </row>
    <row r="95" spans="1:21" ht="15" customHeight="1">
      <c r="A95" s="616"/>
      <c r="B95" s="637" t="s">
        <v>83</v>
      </c>
      <c r="C95" s="637"/>
      <c r="D95" s="661" t="s">
        <v>11</v>
      </c>
      <c r="E95" s="661"/>
      <c r="F95" s="659" t="s">
        <v>892</v>
      </c>
      <c r="G95" s="659"/>
      <c r="H95" s="659"/>
      <c r="I95" s="659"/>
      <c r="J95" s="686"/>
      <c r="K95" s="673"/>
      <c r="L95" s="108"/>
      <c r="M95" s="8"/>
      <c r="N95" s="8"/>
      <c r="O95" s="203"/>
      <c r="P95" s="204"/>
      <c r="Q95" s="189"/>
      <c r="R95" s="191" t="str">
        <f t="shared" si="56"/>
        <v/>
      </c>
      <c r="S95" s="634"/>
      <c r="T95" s="635"/>
      <c r="U95" s="636"/>
    </row>
    <row r="96" spans="1:21" ht="15" customHeight="1">
      <c r="A96" s="1246" t="s">
        <v>803</v>
      </c>
      <c r="B96" s="1246"/>
      <c r="C96" s="1246"/>
    </row>
    <row r="97" spans="1:21" ht="18.75" customHeight="1">
      <c r="A97" s="215" t="s">
        <v>780</v>
      </c>
    </row>
    <row r="98" spans="1:21" ht="15" customHeight="1">
      <c r="A98" s="243" t="s">
        <v>1088</v>
      </c>
      <c r="L98" s="2"/>
    </row>
    <row r="99" spans="1:21" ht="15" customHeight="1">
      <c r="A99" s="49" t="s">
        <v>366</v>
      </c>
      <c r="T99" s="1" t="s">
        <v>983</v>
      </c>
    </row>
    <row r="100" spans="1:21" ht="15" customHeight="1">
      <c r="A100" s="710" t="s">
        <v>2</v>
      </c>
      <c r="B100" s="712" t="s">
        <v>3</v>
      </c>
      <c r="C100" s="712"/>
      <c r="D100" s="650" t="s">
        <v>4</v>
      </c>
      <c r="E100" s="650"/>
      <c r="F100" s="712" t="s">
        <v>5</v>
      </c>
      <c r="G100" s="712"/>
      <c r="H100" s="712"/>
      <c r="I100" s="712"/>
      <c r="J100" s="713" t="s">
        <v>491</v>
      </c>
      <c r="K100" s="715" t="s">
        <v>7</v>
      </c>
      <c r="L100" s="185" t="s">
        <v>407</v>
      </c>
      <c r="M100" s="696" t="s">
        <v>408</v>
      </c>
      <c r="N100" s="1425" t="s">
        <v>409</v>
      </c>
      <c r="O100" s="1261" t="s">
        <v>614</v>
      </c>
      <c r="P100" s="1426" t="s">
        <v>619</v>
      </c>
      <c r="Q100" s="1426" t="s">
        <v>620</v>
      </c>
      <c r="R100" s="1428"/>
      <c r="S100" s="1430" t="s">
        <v>8</v>
      </c>
      <c r="T100" s="1431"/>
      <c r="U100" s="1432"/>
    </row>
    <row r="101" spans="1:21" ht="15" customHeight="1">
      <c r="A101" s="711"/>
      <c r="B101" s="712"/>
      <c r="C101" s="712"/>
      <c r="D101" s="650"/>
      <c r="E101" s="650"/>
      <c r="F101" s="712"/>
      <c r="G101" s="712"/>
      <c r="H101" s="712"/>
      <c r="I101" s="712"/>
      <c r="J101" s="714"/>
      <c r="K101" s="715"/>
      <c r="L101" s="186" t="s">
        <v>410</v>
      </c>
      <c r="M101" s="706"/>
      <c r="N101" s="706"/>
      <c r="O101" s="1261"/>
      <c r="P101" s="1427"/>
      <c r="Q101" s="1427"/>
      <c r="R101" s="1429"/>
      <c r="S101" s="1430"/>
      <c r="T101" s="1431"/>
      <c r="U101" s="1432"/>
    </row>
    <row r="102" spans="1:21" ht="15" customHeight="1">
      <c r="A102" s="614" t="s">
        <v>106</v>
      </c>
      <c r="B102" s="661" t="s">
        <v>10</v>
      </c>
      <c r="C102" s="661"/>
      <c r="D102" s="661" t="s">
        <v>43</v>
      </c>
      <c r="E102" s="661"/>
      <c r="F102" s="659" t="s">
        <v>810</v>
      </c>
      <c r="G102" s="659"/>
      <c r="H102" s="659"/>
      <c r="I102" s="659"/>
      <c r="J102" s="685" t="s">
        <v>984</v>
      </c>
      <c r="K102" s="687"/>
      <c r="L102" s="88"/>
      <c r="M102" s="8" t="e">
        <f>ROUNDUP(#REF!/(J102*K102),0)</f>
        <v>#REF!</v>
      </c>
      <c r="N102" s="8" t="e">
        <f>ROUNDUP(M102*0.3,0)</f>
        <v>#REF!</v>
      </c>
      <c r="O102" s="187"/>
      <c r="P102" s="188" t="e">
        <f>ROUNDUP((M102+N102-O102)/10,0)</f>
        <v>#REF!</v>
      </c>
      <c r="Q102" s="189" t="e">
        <f>IF((M102+N102-O102)&lt;=0,0,P102)</f>
        <v>#REF!</v>
      </c>
      <c r="R102" s="190" t="s">
        <v>622</v>
      </c>
      <c r="S102" s="660" t="s">
        <v>12</v>
      </c>
      <c r="T102" s="660"/>
      <c r="U102" s="660"/>
    </row>
    <row r="103" spans="1:21" ht="15" customHeight="1">
      <c r="A103" s="616"/>
      <c r="B103" s="700" t="s">
        <v>13</v>
      </c>
      <c r="C103" s="701"/>
      <c r="D103" s="700" t="s">
        <v>14</v>
      </c>
      <c r="E103" s="701"/>
      <c r="F103" s="659" t="s">
        <v>811</v>
      </c>
      <c r="G103" s="659"/>
      <c r="H103" s="659"/>
      <c r="I103" s="659"/>
      <c r="J103" s="686"/>
      <c r="K103" s="726"/>
      <c r="L103" s="88"/>
      <c r="M103" s="8"/>
      <c r="N103" s="8"/>
      <c r="O103" s="187"/>
      <c r="P103" s="188"/>
      <c r="Q103" s="189"/>
      <c r="R103" s="191" t="str">
        <f t="shared" ref="R103" si="57">IF(Q103&gt;0,"個","")</f>
        <v/>
      </c>
      <c r="S103" s="660"/>
      <c r="T103" s="660"/>
      <c r="U103" s="660"/>
    </row>
    <row r="104" spans="1:21" ht="15" customHeight="1">
      <c r="A104" s="614" t="s">
        <v>233</v>
      </c>
      <c r="B104" s="661" t="s">
        <v>10</v>
      </c>
      <c r="C104" s="661"/>
      <c r="D104" s="638" t="s">
        <v>43</v>
      </c>
      <c r="E104" s="639"/>
      <c r="F104" s="653" t="s">
        <v>823</v>
      </c>
      <c r="G104" s="653"/>
      <c r="H104" s="653"/>
      <c r="I104" s="653"/>
      <c r="J104" s="685" t="s">
        <v>1082</v>
      </c>
      <c r="K104" s="703"/>
      <c r="L104" s="88"/>
      <c r="M104" s="8" t="e">
        <f>ROUNDUP(#REF!/(J104*K104),0)</f>
        <v>#REF!</v>
      </c>
      <c r="N104" s="8" t="e">
        <f>ROUNDUP(M104*0.3,0)</f>
        <v>#REF!</v>
      </c>
      <c r="O104" s="187"/>
      <c r="P104" s="188" t="e">
        <f>ROUNDUP((M104+N104-O104)/10,0)</f>
        <v>#REF!</v>
      </c>
      <c r="Q104" s="189" t="e">
        <f t="shared" ref="Q104" si="58">IF((M104+N104-O104)&lt;=0,0,P104)</f>
        <v>#REF!</v>
      </c>
      <c r="R104" s="190" t="s">
        <v>622</v>
      </c>
      <c r="S104" s="660" t="s">
        <v>68</v>
      </c>
      <c r="T104" s="660"/>
      <c r="U104" s="660"/>
    </row>
    <row r="105" spans="1:21" ht="15" customHeight="1">
      <c r="A105" s="616"/>
      <c r="B105" s="700" t="s">
        <v>13</v>
      </c>
      <c r="C105" s="701"/>
      <c r="D105" s="700" t="s">
        <v>11</v>
      </c>
      <c r="E105" s="701"/>
      <c r="F105" s="653" t="s">
        <v>414</v>
      </c>
      <c r="G105" s="653"/>
      <c r="H105" s="653"/>
      <c r="I105" s="653"/>
      <c r="J105" s="686"/>
      <c r="K105" s="673"/>
      <c r="L105" s="88"/>
      <c r="M105" s="8"/>
      <c r="N105" s="8"/>
      <c r="O105" s="187"/>
      <c r="P105" s="188"/>
      <c r="Q105" s="189"/>
      <c r="R105" s="191" t="str">
        <f t="shared" ref="R105" si="59">IF(Q105&gt;0,"個","")</f>
        <v/>
      </c>
      <c r="S105" s="660"/>
      <c r="T105" s="660"/>
      <c r="U105" s="660"/>
    </row>
    <row r="106" spans="1:21" ht="15" customHeight="1">
      <c r="A106" s="614" t="s">
        <v>27</v>
      </c>
      <c r="B106" s="661" t="s">
        <v>10</v>
      </c>
      <c r="C106" s="661"/>
      <c r="D106" s="700" t="s">
        <v>11</v>
      </c>
      <c r="E106" s="701"/>
      <c r="F106" s="659" t="s">
        <v>415</v>
      </c>
      <c r="G106" s="659"/>
      <c r="H106" s="659"/>
      <c r="I106" s="659"/>
      <c r="J106" s="1268" t="s">
        <v>1077</v>
      </c>
      <c r="K106" s="1277" t="s">
        <v>1075</v>
      </c>
      <c r="L106" s="88"/>
      <c r="M106" s="8" t="e">
        <f>ROUNDUP(#REF!/(J106*K106),0)</f>
        <v>#REF!</v>
      </c>
      <c r="N106" s="8" t="e">
        <f t="shared" ref="N106" si="60">ROUNDUP(M106*0.2,0)</f>
        <v>#REF!</v>
      </c>
      <c r="O106" s="187"/>
      <c r="P106" s="188" t="e">
        <f>ROUNDUP((M106+N106-O106)/10,0)</f>
        <v>#REF!</v>
      </c>
      <c r="Q106" s="189" t="e">
        <f t="shared" ref="Q106" si="61">IF((M106+N106-O106)&lt;=0,0,P106)</f>
        <v>#REF!</v>
      </c>
      <c r="R106" s="190" t="s">
        <v>622</v>
      </c>
      <c r="S106" s="660" t="s">
        <v>417</v>
      </c>
      <c r="T106" s="660"/>
      <c r="U106" s="660"/>
    </row>
    <row r="107" spans="1:21" ht="15" customHeight="1">
      <c r="A107" s="616"/>
      <c r="B107" s="700" t="s">
        <v>13</v>
      </c>
      <c r="C107" s="701"/>
      <c r="D107" s="700" t="s">
        <v>11</v>
      </c>
      <c r="E107" s="701"/>
      <c r="F107" s="659" t="s">
        <v>418</v>
      </c>
      <c r="G107" s="659"/>
      <c r="H107" s="659"/>
      <c r="I107" s="659"/>
      <c r="J107" s="627"/>
      <c r="K107" s="1278"/>
      <c r="L107" s="88"/>
      <c r="M107" s="8"/>
      <c r="N107" s="8"/>
      <c r="O107" s="187"/>
      <c r="P107" s="188"/>
      <c r="Q107" s="189"/>
      <c r="R107" s="191" t="str">
        <f t="shared" ref="R107" si="62">IF(Q107&gt;0,"個","")</f>
        <v/>
      </c>
      <c r="S107" s="660"/>
      <c r="T107" s="660"/>
      <c r="U107" s="660"/>
    </row>
    <row r="108" spans="1:21" ht="15" customHeight="1">
      <c r="A108" s="614" t="s">
        <v>384</v>
      </c>
      <c r="B108" s="661" t="s">
        <v>199</v>
      </c>
      <c r="C108" s="661"/>
      <c r="D108" s="661" t="s">
        <v>11</v>
      </c>
      <c r="E108" s="661"/>
      <c r="F108" s="659" t="s">
        <v>419</v>
      </c>
      <c r="G108" s="659"/>
      <c r="H108" s="659"/>
      <c r="I108" s="659"/>
      <c r="J108" s="685"/>
      <c r="K108" s="697" t="s">
        <v>420</v>
      </c>
      <c r="L108" s="88"/>
      <c r="M108" s="8" t="e">
        <f>ROUNDUP(#REF!/(J108*K108),0)</f>
        <v>#REF!</v>
      </c>
      <c r="N108" s="8" t="e">
        <f t="shared" ref="N108" si="63">ROUNDUP(M108*0.2,0)</f>
        <v>#REF!</v>
      </c>
      <c r="O108" s="187"/>
      <c r="P108" s="188" t="e">
        <f>ROUNDUP((M108+N108-O108)/10,0)</f>
        <v>#REF!</v>
      </c>
      <c r="Q108" s="189" t="e">
        <f t="shared" ref="Q108" si="64">IF((M108+N108-O108)&lt;=0,0,P108)</f>
        <v>#REF!</v>
      </c>
      <c r="R108" s="190" t="s">
        <v>622</v>
      </c>
      <c r="S108" s="660" t="s">
        <v>323</v>
      </c>
      <c r="T108" s="660"/>
      <c r="U108" s="660"/>
    </row>
    <row r="109" spans="1:21" ht="15" customHeight="1">
      <c r="A109" s="616"/>
      <c r="B109" s="661" t="s">
        <v>202</v>
      </c>
      <c r="C109" s="661"/>
      <c r="D109" s="661" t="s">
        <v>11</v>
      </c>
      <c r="E109" s="661"/>
      <c r="F109" s="659" t="s">
        <v>203</v>
      </c>
      <c r="G109" s="659"/>
      <c r="H109" s="659"/>
      <c r="I109" s="659"/>
      <c r="J109" s="686"/>
      <c r="K109" s="707"/>
      <c r="L109" s="88"/>
      <c r="M109" s="8"/>
      <c r="N109" s="8"/>
      <c r="O109" s="187"/>
      <c r="P109" s="188"/>
      <c r="Q109" s="189"/>
      <c r="R109" s="191" t="str">
        <f t="shared" ref="R109" si="65">IF(Q109&gt;0,"個","")</f>
        <v/>
      </c>
      <c r="S109" s="660"/>
      <c r="T109" s="660"/>
      <c r="U109" s="660"/>
    </row>
    <row r="110" spans="1:21" ht="15" customHeight="1">
      <c r="A110" s="614" t="s">
        <v>421</v>
      </c>
      <c r="B110" s="661" t="s">
        <v>35</v>
      </c>
      <c r="C110" s="661"/>
      <c r="D110" s="661" t="s">
        <v>11</v>
      </c>
      <c r="E110" s="661"/>
      <c r="F110" s="699" t="s">
        <v>303</v>
      </c>
      <c r="G110" s="699"/>
      <c r="H110" s="699"/>
      <c r="I110" s="699"/>
      <c r="J110" s="685"/>
      <c r="K110" s="697" t="s">
        <v>37</v>
      </c>
      <c r="L110" s="88"/>
      <c r="M110" s="8" t="e">
        <f>ROUNDUP(#REF!/(J110*K110),0)</f>
        <v>#REF!</v>
      </c>
      <c r="N110" s="8" t="e">
        <f t="shared" ref="N110" si="66">ROUNDUP(M110*0.2,0)</f>
        <v>#REF!</v>
      </c>
      <c r="O110" s="187"/>
      <c r="P110" s="188" t="e">
        <f>ROUNDUP((M110+N110-O110)/10,0)</f>
        <v>#REF!</v>
      </c>
      <c r="Q110" s="189" t="e">
        <f t="shared" ref="Q110" si="67">IF((M110+N110-O110)&lt;=0,0,P110)</f>
        <v>#REF!</v>
      </c>
      <c r="R110" s="190" t="s">
        <v>622</v>
      </c>
      <c r="S110" s="660" t="s">
        <v>38</v>
      </c>
      <c r="T110" s="660"/>
      <c r="U110" s="660"/>
    </row>
    <row r="111" spans="1:21" ht="15" customHeight="1">
      <c r="A111" s="616"/>
      <c r="B111" s="661" t="s">
        <v>304</v>
      </c>
      <c r="C111" s="661"/>
      <c r="D111" s="661" t="s">
        <v>11</v>
      </c>
      <c r="E111" s="661"/>
      <c r="F111" s="699" t="s">
        <v>422</v>
      </c>
      <c r="G111" s="699"/>
      <c r="H111" s="699"/>
      <c r="I111" s="699"/>
      <c r="J111" s="686"/>
      <c r="K111" s="707"/>
      <c r="L111" s="88"/>
      <c r="M111" s="8"/>
      <c r="N111" s="8"/>
      <c r="O111" s="187"/>
      <c r="P111" s="188"/>
      <c r="Q111" s="189"/>
      <c r="R111" s="191" t="str">
        <f t="shared" ref="R111" si="68">IF(Q111&gt;0,"個","")</f>
        <v/>
      </c>
      <c r="S111" s="660"/>
      <c r="T111" s="660"/>
      <c r="U111" s="660"/>
    </row>
    <row r="112" spans="1:21" ht="15" customHeight="1">
      <c r="A112" s="59" t="s">
        <v>423</v>
      </c>
      <c r="B112" s="650" t="s">
        <v>236</v>
      </c>
      <c r="C112" s="650"/>
      <c r="D112" s="650" t="s">
        <v>49</v>
      </c>
      <c r="E112" s="650"/>
      <c r="F112" s="651" t="s">
        <v>804</v>
      </c>
      <c r="G112" s="651"/>
      <c r="H112" s="651"/>
      <c r="I112" s="651"/>
      <c r="J112" s="170" t="s">
        <v>984</v>
      </c>
      <c r="K112" s="15"/>
      <c r="L112" s="97" t="s">
        <v>436</v>
      </c>
      <c r="M112" s="25" t="e">
        <f>ROUNDUP(#REF!/(J112*K112),0)</f>
        <v>#REF!</v>
      </c>
      <c r="N112" s="25" t="e">
        <f t="shared" ref="N112:N113" si="69">ROUNDUP(M112*0.2,0)</f>
        <v>#REF!</v>
      </c>
      <c r="O112" s="192"/>
      <c r="P112" s="193" t="e">
        <f>M112+N112-O112</f>
        <v>#REF!</v>
      </c>
      <c r="Q112" s="189" t="e">
        <f t="shared" ref="Q112:Q116" si="70">IF((M112+N112-O112)&lt;=0,0,P112)</f>
        <v>#REF!</v>
      </c>
      <c r="R112" s="191" t="s">
        <v>784</v>
      </c>
      <c r="S112" s="708" t="s">
        <v>785</v>
      </c>
      <c r="T112" s="708"/>
      <c r="U112" s="708"/>
    </row>
    <row r="113" spans="1:21" ht="15" customHeight="1">
      <c r="A113" s="59" t="s">
        <v>427</v>
      </c>
      <c r="B113" s="706" t="s">
        <v>178</v>
      </c>
      <c r="C113" s="706"/>
      <c r="D113" s="650" t="s">
        <v>240</v>
      </c>
      <c r="E113" s="650"/>
      <c r="F113" s="707" t="s">
        <v>428</v>
      </c>
      <c r="G113" s="707"/>
      <c r="H113" s="707"/>
      <c r="I113" s="707"/>
      <c r="J113" s="310" t="s">
        <v>1084</v>
      </c>
      <c r="K113" s="96"/>
      <c r="L113" s="93" t="s">
        <v>425</v>
      </c>
      <c r="M113" s="25" t="e">
        <f>ROUNDUP(#REF!/(J113*K113),0)</f>
        <v>#REF!</v>
      </c>
      <c r="N113" s="25" t="e">
        <f t="shared" si="69"/>
        <v>#REF!</v>
      </c>
      <c r="O113" s="194"/>
      <c r="P113" s="193" t="e">
        <f>M113+N113-O113</f>
        <v>#REF!</v>
      </c>
      <c r="Q113" s="189" t="e">
        <f t="shared" si="70"/>
        <v>#REF!</v>
      </c>
      <c r="R113" s="191" t="s">
        <v>784</v>
      </c>
      <c r="S113" s="708" t="s">
        <v>787</v>
      </c>
      <c r="T113" s="708"/>
      <c r="U113" s="708"/>
    </row>
    <row r="114" spans="1:21" ht="27" customHeight="1">
      <c r="A114" s="59" t="s">
        <v>47</v>
      </c>
      <c r="B114" s="650" t="s">
        <v>211</v>
      </c>
      <c r="C114" s="650"/>
      <c r="D114" s="650" t="s">
        <v>63</v>
      </c>
      <c r="E114" s="650"/>
      <c r="F114" s="651" t="s">
        <v>788</v>
      </c>
      <c r="G114" s="651"/>
      <c r="H114" s="651"/>
      <c r="I114" s="651"/>
      <c r="J114" s="269" t="s">
        <v>1085</v>
      </c>
      <c r="K114" s="25"/>
      <c r="L114" s="93" t="s">
        <v>425</v>
      </c>
      <c r="M114" s="25" t="e">
        <f>ROUNDUP(#REF!/(J114*K114),0)</f>
        <v>#REF!</v>
      </c>
      <c r="N114" s="25" t="e">
        <f>ROUNDUP(M114*0.3,0)+2</f>
        <v>#REF!</v>
      </c>
      <c r="O114" s="192"/>
      <c r="P114" s="193" t="e">
        <f>M114+N114-O114</f>
        <v>#REF!</v>
      </c>
      <c r="Q114" s="189" t="e">
        <f t="shared" si="70"/>
        <v>#REF!</v>
      </c>
      <c r="R114" s="191" t="s">
        <v>784</v>
      </c>
      <c r="S114" s="652" t="s">
        <v>789</v>
      </c>
      <c r="T114" s="623"/>
      <c r="U114" s="624"/>
    </row>
    <row r="115" spans="1:21" ht="15" customHeight="1">
      <c r="A115" s="73" t="s">
        <v>434</v>
      </c>
      <c r="B115" s="696" t="s">
        <v>178</v>
      </c>
      <c r="C115" s="696"/>
      <c r="D115" s="696" t="s">
        <v>179</v>
      </c>
      <c r="E115" s="696"/>
      <c r="F115" s="697" t="s">
        <v>515</v>
      </c>
      <c r="G115" s="697"/>
      <c r="H115" s="697"/>
      <c r="I115" s="697"/>
      <c r="J115" s="67" t="s">
        <v>1083</v>
      </c>
      <c r="K115" s="67"/>
      <c r="L115" s="97" t="s">
        <v>436</v>
      </c>
      <c r="M115" s="25" t="e">
        <f>ROUNDUP(#REF!/(J115*K115),0)</f>
        <v>#REF!</v>
      </c>
      <c r="N115" s="25" t="e">
        <f>ROUNDUP(M115*0.2,0)+2</f>
        <v>#REF!</v>
      </c>
      <c r="O115" s="195"/>
      <c r="P115" s="193" t="e">
        <f>M115+N115-O115</f>
        <v>#REF!</v>
      </c>
      <c r="Q115" s="189" t="e">
        <f t="shared" si="70"/>
        <v>#REF!</v>
      </c>
      <c r="R115" s="191" t="s">
        <v>784</v>
      </c>
      <c r="S115" s="698" t="s">
        <v>517</v>
      </c>
      <c r="T115" s="698"/>
      <c r="U115" s="698"/>
    </row>
    <row r="116" spans="1:21" ht="30" customHeight="1" thickBot="1">
      <c r="A116" s="98" t="s">
        <v>439</v>
      </c>
      <c r="B116" s="650" t="s">
        <v>147</v>
      </c>
      <c r="C116" s="650"/>
      <c r="D116" s="727" t="s">
        <v>49</v>
      </c>
      <c r="E116" s="727"/>
      <c r="F116" s="728" t="s">
        <v>518</v>
      </c>
      <c r="G116" s="728"/>
      <c r="H116" s="728"/>
      <c r="I116" s="728"/>
      <c r="J116" s="296" t="s">
        <v>1089</v>
      </c>
      <c r="K116" s="311" t="s">
        <v>1087</v>
      </c>
      <c r="L116" s="100" t="s">
        <v>425</v>
      </c>
      <c r="M116" s="99" t="e">
        <f>ROUNDUP(#REF!/(J116*K116),0)</f>
        <v>#REF!</v>
      </c>
      <c r="N116" s="99" t="e">
        <f>ROUNDUP(M116*0.5,0)+5</f>
        <v>#REF!</v>
      </c>
      <c r="O116" s="196"/>
      <c r="P116" s="197" t="e">
        <f>M116+N116-O116</f>
        <v>#REF!</v>
      </c>
      <c r="Q116" s="198" t="e">
        <f t="shared" si="70"/>
        <v>#REF!</v>
      </c>
      <c r="R116" s="199" t="s">
        <v>784</v>
      </c>
      <c r="S116" s="692" t="s">
        <v>520</v>
      </c>
      <c r="T116" s="692"/>
      <c r="U116" s="692"/>
    </row>
    <row r="117" spans="1:21" ht="15" customHeight="1" thickTop="1">
      <c r="A117" s="729" t="s">
        <v>443</v>
      </c>
      <c r="B117" s="730" t="s">
        <v>10</v>
      </c>
      <c r="C117" s="730"/>
      <c r="D117" s="638" t="s">
        <v>14</v>
      </c>
      <c r="E117" s="639"/>
      <c r="F117" s="731" t="s">
        <v>445</v>
      </c>
      <c r="G117" s="731"/>
      <c r="H117" s="731"/>
      <c r="I117" s="731"/>
      <c r="J117" s="677" t="s">
        <v>1081</v>
      </c>
      <c r="K117" s="788" t="s">
        <v>986</v>
      </c>
      <c r="L117" s="105"/>
      <c r="M117" s="14" t="e">
        <f>ROUNDUP(#REF!/(J117*K117),0)</f>
        <v>#REF!</v>
      </c>
      <c r="N117" s="14" t="e">
        <f t="shared" ref="N117" si="71">ROUNDUP(M117*0.2,0)</f>
        <v>#REF!</v>
      </c>
      <c r="O117" s="200"/>
      <c r="P117" s="201" t="e">
        <f>ROUNDUP((M117+N117-O117)/10,0)</f>
        <v>#REF!</v>
      </c>
      <c r="Q117" s="202" t="e">
        <f>IF((M117+N117-O117)&lt;=0,0,P117)</f>
        <v>#REF!</v>
      </c>
      <c r="R117" s="191" t="s">
        <v>622</v>
      </c>
      <c r="S117" s="631" t="s">
        <v>825</v>
      </c>
      <c r="T117" s="632"/>
      <c r="U117" s="633"/>
    </row>
    <row r="118" spans="1:21" ht="15" customHeight="1">
      <c r="A118" s="615"/>
      <c r="B118" s="637" t="s">
        <v>227</v>
      </c>
      <c r="C118" s="637"/>
      <c r="D118" s="638" t="s">
        <v>14</v>
      </c>
      <c r="E118" s="639"/>
      <c r="F118" s="653" t="s">
        <v>448</v>
      </c>
      <c r="G118" s="653"/>
      <c r="H118" s="653"/>
      <c r="I118" s="653"/>
      <c r="J118" s="626"/>
      <c r="K118" s="789"/>
      <c r="L118" s="108"/>
      <c r="M118" s="8"/>
      <c r="N118" s="8"/>
      <c r="O118" s="203"/>
      <c r="P118" s="204"/>
      <c r="Q118" s="189"/>
      <c r="R118" s="191" t="str">
        <f>IF(Q118&gt;0,"個","")</f>
        <v/>
      </c>
      <c r="S118" s="631"/>
      <c r="T118" s="632"/>
      <c r="U118" s="633"/>
    </row>
    <row r="119" spans="1:21" ht="15" customHeight="1">
      <c r="A119" s="616"/>
      <c r="B119" s="637" t="s">
        <v>83</v>
      </c>
      <c r="C119" s="637"/>
      <c r="D119" s="638" t="s">
        <v>14</v>
      </c>
      <c r="E119" s="639"/>
      <c r="F119" s="659" t="s">
        <v>449</v>
      </c>
      <c r="G119" s="659"/>
      <c r="H119" s="659"/>
      <c r="I119" s="659"/>
      <c r="J119" s="627"/>
      <c r="K119" s="790"/>
      <c r="L119" s="108"/>
      <c r="M119" s="8"/>
      <c r="N119" s="8"/>
      <c r="O119" s="203"/>
      <c r="P119" s="204"/>
      <c r="Q119" s="189"/>
      <c r="R119" s="191" t="str">
        <f t="shared" ref="R119" si="72">IF(Q119&gt;0,"個","")</f>
        <v/>
      </c>
      <c r="S119" s="634"/>
      <c r="T119" s="635"/>
      <c r="U119" s="636"/>
    </row>
    <row r="120" spans="1:21" ht="15" customHeight="1">
      <c r="A120" s="664" t="s">
        <v>450</v>
      </c>
      <c r="B120" s="637" t="s">
        <v>10</v>
      </c>
      <c r="C120" s="637"/>
      <c r="D120" s="638" t="s">
        <v>43</v>
      </c>
      <c r="E120" s="639"/>
      <c r="F120" s="666" t="s">
        <v>890</v>
      </c>
      <c r="G120" s="667"/>
      <c r="H120" s="667"/>
      <c r="I120" s="667"/>
      <c r="J120" s="735" t="s">
        <v>1035</v>
      </c>
      <c r="K120" s="738"/>
      <c r="L120" s="108"/>
      <c r="M120" s="8" t="e">
        <f>ROUNDUP(#REF!/(J120*K120),0)</f>
        <v>#REF!</v>
      </c>
      <c r="N120" s="8" t="e">
        <f t="shared" ref="N120" si="73">ROUNDUP(M120*0.2,0)</f>
        <v>#REF!</v>
      </c>
      <c r="O120" s="203"/>
      <c r="P120" s="188" t="e">
        <f>ROUNDUP((M120+N120-O120)/10,0)</f>
        <v>#REF!</v>
      </c>
      <c r="Q120" s="189" t="e">
        <f>IF((M120+N120-O120)&lt;=0,0,P120)</f>
        <v>#REF!</v>
      </c>
      <c r="R120" s="190" t="s">
        <v>622</v>
      </c>
      <c r="S120" s="631" t="s">
        <v>910</v>
      </c>
      <c r="T120" s="632"/>
      <c r="U120" s="633"/>
    </row>
    <row r="121" spans="1:21" ht="15" customHeight="1">
      <c r="A121" s="664"/>
      <c r="B121" s="637" t="s">
        <v>81</v>
      </c>
      <c r="C121" s="637"/>
      <c r="D121" s="661" t="s">
        <v>11</v>
      </c>
      <c r="E121" s="661"/>
      <c r="F121" s="662" t="s">
        <v>891</v>
      </c>
      <c r="G121" s="663"/>
      <c r="H121" s="663"/>
      <c r="I121" s="663"/>
      <c r="J121" s="736"/>
      <c r="K121" s="672"/>
      <c r="L121" s="108"/>
      <c r="M121" s="8"/>
      <c r="N121" s="8"/>
      <c r="O121" s="203"/>
      <c r="P121" s="204"/>
      <c r="Q121" s="189"/>
      <c r="R121" s="191" t="str">
        <f t="shared" ref="R121:R122" si="74">IF(Q121&gt;0,"個","")</f>
        <v/>
      </c>
      <c r="S121" s="631"/>
      <c r="T121" s="632"/>
      <c r="U121" s="633"/>
    </row>
    <row r="122" spans="1:21" ht="15" customHeight="1">
      <c r="A122" s="665"/>
      <c r="B122" s="637" t="s">
        <v>83</v>
      </c>
      <c r="C122" s="637"/>
      <c r="D122" s="661" t="s">
        <v>11</v>
      </c>
      <c r="E122" s="661"/>
      <c r="F122" s="659" t="s">
        <v>912</v>
      </c>
      <c r="G122" s="659"/>
      <c r="H122" s="659"/>
      <c r="I122" s="659"/>
      <c r="J122" s="737"/>
      <c r="K122" s="673"/>
      <c r="L122" s="108"/>
      <c r="M122" s="8"/>
      <c r="N122" s="8"/>
      <c r="O122" s="203"/>
      <c r="P122" s="204"/>
      <c r="Q122" s="189"/>
      <c r="R122" s="191" t="str">
        <f t="shared" si="74"/>
        <v/>
      </c>
      <c r="S122" s="634"/>
      <c r="T122" s="635"/>
      <c r="U122" s="636"/>
    </row>
    <row r="123" spans="1:21" ht="24.75" customHeight="1">
      <c r="A123" s="59" t="s">
        <v>455</v>
      </c>
      <c r="B123" s="650" t="s">
        <v>178</v>
      </c>
      <c r="C123" s="650"/>
      <c r="D123" s="650" t="s">
        <v>179</v>
      </c>
      <c r="E123" s="650"/>
      <c r="F123" s="651" t="s">
        <v>814</v>
      </c>
      <c r="G123" s="651"/>
      <c r="H123" s="651"/>
      <c r="I123" s="651"/>
      <c r="J123" s="15" t="s">
        <v>1078</v>
      </c>
      <c r="K123" s="309" t="s">
        <v>1086</v>
      </c>
      <c r="L123" s="97" t="s">
        <v>436</v>
      </c>
      <c r="M123" s="25" t="e">
        <f>ROUNDUP(#REF!/(J123*K123),0)</f>
        <v>#REF!</v>
      </c>
      <c r="N123" s="25" t="e">
        <f>ROUNDUP(M123*0.2,0)</f>
        <v>#REF!</v>
      </c>
      <c r="O123" s="192"/>
      <c r="P123" s="193" t="e">
        <f>M123+N123-O123</f>
        <v>#REF!</v>
      </c>
      <c r="Q123" s="189" t="e">
        <f t="shared" ref="Q123:Q128" si="75">IF((M123+N123-O123)&lt;=0,0,P123)</f>
        <v>#REF!</v>
      </c>
      <c r="R123" s="190" t="s">
        <v>784</v>
      </c>
      <c r="S123" s="660" t="s">
        <v>458</v>
      </c>
      <c r="T123" s="660"/>
      <c r="U123" s="660"/>
    </row>
    <row r="124" spans="1:21" ht="15" customHeight="1">
      <c r="A124" s="73" t="s">
        <v>794</v>
      </c>
      <c r="B124" s="650" t="s">
        <v>211</v>
      </c>
      <c r="C124" s="650"/>
      <c r="D124" s="650" t="s">
        <v>72</v>
      </c>
      <c r="E124" s="650"/>
      <c r="F124" s="651" t="s">
        <v>465</v>
      </c>
      <c r="G124" s="651"/>
      <c r="H124" s="651"/>
      <c r="I124" s="651"/>
      <c r="J124" s="274" t="s">
        <v>987</v>
      </c>
      <c r="K124" s="25"/>
      <c r="L124" s="97" t="s">
        <v>436</v>
      </c>
      <c r="M124" s="25" t="e">
        <f>ROUNDUP(#REF!/(J124*K124),0)</f>
        <v>#REF!</v>
      </c>
      <c r="N124" s="25" t="e">
        <f>ROUNDUP(M124*0.2,0)+1</f>
        <v>#REF!</v>
      </c>
      <c r="O124" s="192"/>
      <c r="P124" s="193" t="e">
        <f t="shared" ref="P124:P126" si="76">M124+N124-O124</f>
        <v>#REF!</v>
      </c>
      <c r="Q124" s="189" t="e">
        <f t="shared" si="75"/>
        <v>#REF!</v>
      </c>
      <c r="R124" s="190" t="s">
        <v>784</v>
      </c>
      <c r="S124" s="660" t="s">
        <v>909</v>
      </c>
      <c r="T124" s="660"/>
      <c r="U124" s="660"/>
    </row>
    <row r="125" spans="1:21" ht="15" customHeight="1">
      <c r="A125" s="184" t="s">
        <v>464</v>
      </c>
      <c r="B125" s="650" t="s">
        <v>147</v>
      </c>
      <c r="C125" s="650"/>
      <c r="D125" s="650" t="s">
        <v>179</v>
      </c>
      <c r="E125" s="650"/>
      <c r="F125" s="651" t="s">
        <v>795</v>
      </c>
      <c r="G125" s="651"/>
      <c r="H125" s="651"/>
      <c r="I125" s="651"/>
      <c r="J125" s="25" t="s">
        <v>1079</v>
      </c>
      <c r="K125" s="25"/>
      <c r="L125" s="97" t="s">
        <v>470</v>
      </c>
      <c r="M125" s="25" t="e">
        <f>ROUNDUP(#REF!/(J125*K125),0)</f>
        <v>#REF!</v>
      </c>
      <c r="N125" s="25" t="e">
        <f>ROUNDUP(M125*0.2,0)+1</f>
        <v>#REF!</v>
      </c>
      <c r="O125" s="192"/>
      <c r="P125" s="193" t="e">
        <f t="shared" si="76"/>
        <v>#REF!</v>
      </c>
      <c r="Q125" s="189" t="e">
        <f t="shared" si="75"/>
        <v>#REF!</v>
      </c>
      <c r="R125" s="190" t="s">
        <v>784</v>
      </c>
      <c r="S125" s="660" t="s">
        <v>797</v>
      </c>
      <c r="T125" s="660"/>
      <c r="U125" s="660"/>
    </row>
    <row r="126" spans="1:21" ht="15" customHeight="1">
      <c r="A126" s="184" t="s">
        <v>467</v>
      </c>
      <c r="B126" s="650" t="s">
        <v>147</v>
      </c>
      <c r="C126" s="650"/>
      <c r="D126" s="650" t="s">
        <v>240</v>
      </c>
      <c r="E126" s="650"/>
      <c r="F126" s="651" t="s">
        <v>838</v>
      </c>
      <c r="G126" s="651"/>
      <c r="H126" s="651"/>
      <c r="I126" s="651"/>
      <c r="J126" s="25" t="s">
        <v>1080</v>
      </c>
      <c r="K126" s="109"/>
      <c r="L126" s="97" t="s">
        <v>425</v>
      </c>
      <c r="M126" s="25" t="e">
        <f>ROUNDUP(#REF!/(J126*K126),0)</f>
        <v>#REF!</v>
      </c>
      <c r="N126" s="25" t="e">
        <f t="shared" ref="N126:N127" si="77">ROUNDUP(M126*0.2,0)</f>
        <v>#REF!</v>
      </c>
      <c r="O126" s="192"/>
      <c r="P126" s="193" t="e">
        <f t="shared" si="76"/>
        <v>#REF!</v>
      </c>
      <c r="Q126" s="189" t="e">
        <f t="shared" si="75"/>
        <v>#REF!</v>
      </c>
      <c r="R126" s="190" t="s">
        <v>784</v>
      </c>
      <c r="S126" s="652" t="s">
        <v>799</v>
      </c>
      <c r="T126" s="623"/>
      <c r="U126" s="624"/>
    </row>
    <row r="127" spans="1:21" ht="30" customHeight="1">
      <c r="A127" s="73" t="s">
        <v>908</v>
      </c>
      <c r="B127" s="650" t="s">
        <v>205</v>
      </c>
      <c r="C127" s="650"/>
      <c r="D127" s="650" t="s">
        <v>206</v>
      </c>
      <c r="E127" s="650"/>
      <c r="F127" s="651" t="s">
        <v>903</v>
      </c>
      <c r="G127" s="651"/>
      <c r="H127" s="651"/>
      <c r="I127" s="651"/>
      <c r="J127" s="304" t="s">
        <v>1064</v>
      </c>
      <c r="K127" s="305" t="s">
        <v>1066</v>
      </c>
      <c r="L127" s="97" t="s">
        <v>425</v>
      </c>
      <c r="M127" s="25" t="e">
        <f>ROUNDUP(#REF!/(J127*K127),0)</f>
        <v>#REF!</v>
      </c>
      <c r="N127" s="25" t="e">
        <f t="shared" si="77"/>
        <v>#REF!</v>
      </c>
      <c r="O127" s="192"/>
      <c r="P127" s="193" t="e">
        <f>M127+N127-O127</f>
        <v>#REF!</v>
      </c>
      <c r="Q127" s="189" t="e">
        <f t="shared" si="75"/>
        <v>#REF!</v>
      </c>
      <c r="R127" s="190" t="s">
        <v>784</v>
      </c>
      <c r="S127" s="652" t="s">
        <v>904</v>
      </c>
      <c r="T127" s="623"/>
      <c r="U127" s="624"/>
    </row>
    <row r="128" spans="1:21" ht="30" customHeight="1">
      <c r="A128" s="229" t="s">
        <v>473</v>
      </c>
      <c r="B128" s="650" t="s">
        <v>147</v>
      </c>
      <c r="C128" s="650"/>
      <c r="D128" s="650" t="s">
        <v>49</v>
      </c>
      <c r="E128" s="650"/>
      <c r="F128" s="651" t="s">
        <v>518</v>
      </c>
      <c r="G128" s="651"/>
      <c r="H128" s="651"/>
      <c r="I128" s="651"/>
      <c r="J128" s="296" t="s">
        <v>1089</v>
      </c>
      <c r="K128" s="311" t="s">
        <v>1087</v>
      </c>
      <c r="L128" s="97" t="s">
        <v>425</v>
      </c>
      <c r="M128" s="25" t="e">
        <f>ROUNDUP(#REF!/(J128*K128),0)</f>
        <v>#REF!</v>
      </c>
      <c r="N128" s="25" t="e">
        <f>ROUNDUP(M128*0.2,0)+1</f>
        <v>#REF!</v>
      </c>
      <c r="O128" s="192"/>
      <c r="P128" s="193" t="e">
        <f t="shared" ref="P128" si="78">M128+N128-O128</f>
        <v>#REF!</v>
      </c>
      <c r="Q128" s="189" t="e">
        <f t="shared" si="75"/>
        <v>#REF!</v>
      </c>
      <c r="R128" s="190" t="s">
        <v>784</v>
      </c>
      <c r="S128" s="660" t="s">
        <v>905</v>
      </c>
      <c r="T128" s="660"/>
      <c r="U128" s="660"/>
    </row>
    <row r="129" spans="1:21" ht="15" customHeight="1">
      <c r="A129" s="59" t="s">
        <v>476</v>
      </c>
      <c r="B129" s="679" t="s">
        <v>868</v>
      </c>
      <c r="C129" s="680"/>
      <c r="D129" s="618" t="s">
        <v>72</v>
      </c>
      <c r="E129" s="619"/>
      <c r="F129" s="681" t="s">
        <v>869</v>
      </c>
      <c r="G129" s="682"/>
      <c r="H129" s="682"/>
      <c r="I129" s="683"/>
      <c r="J129" s="255" t="s">
        <v>980</v>
      </c>
      <c r="K129" s="96"/>
      <c r="L129" s="76" t="s">
        <v>425</v>
      </c>
      <c r="M129" s="76"/>
      <c r="N129" s="76"/>
      <c r="O129" s="246"/>
      <c r="P129" s="244"/>
      <c r="Q129" s="244"/>
      <c r="R129" s="245"/>
      <c r="S129" s="674" t="s">
        <v>901</v>
      </c>
      <c r="T129" s="675"/>
      <c r="U129" s="676"/>
    </row>
    <row r="130" spans="1:21" ht="15" customHeight="1">
      <c r="A130" s="739" t="s">
        <v>480</v>
      </c>
      <c r="B130" s="661" t="s">
        <v>10</v>
      </c>
      <c r="C130" s="661"/>
      <c r="D130" s="661" t="s">
        <v>43</v>
      </c>
      <c r="E130" s="661"/>
      <c r="F130" s="659" t="s">
        <v>185</v>
      </c>
      <c r="G130" s="659"/>
      <c r="H130" s="659"/>
      <c r="I130" s="659"/>
      <c r="J130" s="685" t="s">
        <v>981</v>
      </c>
      <c r="K130" s="738" t="s">
        <v>1076</v>
      </c>
      <c r="L130" s="88"/>
      <c r="M130" s="8" t="e">
        <f>ROUNDUP(#REF!/(J130*K130),0)</f>
        <v>#REF!</v>
      </c>
      <c r="N130" s="8" t="e">
        <f t="shared" ref="N130" si="79">ROUNDUP(M130*0.2,0)</f>
        <v>#REF!</v>
      </c>
      <c r="O130" s="187"/>
      <c r="P130" s="188" t="e">
        <f>ROUNDUP((M130+N130-O130)/10,0)</f>
        <v>#REF!</v>
      </c>
      <c r="Q130" s="189" t="e">
        <f>IF((M130+N130-O130)&lt;=0,0,P130)</f>
        <v>#REF!</v>
      </c>
      <c r="R130" s="190" t="s">
        <v>622</v>
      </c>
      <c r="S130" s="660" t="s">
        <v>802</v>
      </c>
      <c r="T130" s="660"/>
      <c r="U130" s="660"/>
    </row>
    <row r="131" spans="1:21" ht="19.8">
      <c r="A131" s="739"/>
      <c r="B131" s="661" t="s">
        <v>13</v>
      </c>
      <c r="C131" s="661"/>
      <c r="D131" s="661" t="s">
        <v>49</v>
      </c>
      <c r="E131" s="661"/>
      <c r="F131" s="659" t="s">
        <v>69</v>
      </c>
      <c r="G131" s="659"/>
      <c r="H131" s="659"/>
      <c r="I131" s="659"/>
      <c r="J131" s="686"/>
      <c r="K131" s="705"/>
      <c r="L131" s="88"/>
      <c r="M131" s="8"/>
      <c r="N131" s="8"/>
      <c r="O131" s="187"/>
      <c r="P131" s="204"/>
      <c r="Q131" s="189"/>
      <c r="R131" s="191" t="str">
        <f t="shared" ref="R131" si="80">IF(Q131&gt;0,"個","")</f>
        <v/>
      </c>
      <c r="S131" s="660"/>
      <c r="T131" s="660"/>
      <c r="U131" s="660"/>
    </row>
    <row r="132" spans="1:21" ht="19.8">
      <c r="A132" s="1246" t="s">
        <v>803</v>
      </c>
      <c r="B132" s="1424"/>
      <c r="C132" s="1424"/>
      <c r="D132" s="205"/>
      <c r="E132" s="205"/>
      <c r="F132" s="206"/>
      <c r="G132" s="206"/>
      <c r="H132" s="206"/>
      <c r="I132" s="206"/>
      <c r="J132" s="207"/>
      <c r="K132" s="207"/>
      <c r="L132" s="207"/>
      <c r="M132" s="208"/>
      <c r="N132" s="208"/>
      <c r="O132" s="209"/>
      <c r="P132" s="210"/>
      <c r="Q132" s="211"/>
      <c r="R132" s="211"/>
      <c r="S132" s="120"/>
      <c r="T132" s="120"/>
      <c r="U132" s="120"/>
    </row>
    <row r="133" spans="1:21" ht="18.75" customHeight="1">
      <c r="A133" s="215" t="s">
        <v>780</v>
      </c>
    </row>
    <row r="134" spans="1:21" ht="15" customHeight="1">
      <c r="A134" s="243" t="s">
        <v>1088</v>
      </c>
      <c r="L134" s="2"/>
    </row>
    <row r="135" spans="1:21" ht="15" customHeight="1">
      <c r="A135" s="49" t="s">
        <v>366</v>
      </c>
      <c r="T135" s="1" t="s">
        <v>983</v>
      </c>
    </row>
    <row r="136" spans="1:21" ht="15" customHeight="1">
      <c r="A136" s="710" t="s">
        <v>2</v>
      </c>
      <c r="B136" s="712" t="s">
        <v>3</v>
      </c>
      <c r="C136" s="712"/>
      <c r="D136" s="650" t="s">
        <v>4</v>
      </c>
      <c r="E136" s="650"/>
      <c r="F136" s="712" t="s">
        <v>5</v>
      </c>
      <c r="G136" s="712"/>
      <c r="H136" s="712"/>
      <c r="I136" s="712"/>
      <c r="J136" s="713" t="s">
        <v>491</v>
      </c>
      <c r="K136" s="715" t="s">
        <v>7</v>
      </c>
      <c r="L136" s="185" t="s">
        <v>407</v>
      </c>
      <c r="M136" s="696" t="s">
        <v>408</v>
      </c>
      <c r="N136" s="1425" t="s">
        <v>409</v>
      </c>
      <c r="O136" s="1261" t="s">
        <v>614</v>
      </c>
      <c r="P136" s="1426" t="s">
        <v>619</v>
      </c>
      <c r="Q136" s="1426" t="s">
        <v>620</v>
      </c>
      <c r="R136" s="1428"/>
      <c r="S136" s="1430" t="s">
        <v>8</v>
      </c>
      <c r="T136" s="1431"/>
      <c r="U136" s="1432"/>
    </row>
    <row r="137" spans="1:21" ht="15" customHeight="1">
      <c r="A137" s="711"/>
      <c r="B137" s="712"/>
      <c r="C137" s="712"/>
      <c r="D137" s="650"/>
      <c r="E137" s="650"/>
      <c r="F137" s="712"/>
      <c r="G137" s="712"/>
      <c r="H137" s="712"/>
      <c r="I137" s="712"/>
      <c r="J137" s="714"/>
      <c r="K137" s="715"/>
      <c r="L137" s="186" t="s">
        <v>410</v>
      </c>
      <c r="M137" s="706"/>
      <c r="N137" s="706"/>
      <c r="O137" s="1261"/>
      <c r="P137" s="1427"/>
      <c r="Q137" s="1427"/>
      <c r="R137" s="1429"/>
      <c r="S137" s="1430"/>
      <c r="T137" s="1431"/>
      <c r="U137" s="1432"/>
    </row>
    <row r="138" spans="1:21" ht="15" customHeight="1">
      <c r="A138" s="614" t="s">
        <v>106</v>
      </c>
      <c r="B138" s="661" t="s">
        <v>10</v>
      </c>
      <c r="C138" s="661"/>
      <c r="D138" s="661" t="s">
        <v>43</v>
      </c>
      <c r="E138" s="661"/>
      <c r="F138" s="659" t="s">
        <v>810</v>
      </c>
      <c r="G138" s="659"/>
      <c r="H138" s="659"/>
      <c r="I138" s="659"/>
      <c r="J138" s="685" t="s">
        <v>984</v>
      </c>
      <c r="K138" s="687"/>
      <c r="L138" s="88"/>
      <c r="M138" s="8" t="e">
        <f>ROUNDUP(#REF!/(J138*K138),0)</f>
        <v>#REF!</v>
      </c>
      <c r="N138" s="8" t="e">
        <f>ROUNDUP(M138*0.3,0)</f>
        <v>#REF!</v>
      </c>
      <c r="O138" s="187"/>
      <c r="P138" s="188" t="e">
        <f>ROUNDUP((M138+N138-O138)/10,0)</f>
        <v>#REF!</v>
      </c>
      <c r="Q138" s="189" t="e">
        <f>IF((M138+N138-O138)&lt;=0,0,P138)</f>
        <v>#REF!</v>
      </c>
      <c r="R138" s="190" t="s">
        <v>622</v>
      </c>
      <c r="S138" s="660" t="s">
        <v>12</v>
      </c>
      <c r="T138" s="660"/>
      <c r="U138" s="660"/>
    </row>
    <row r="139" spans="1:21" ht="15" customHeight="1">
      <c r="A139" s="616"/>
      <c r="B139" s="700" t="s">
        <v>13</v>
      </c>
      <c r="C139" s="701"/>
      <c r="D139" s="700" t="s">
        <v>14</v>
      </c>
      <c r="E139" s="701"/>
      <c r="F139" s="659" t="s">
        <v>811</v>
      </c>
      <c r="G139" s="659"/>
      <c r="H139" s="659"/>
      <c r="I139" s="659"/>
      <c r="J139" s="686"/>
      <c r="K139" s="726"/>
      <c r="L139" s="88"/>
      <c r="M139" s="8"/>
      <c r="N139" s="8"/>
      <c r="O139" s="187"/>
      <c r="P139" s="188"/>
      <c r="Q139" s="189"/>
      <c r="R139" s="191" t="str">
        <f t="shared" ref="R139" si="81">IF(Q139&gt;0,"個","")</f>
        <v/>
      </c>
      <c r="S139" s="660"/>
      <c r="T139" s="660"/>
      <c r="U139" s="660"/>
    </row>
    <row r="140" spans="1:21" ht="15" customHeight="1">
      <c r="A140" s="614" t="s">
        <v>233</v>
      </c>
      <c r="B140" s="661" t="s">
        <v>10</v>
      </c>
      <c r="C140" s="661"/>
      <c r="D140" s="638" t="s">
        <v>43</v>
      </c>
      <c r="E140" s="639"/>
      <c r="F140" s="653" t="s">
        <v>823</v>
      </c>
      <c r="G140" s="653"/>
      <c r="H140" s="653"/>
      <c r="I140" s="653"/>
      <c r="J140" s="685" t="s">
        <v>1082</v>
      </c>
      <c r="K140" s="703"/>
      <c r="L140" s="88"/>
      <c r="M140" s="8" t="e">
        <f>ROUNDUP(#REF!/(J140*K140),0)</f>
        <v>#REF!</v>
      </c>
      <c r="N140" s="8" t="e">
        <f>ROUNDUP(M140*0.3,0)</f>
        <v>#REF!</v>
      </c>
      <c r="O140" s="187"/>
      <c r="P140" s="188" t="e">
        <f>ROUNDUP((M140+N140-O140)/10,0)</f>
        <v>#REF!</v>
      </c>
      <c r="Q140" s="189" t="e">
        <f t="shared" ref="Q140" si="82">IF((M140+N140-O140)&lt;=0,0,P140)</f>
        <v>#REF!</v>
      </c>
      <c r="R140" s="190" t="s">
        <v>622</v>
      </c>
      <c r="S140" s="660" t="s">
        <v>68</v>
      </c>
      <c r="T140" s="660"/>
      <c r="U140" s="660"/>
    </row>
    <row r="141" spans="1:21" ht="15" customHeight="1">
      <c r="A141" s="616"/>
      <c r="B141" s="700" t="s">
        <v>13</v>
      </c>
      <c r="C141" s="701"/>
      <c r="D141" s="700" t="s">
        <v>11</v>
      </c>
      <c r="E141" s="701"/>
      <c r="F141" s="653" t="s">
        <v>414</v>
      </c>
      <c r="G141" s="653"/>
      <c r="H141" s="653"/>
      <c r="I141" s="653"/>
      <c r="J141" s="686"/>
      <c r="K141" s="673"/>
      <c r="L141" s="88"/>
      <c r="M141" s="8"/>
      <c r="N141" s="8"/>
      <c r="O141" s="187"/>
      <c r="P141" s="188"/>
      <c r="Q141" s="189"/>
      <c r="R141" s="191" t="str">
        <f t="shared" ref="R141" si="83">IF(Q141&gt;0,"個","")</f>
        <v/>
      </c>
      <c r="S141" s="660"/>
      <c r="T141" s="660"/>
      <c r="U141" s="660"/>
    </row>
    <row r="142" spans="1:21" ht="15" customHeight="1">
      <c r="A142" s="614" t="s">
        <v>27</v>
      </c>
      <c r="B142" s="661" t="s">
        <v>10</v>
      </c>
      <c r="C142" s="661"/>
      <c r="D142" s="700" t="s">
        <v>11</v>
      </c>
      <c r="E142" s="701"/>
      <c r="F142" s="659" t="s">
        <v>415</v>
      </c>
      <c r="G142" s="659"/>
      <c r="H142" s="659"/>
      <c r="I142" s="659"/>
      <c r="J142" s="1268" t="s">
        <v>1077</v>
      </c>
      <c r="K142" s="1277" t="s">
        <v>1075</v>
      </c>
      <c r="L142" s="88"/>
      <c r="M142" s="8" t="e">
        <f>ROUNDUP(#REF!/(J142*K142),0)</f>
        <v>#REF!</v>
      </c>
      <c r="N142" s="8" t="e">
        <f t="shared" ref="N142" si="84">ROUNDUP(M142*0.2,0)</f>
        <v>#REF!</v>
      </c>
      <c r="O142" s="187"/>
      <c r="P142" s="188" t="e">
        <f>ROUNDUP((M142+N142-O142)/10,0)</f>
        <v>#REF!</v>
      </c>
      <c r="Q142" s="189" t="e">
        <f t="shared" ref="Q142" si="85">IF((M142+N142-O142)&lt;=0,0,P142)</f>
        <v>#REF!</v>
      </c>
      <c r="R142" s="190" t="s">
        <v>622</v>
      </c>
      <c r="S142" s="660" t="s">
        <v>417</v>
      </c>
      <c r="T142" s="660"/>
      <c r="U142" s="660"/>
    </row>
    <row r="143" spans="1:21" ht="15" customHeight="1">
      <c r="A143" s="616"/>
      <c r="B143" s="700" t="s">
        <v>13</v>
      </c>
      <c r="C143" s="701"/>
      <c r="D143" s="700" t="s">
        <v>11</v>
      </c>
      <c r="E143" s="701"/>
      <c r="F143" s="659" t="s">
        <v>418</v>
      </c>
      <c r="G143" s="659"/>
      <c r="H143" s="659"/>
      <c r="I143" s="659"/>
      <c r="J143" s="627"/>
      <c r="K143" s="1278"/>
      <c r="L143" s="88"/>
      <c r="M143" s="8"/>
      <c r="N143" s="8"/>
      <c r="O143" s="187"/>
      <c r="P143" s="188"/>
      <c r="Q143" s="189"/>
      <c r="R143" s="191" t="str">
        <f t="shared" ref="R143" si="86">IF(Q143&gt;0,"個","")</f>
        <v/>
      </c>
      <c r="S143" s="660"/>
      <c r="T143" s="660"/>
      <c r="U143" s="660"/>
    </row>
    <row r="144" spans="1:21" ht="15" customHeight="1">
      <c r="A144" s="614" t="s">
        <v>384</v>
      </c>
      <c r="B144" s="661" t="s">
        <v>199</v>
      </c>
      <c r="C144" s="661"/>
      <c r="D144" s="661" t="s">
        <v>11</v>
      </c>
      <c r="E144" s="661"/>
      <c r="F144" s="659" t="s">
        <v>419</v>
      </c>
      <c r="G144" s="659"/>
      <c r="H144" s="659"/>
      <c r="I144" s="659"/>
      <c r="J144" s="685"/>
      <c r="K144" s="697" t="s">
        <v>420</v>
      </c>
      <c r="L144" s="88"/>
      <c r="M144" s="8" t="e">
        <f>ROUNDUP(#REF!/(J144*K144),0)</f>
        <v>#REF!</v>
      </c>
      <c r="N144" s="8" t="e">
        <f t="shared" ref="N144" si="87">ROUNDUP(M144*0.2,0)</f>
        <v>#REF!</v>
      </c>
      <c r="O144" s="187"/>
      <c r="P144" s="188" t="e">
        <f>ROUNDUP((M144+N144-O144)/10,0)</f>
        <v>#REF!</v>
      </c>
      <c r="Q144" s="189" t="e">
        <f t="shared" ref="Q144" si="88">IF((M144+N144-O144)&lt;=0,0,P144)</f>
        <v>#REF!</v>
      </c>
      <c r="R144" s="190" t="s">
        <v>622</v>
      </c>
      <c r="S144" s="660" t="s">
        <v>323</v>
      </c>
      <c r="T144" s="660"/>
      <c r="U144" s="660"/>
    </row>
    <row r="145" spans="1:21" ht="15" customHeight="1">
      <c r="A145" s="616"/>
      <c r="B145" s="661" t="s">
        <v>202</v>
      </c>
      <c r="C145" s="661"/>
      <c r="D145" s="661" t="s">
        <v>11</v>
      </c>
      <c r="E145" s="661"/>
      <c r="F145" s="659" t="s">
        <v>203</v>
      </c>
      <c r="G145" s="659"/>
      <c r="H145" s="659"/>
      <c r="I145" s="659"/>
      <c r="J145" s="686"/>
      <c r="K145" s="707"/>
      <c r="L145" s="88"/>
      <c r="M145" s="8"/>
      <c r="N145" s="8"/>
      <c r="O145" s="187"/>
      <c r="P145" s="188"/>
      <c r="Q145" s="189"/>
      <c r="R145" s="191" t="str">
        <f t="shared" ref="R145" si="89">IF(Q145&gt;0,"個","")</f>
        <v/>
      </c>
      <c r="S145" s="660"/>
      <c r="T145" s="660"/>
      <c r="U145" s="660"/>
    </row>
    <row r="146" spans="1:21" ht="15" customHeight="1">
      <c r="A146" s="614" t="s">
        <v>421</v>
      </c>
      <c r="B146" s="661" t="s">
        <v>35</v>
      </c>
      <c r="C146" s="661"/>
      <c r="D146" s="661" t="s">
        <v>11</v>
      </c>
      <c r="E146" s="661"/>
      <c r="F146" s="699" t="s">
        <v>303</v>
      </c>
      <c r="G146" s="699"/>
      <c r="H146" s="699"/>
      <c r="I146" s="699"/>
      <c r="J146" s="685"/>
      <c r="K146" s="697" t="s">
        <v>37</v>
      </c>
      <c r="L146" s="88"/>
      <c r="M146" s="8" t="e">
        <f>ROUNDUP(#REF!/(J146*K146),0)</f>
        <v>#REF!</v>
      </c>
      <c r="N146" s="8" t="e">
        <f t="shared" ref="N146" si="90">ROUNDUP(M146*0.2,0)</f>
        <v>#REF!</v>
      </c>
      <c r="O146" s="187"/>
      <c r="P146" s="188" t="e">
        <f>ROUNDUP((M146+N146-O146)/10,0)</f>
        <v>#REF!</v>
      </c>
      <c r="Q146" s="189" t="e">
        <f t="shared" ref="Q146" si="91">IF((M146+N146-O146)&lt;=0,0,P146)</f>
        <v>#REF!</v>
      </c>
      <c r="R146" s="190" t="s">
        <v>622</v>
      </c>
      <c r="S146" s="660" t="s">
        <v>38</v>
      </c>
      <c r="T146" s="660"/>
      <c r="U146" s="660"/>
    </row>
    <row r="147" spans="1:21" ht="15" customHeight="1">
      <c r="A147" s="616"/>
      <c r="B147" s="661" t="s">
        <v>304</v>
      </c>
      <c r="C147" s="661"/>
      <c r="D147" s="661" t="s">
        <v>11</v>
      </c>
      <c r="E147" s="661"/>
      <c r="F147" s="699" t="s">
        <v>422</v>
      </c>
      <c r="G147" s="699"/>
      <c r="H147" s="699"/>
      <c r="I147" s="699"/>
      <c r="J147" s="686"/>
      <c r="K147" s="707"/>
      <c r="L147" s="88"/>
      <c r="M147" s="8"/>
      <c r="N147" s="8"/>
      <c r="O147" s="187"/>
      <c r="P147" s="188"/>
      <c r="Q147" s="189"/>
      <c r="R147" s="191" t="str">
        <f t="shared" ref="R147" si="92">IF(Q147&gt;0,"個","")</f>
        <v/>
      </c>
      <c r="S147" s="660"/>
      <c r="T147" s="660"/>
      <c r="U147" s="660"/>
    </row>
    <row r="148" spans="1:21" ht="15" customHeight="1">
      <c r="A148" s="59" t="s">
        <v>423</v>
      </c>
      <c r="B148" s="650" t="s">
        <v>236</v>
      </c>
      <c r="C148" s="650"/>
      <c r="D148" s="650" t="s">
        <v>49</v>
      </c>
      <c r="E148" s="650"/>
      <c r="F148" s="651" t="s">
        <v>804</v>
      </c>
      <c r="G148" s="651"/>
      <c r="H148" s="651"/>
      <c r="I148" s="651"/>
      <c r="J148" s="170" t="s">
        <v>984</v>
      </c>
      <c r="K148" s="15"/>
      <c r="L148" s="97" t="s">
        <v>436</v>
      </c>
      <c r="M148" s="25" t="e">
        <f>ROUNDUP(#REF!/(J148*K148),0)</f>
        <v>#REF!</v>
      </c>
      <c r="N148" s="25" t="e">
        <f t="shared" ref="N148:N149" si="93">ROUNDUP(M148*0.2,0)</f>
        <v>#REF!</v>
      </c>
      <c r="O148" s="192"/>
      <c r="P148" s="193" t="e">
        <f>M148+N148-O148</f>
        <v>#REF!</v>
      </c>
      <c r="Q148" s="189" t="e">
        <f t="shared" ref="Q148:Q152" si="94">IF((M148+N148-O148)&lt;=0,0,P148)</f>
        <v>#REF!</v>
      </c>
      <c r="R148" s="191" t="s">
        <v>784</v>
      </c>
      <c r="S148" s="708" t="s">
        <v>785</v>
      </c>
      <c r="T148" s="708"/>
      <c r="U148" s="708"/>
    </row>
    <row r="149" spans="1:21" ht="15" customHeight="1">
      <c r="A149" s="59" t="s">
        <v>427</v>
      </c>
      <c r="B149" s="706" t="s">
        <v>178</v>
      </c>
      <c r="C149" s="706"/>
      <c r="D149" s="650" t="s">
        <v>240</v>
      </c>
      <c r="E149" s="650"/>
      <c r="F149" s="707" t="s">
        <v>428</v>
      </c>
      <c r="G149" s="707"/>
      <c r="H149" s="707"/>
      <c r="I149" s="707"/>
      <c r="J149" s="310" t="s">
        <v>1084</v>
      </c>
      <c r="K149" s="96"/>
      <c r="L149" s="93" t="s">
        <v>425</v>
      </c>
      <c r="M149" s="25" t="e">
        <f>ROUNDUP(#REF!/(J149*K149),0)</f>
        <v>#REF!</v>
      </c>
      <c r="N149" s="25" t="e">
        <f t="shared" si="93"/>
        <v>#REF!</v>
      </c>
      <c r="O149" s="194"/>
      <c r="P149" s="193" t="e">
        <f>M149+N149-O149</f>
        <v>#REF!</v>
      </c>
      <c r="Q149" s="189" t="e">
        <f t="shared" si="94"/>
        <v>#REF!</v>
      </c>
      <c r="R149" s="191" t="s">
        <v>784</v>
      </c>
      <c r="S149" s="708" t="s">
        <v>787</v>
      </c>
      <c r="T149" s="708"/>
      <c r="U149" s="708"/>
    </row>
    <row r="150" spans="1:21" ht="27" customHeight="1">
      <c r="A150" s="59" t="s">
        <v>47</v>
      </c>
      <c r="B150" s="650" t="s">
        <v>211</v>
      </c>
      <c r="C150" s="650"/>
      <c r="D150" s="650" t="s">
        <v>63</v>
      </c>
      <c r="E150" s="650"/>
      <c r="F150" s="651" t="s">
        <v>788</v>
      </c>
      <c r="G150" s="651"/>
      <c r="H150" s="651"/>
      <c r="I150" s="651"/>
      <c r="J150" s="269" t="s">
        <v>1085</v>
      </c>
      <c r="K150" s="25"/>
      <c r="L150" s="93" t="s">
        <v>425</v>
      </c>
      <c r="M150" s="25" t="e">
        <f>ROUNDUP(#REF!/(J150*K150),0)</f>
        <v>#REF!</v>
      </c>
      <c r="N150" s="25" t="e">
        <f>ROUNDUP(M150*0.3,0)+2</f>
        <v>#REF!</v>
      </c>
      <c r="O150" s="192"/>
      <c r="P150" s="193" t="e">
        <f>M150+N150-O150</f>
        <v>#REF!</v>
      </c>
      <c r="Q150" s="189" t="e">
        <f t="shared" si="94"/>
        <v>#REF!</v>
      </c>
      <c r="R150" s="191" t="s">
        <v>784</v>
      </c>
      <c r="S150" s="652" t="s">
        <v>789</v>
      </c>
      <c r="T150" s="623"/>
      <c r="U150" s="624"/>
    </row>
    <row r="151" spans="1:21" ht="15" customHeight="1">
      <c r="A151" s="73" t="s">
        <v>434</v>
      </c>
      <c r="B151" s="696" t="s">
        <v>178</v>
      </c>
      <c r="C151" s="696"/>
      <c r="D151" s="696" t="s">
        <v>179</v>
      </c>
      <c r="E151" s="696"/>
      <c r="F151" s="697" t="s">
        <v>515</v>
      </c>
      <c r="G151" s="697"/>
      <c r="H151" s="697"/>
      <c r="I151" s="697"/>
      <c r="J151" s="67" t="s">
        <v>1083</v>
      </c>
      <c r="K151" s="67"/>
      <c r="L151" s="97" t="s">
        <v>436</v>
      </c>
      <c r="M151" s="25" t="e">
        <f>ROUNDUP(#REF!/(J151*K151),0)</f>
        <v>#REF!</v>
      </c>
      <c r="N151" s="25" t="e">
        <f>ROUNDUP(M151*0.2,0)+2</f>
        <v>#REF!</v>
      </c>
      <c r="O151" s="195"/>
      <c r="P151" s="193" t="e">
        <f>M151+N151-O151</f>
        <v>#REF!</v>
      </c>
      <c r="Q151" s="189" t="e">
        <f t="shared" si="94"/>
        <v>#REF!</v>
      </c>
      <c r="R151" s="191" t="s">
        <v>784</v>
      </c>
      <c r="S151" s="698" t="s">
        <v>517</v>
      </c>
      <c r="T151" s="698"/>
      <c r="U151" s="698"/>
    </row>
    <row r="152" spans="1:21" ht="30" customHeight="1" thickBot="1">
      <c r="A152" s="98" t="s">
        <v>439</v>
      </c>
      <c r="B152" s="650" t="s">
        <v>147</v>
      </c>
      <c r="C152" s="650"/>
      <c r="D152" s="727" t="s">
        <v>49</v>
      </c>
      <c r="E152" s="727"/>
      <c r="F152" s="728" t="s">
        <v>518</v>
      </c>
      <c r="G152" s="728"/>
      <c r="H152" s="728"/>
      <c r="I152" s="728"/>
      <c r="J152" s="296" t="s">
        <v>1089</v>
      </c>
      <c r="K152" s="311" t="s">
        <v>1087</v>
      </c>
      <c r="L152" s="100" t="s">
        <v>425</v>
      </c>
      <c r="M152" s="99" t="e">
        <f>ROUNDUP(#REF!/(J152*K152),0)</f>
        <v>#REF!</v>
      </c>
      <c r="N152" s="99" t="e">
        <f>ROUNDUP(M152*0.5,0)+5</f>
        <v>#REF!</v>
      </c>
      <c r="O152" s="196"/>
      <c r="P152" s="197" t="e">
        <f>M152+N152-O152</f>
        <v>#REF!</v>
      </c>
      <c r="Q152" s="198" t="e">
        <f t="shared" si="94"/>
        <v>#REF!</v>
      </c>
      <c r="R152" s="199" t="s">
        <v>784</v>
      </c>
      <c r="S152" s="692" t="s">
        <v>520</v>
      </c>
      <c r="T152" s="692"/>
      <c r="U152" s="692"/>
    </row>
    <row r="153" spans="1:21" ht="15" customHeight="1" thickTop="1">
      <c r="A153" s="729" t="s">
        <v>443</v>
      </c>
      <c r="B153" s="730" t="s">
        <v>10</v>
      </c>
      <c r="C153" s="730"/>
      <c r="D153" s="638" t="s">
        <v>14</v>
      </c>
      <c r="E153" s="639"/>
      <c r="F153" s="731" t="s">
        <v>445</v>
      </c>
      <c r="G153" s="731"/>
      <c r="H153" s="731"/>
      <c r="I153" s="731"/>
      <c r="J153" s="677" t="s">
        <v>1081</v>
      </c>
      <c r="K153" s="788" t="s">
        <v>986</v>
      </c>
      <c r="L153" s="105"/>
      <c r="M153" s="14" t="e">
        <f>ROUNDUP(#REF!/(J153*K153),0)</f>
        <v>#REF!</v>
      </c>
      <c r="N153" s="14" t="e">
        <f t="shared" ref="N153" si="95">ROUNDUP(M153*0.2,0)</f>
        <v>#REF!</v>
      </c>
      <c r="O153" s="200"/>
      <c r="P153" s="201" t="e">
        <f>ROUNDUP((M153+N153-O153)/10,0)</f>
        <v>#REF!</v>
      </c>
      <c r="Q153" s="202" t="e">
        <f>IF((M153+N153-O153)&lt;=0,0,P153)</f>
        <v>#REF!</v>
      </c>
      <c r="R153" s="191" t="s">
        <v>622</v>
      </c>
      <c r="S153" s="631" t="s">
        <v>825</v>
      </c>
      <c r="T153" s="632"/>
      <c r="U153" s="633"/>
    </row>
    <row r="154" spans="1:21" ht="15" customHeight="1">
      <c r="A154" s="615"/>
      <c r="B154" s="637" t="s">
        <v>227</v>
      </c>
      <c r="C154" s="637"/>
      <c r="D154" s="638" t="s">
        <v>14</v>
      </c>
      <c r="E154" s="639"/>
      <c r="F154" s="653" t="s">
        <v>448</v>
      </c>
      <c r="G154" s="653"/>
      <c r="H154" s="653"/>
      <c r="I154" s="653"/>
      <c r="J154" s="626"/>
      <c r="K154" s="789"/>
      <c r="L154" s="108"/>
      <c r="M154" s="8"/>
      <c r="N154" s="8"/>
      <c r="O154" s="203"/>
      <c r="P154" s="204"/>
      <c r="Q154" s="189"/>
      <c r="R154" s="191" t="str">
        <f>IF(Q154&gt;0,"個","")</f>
        <v/>
      </c>
      <c r="S154" s="631"/>
      <c r="T154" s="632"/>
      <c r="U154" s="633"/>
    </row>
    <row r="155" spans="1:21" ht="15" customHeight="1">
      <c r="A155" s="616"/>
      <c r="B155" s="637" t="s">
        <v>83</v>
      </c>
      <c r="C155" s="637"/>
      <c r="D155" s="638" t="s">
        <v>14</v>
      </c>
      <c r="E155" s="639"/>
      <c r="F155" s="659" t="s">
        <v>449</v>
      </c>
      <c r="G155" s="659"/>
      <c r="H155" s="659"/>
      <c r="I155" s="659"/>
      <c r="J155" s="627"/>
      <c r="K155" s="790"/>
      <c r="L155" s="108"/>
      <c r="M155" s="8"/>
      <c r="N155" s="8"/>
      <c r="O155" s="203"/>
      <c r="P155" s="204"/>
      <c r="Q155" s="189"/>
      <c r="R155" s="191" t="str">
        <f t="shared" ref="R155" si="96">IF(Q155&gt;0,"個","")</f>
        <v/>
      </c>
      <c r="S155" s="634"/>
      <c r="T155" s="635"/>
      <c r="U155" s="636"/>
    </row>
    <row r="156" spans="1:21" ht="15" customHeight="1">
      <c r="A156" s="664" t="s">
        <v>450</v>
      </c>
      <c r="B156" s="637" t="s">
        <v>10</v>
      </c>
      <c r="C156" s="637"/>
      <c r="D156" s="638" t="s">
        <v>43</v>
      </c>
      <c r="E156" s="639"/>
      <c r="F156" s="666" t="s">
        <v>890</v>
      </c>
      <c r="G156" s="667"/>
      <c r="H156" s="667"/>
      <c r="I156" s="667"/>
      <c r="J156" s="735" t="s">
        <v>1035</v>
      </c>
      <c r="K156" s="738"/>
      <c r="L156" s="108"/>
      <c r="M156" s="8" t="e">
        <f>ROUNDUP(#REF!/(J156*K156),0)</f>
        <v>#REF!</v>
      </c>
      <c r="N156" s="8" t="e">
        <f t="shared" ref="N156" si="97">ROUNDUP(M156*0.2,0)</f>
        <v>#REF!</v>
      </c>
      <c r="O156" s="203"/>
      <c r="P156" s="188" t="e">
        <f>ROUNDUP((M156+N156-O156)/10,0)</f>
        <v>#REF!</v>
      </c>
      <c r="Q156" s="189" t="e">
        <f>IF((M156+N156-O156)&lt;=0,0,P156)</f>
        <v>#REF!</v>
      </c>
      <c r="R156" s="190" t="s">
        <v>622</v>
      </c>
      <c r="S156" s="631" t="s">
        <v>910</v>
      </c>
      <c r="T156" s="632"/>
      <c r="U156" s="633"/>
    </row>
    <row r="157" spans="1:21" ht="15" customHeight="1">
      <c r="A157" s="664"/>
      <c r="B157" s="637" t="s">
        <v>81</v>
      </c>
      <c r="C157" s="637"/>
      <c r="D157" s="661" t="s">
        <v>11</v>
      </c>
      <c r="E157" s="661"/>
      <c r="F157" s="662" t="s">
        <v>891</v>
      </c>
      <c r="G157" s="663"/>
      <c r="H157" s="663"/>
      <c r="I157" s="663"/>
      <c r="J157" s="736"/>
      <c r="K157" s="672"/>
      <c r="L157" s="108"/>
      <c r="M157" s="8"/>
      <c r="N157" s="8"/>
      <c r="O157" s="203"/>
      <c r="P157" s="204"/>
      <c r="Q157" s="189"/>
      <c r="R157" s="191" t="str">
        <f t="shared" ref="R157:R158" si="98">IF(Q157&gt;0,"個","")</f>
        <v/>
      </c>
      <c r="S157" s="631"/>
      <c r="T157" s="632"/>
      <c r="U157" s="633"/>
    </row>
    <row r="158" spans="1:21" ht="15" customHeight="1">
      <c r="A158" s="665"/>
      <c r="B158" s="637" t="s">
        <v>83</v>
      </c>
      <c r="C158" s="637"/>
      <c r="D158" s="661" t="s">
        <v>11</v>
      </c>
      <c r="E158" s="661"/>
      <c r="F158" s="659" t="s">
        <v>912</v>
      </c>
      <c r="G158" s="659"/>
      <c r="H158" s="659"/>
      <c r="I158" s="659"/>
      <c r="J158" s="737"/>
      <c r="K158" s="673"/>
      <c r="L158" s="108"/>
      <c r="M158" s="8"/>
      <c r="N158" s="8"/>
      <c r="O158" s="203"/>
      <c r="P158" s="204"/>
      <c r="Q158" s="189"/>
      <c r="R158" s="191" t="str">
        <f t="shared" si="98"/>
        <v/>
      </c>
      <c r="S158" s="634"/>
      <c r="T158" s="635"/>
      <c r="U158" s="636"/>
    </row>
    <row r="159" spans="1:21" ht="24.75" customHeight="1">
      <c r="A159" s="59" t="s">
        <v>455</v>
      </c>
      <c r="B159" s="650" t="s">
        <v>178</v>
      </c>
      <c r="C159" s="650"/>
      <c r="D159" s="650" t="s">
        <v>179</v>
      </c>
      <c r="E159" s="650"/>
      <c r="F159" s="651" t="s">
        <v>814</v>
      </c>
      <c r="G159" s="651"/>
      <c r="H159" s="651"/>
      <c r="I159" s="651"/>
      <c r="J159" s="15" t="s">
        <v>1078</v>
      </c>
      <c r="K159" s="309" t="s">
        <v>1086</v>
      </c>
      <c r="L159" s="97" t="s">
        <v>436</v>
      </c>
      <c r="M159" s="25" t="e">
        <f>ROUNDUP(#REF!/(J159*K159),0)</f>
        <v>#REF!</v>
      </c>
      <c r="N159" s="25" t="e">
        <f>ROUNDUP(M159*0.2,0)</f>
        <v>#REF!</v>
      </c>
      <c r="O159" s="192"/>
      <c r="P159" s="193" t="e">
        <f>M159+N159-O159</f>
        <v>#REF!</v>
      </c>
      <c r="Q159" s="189" t="e">
        <f t="shared" ref="Q159:Q162" si="99">IF((M159+N159-O159)&lt;=0,0,P159)</f>
        <v>#REF!</v>
      </c>
      <c r="R159" s="190" t="s">
        <v>784</v>
      </c>
      <c r="S159" s="660" t="s">
        <v>458</v>
      </c>
      <c r="T159" s="660"/>
      <c r="U159" s="660"/>
    </row>
    <row r="160" spans="1:21" ht="15" customHeight="1">
      <c r="A160" s="73" t="s">
        <v>794</v>
      </c>
      <c r="B160" s="650" t="s">
        <v>211</v>
      </c>
      <c r="C160" s="650"/>
      <c r="D160" s="650" t="s">
        <v>72</v>
      </c>
      <c r="E160" s="650"/>
      <c r="F160" s="651" t="s">
        <v>465</v>
      </c>
      <c r="G160" s="651"/>
      <c r="H160" s="651"/>
      <c r="I160" s="651"/>
      <c r="J160" s="274" t="s">
        <v>987</v>
      </c>
      <c r="K160" s="25"/>
      <c r="L160" s="97" t="s">
        <v>436</v>
      </c>
      <c r="M160" s="25" t="e">
        <f>ROUNDUP(#REF!/(J160*K160),0)</f>
        <v>#REF!</v>
      </c>
      <c r="N160" s="25" t="e">
        <f>ROUNDUP(M160*0.2,0)+1</f>
        <v>#REF!</v>
      </c>
      <c r="O160" s="192"/>
      <c r="P160" s="193" t="e">
        <f t="shared" ref="P160:P162" si="100">M160+N160-O160</f>
        <v>#REF!</v>
      </c>
      <c r="Q160" s="189" t="e">
        <f t="shared" si="99"/>
        <v>#REF!</v>
      </c>
      <c r="R160" s="190" t="s">
        <v>784</v>
      </c>
      <c r="S160" s="660" t="s">
        <v>909</v>
      </c>
      <c r="T160" s="660"/>
      <c r="U160" s="660"/>
    </row>
    <row r="161" spans="1:21" ht="15" customHeight="1">
      <c r="A161" s="184" t="s">
        <v>464</v>
      </c>
      <c r="B161" s="650" t="s">
        <v>147</v>
      </c>
      <c r="C161" s="650"/>
      <c r="D161" s="650" t="s">
        <v>179</v>
      </c>
      <c r="E161" s="650"/>
      <c r="F161" s="651" t="s">
        <v>795</v>
      </c>
      <c r="G161" s="651"/>
      <c r="H161" s="651"/>
      <c r="I161" s="651"/>
      <c r="J161" s="25" t="s">
        <v>1079</v>
      </c>
      <c r="K161" s="25"/>
      <c r="L161" s="97" t="s">
        <v>470</v>
      </c>
      <c r="M161" s="25" t="e">
        <f>ROUNDUP(#REF!/(J161*K161),0)</f>
        <v>#REF!</v>
      </c>
      <c r="N161" s="25" t="e">
        <f>ROUNDUP(M161*0.2,0)+1</f>
        <v>#REF!</v>
      </c>
      <c r="O161" s="192"/>
      <c r="P161" s="193" t="e">
        <f t="shared" si="100"/>
        <v>#REF!</v>
      </c>
      <c r="Q161" s="189" t="e">
        <f t="shared" si="99"/>
        <v>#REF!</v>
      </c>
      <c r="R161" s="190" t="s">
        <v>784</v>
      </c>
      <c r="S161" s="660" t="s">
        <v>797</v>
      </c>
      <c r="T161" s="660"/>
      <c r="U161" s="660"/>
    </row>
    <row r="162" spans="1:21" ht="15" customHeight="1">
      <c r="A162" s="184" t="s">
        <v>467</v>
      </c>
      <c r="B162" s="650" t="s">
        <v>147</v>
      </c>
      <c r="C162" s="650"/>
      <c r="D162" s="650" t="s">
        <v>240</v>
      </c>
      <c r="E162" s="650"/>
      <c r="F162" s="651" t="s">
        <v>838</v>
      </c>
      <c r="G162" s="651"/>
      <c r="H162" s="651"/>
      <c r="I162" s="651"/>
      <c r="J162" s="25" t="s">
        <v>1080</v>
      </c>
      <c r="K162" s="109"/>
      <c r="L162" s="97" t="s">
        <v>425</v>
      </c>
      <c r="M162" s="25" t="e">
        <f>ROUNDUP(#REF!/(J162*K162),0)</f>
        <v>#REF!</v>
      </c>
      <c r="N162" s="25" t="e">
        <f t="shared" ref="N162" si="101">ROUNDUP(M162*0.2,0)</f>
        <v>#REF!</v>
      </c>
      <c r="O162" s="192"/>
      <c r="P162" s="193" t="e">
        <f t="shared" si="100"/>
        <v>#REF!</v>
      </c>
      <c r="Q162" s="189" t="e">
        <f t="shared" si="99"/>
        <v>#REF!</v>
      </c>
      <c r="R162" s="190" t="s">
        <v>784</v>
      </c>
      <c r="S162" s="652" t="s">
        <v>799</v>
      </c>
      <c r="T162" s="623"/>
      <c r="U162" s="624"/>
    </row>
    <row r="163" spans="1:21" ht="30" customHeight="1">
      <c r="A163" s="229" t="s">
        <v>908</v>
      </c>
      <c r="B163" s="650" t="s">
        <v>147</v>
      </c>
      <c r="C163" s="650"/>
      <c r="D163" s="650" t="s">
        <v>49</v>
      </c>
      <c r="E163" s="650"/>
      <c r="F163" s="651" t="s">
        <v>518</v>
      </c>
      <c r="G163" s="651"/>
      <c r="H163" s="651"/>
      <c r="I163" s="651"/>
      <c r="J163" s="296" t="s">
        <v>1089</v>
      </c>
      <c r="K163" s="311" t="s">
        <v>1087</v>
      </c>
      <c r="L163" s="97" t="s">
        <v>425</v>
      </c>
      <c r="M163" s="25" t="e">
        <f>ROUNDUP(#REF!/(J163*K163),0)</f>
        <v>#REF!</v>
      </c>
      <c r="N163" s="25" t="e">
        <f>ROUNDUP(M163*0.2,0)+1</f>
        <v>#REF!</v>
      </c>
      <c r="O163" s="192"/>
      <c r="P163" s="193" t="e">
        <f t="shared" ref="P163" si="102">M163+N163-O163</f>
        <v>#REF!</v>
      </c>
      <c r="Q163" s="189" t="e">
        <f>IF((M163+N163-O163)&lt;=0,0,P163)</f>
        <v>#REF!</v>
      </c>
      <c r="R163" s="190" t="s">
        <v>784</v>
      </c>
      <c r="S163" s="660" t="s">
        <v>905</v>
      </c>
      <c r="T163" s="660"/>
      <c r="U163" s="660"/>
    </row>
    <row r="164" spans="1:21" ht="30" customHeight="1">
      <c r="A164" s="73" t="s">
        <v>473</v>
      </c>
      <c r="B164" s="650" t="s">
        <v>205</v>
      </c>
      <c r="C164" s="650"/>
      <c r="D164" s="650" t="s">
        <v>206</v>
      </c>
      <c r="E164" s="650"/>
      <c r="F164" s="651" t="s">
        <v>903</v>
      </c>
      <c r="G164" s="651"/>
      <c r="H164" s="651"/>
      <c r="I164" s="651"/>
      <c r="J164" s="304" t="s">
        <v>1176</v>
      </c>
      <c r="K164" s="305" t="s">
        <v>1175</v>
      </c>
      <c r="L164" s="97" t="s">
        <v>425</v>
      </c>
      <c r="M164" s="25" t="e">
        <f>ROUNDUP(#REF!/(J164*K164),0)</f>
        <v>#REF!</v>
      </c>
      <c r="N164" s="25" t="e">
        <f>ROUNDUP(M164*0.2,0)</f>
        <v>#REF!</v>
      </c>
      <c r="O164" s="192"/>
      <c r="P164" s="193" t="e">
        <f>M164+N164-O164</f>
        <v>#REF!</v>
      </c>
      <c r="Q164" s="189" t="e">
        <f>IF((M164+N164-O164)&lt;=0,0,P164)</f>
        <v>#REF!</v>
      </c>
      <c r="R164" s="190" t="s">
        <v>784</v>
      </c>
      <c r="S164" s="652" t="s">
        <v>904</v>
      </c>
      <c r="T164" s="623"/>
      <c r="U164" s="624"/>
    </row>
    <row r="165" spans="1:21" ht="15" customHeight="1">
      <c r="A165" s="59" t="s">
        <v>476</v>
      </c>
      <c r="B165" s="679" t="s">
        <v>868</v>
      </c>
      <c r="C165" s="680"/>
      <c r="D165" s="618" t="s">
        <v>72</v>
      </c>
      <c r="E165" s="619"/>
      <c r="F165" s="681" t="s">
        <v>869</v>
      </c>
      <c r="G165" s="682"/>
      <c r="H165" s="682"/>
      <c r="I165" s="683"/>
      <c r="J165" s="255" t="s">
        <v>980</v>
      </c>
      <c r="K165" s="96"/>
      <c r="L165" s="76" t="s">
        <v>425</v>
      </c>
      <c r="M165" s="76"/>
      <c r="N165" s="76"/>
      <c r="O165" s="246"/>
      <c r="P165" s="244"/>
      <c r="Q165" s="244"/>
      <c r="R165" s="245"/>
      <c r="S165" s="674" t="s">
        <v>901</v>
      </c>
      <c r="T165" s="675"/>
      <c r="U165" s="676"/>
    </row>
    <row r="166" spans="1:21" ht="15" customHeight="1">
      <c r="A166" s="739" t="s">
        <v>480</v>
      </c>
      <c r="B166" s="661" t="s">
        <v>10</v>
      </c>
      <c r="C166" s="661"/>
      <c r="D166" s="661" t="s">
        <v>43</v>
      </c>
      <c r="E166" s="661"/>
      <c r="F166" s="659" t="s">
        <v>185</v>
      </c>
      <c r="G166" s="659"/>
      <c r="H166" s="659"/>
      <c r="I166" s="659"/>
      <c r="J166" s="685" t="s">
        <v>981</v>
      </c>
      <c r="K166" s="738" t="s">
        <v>1076</v>
      </c>
      <c r="L166" s="88"/>
      <c r="M166" s="8" t="e">
        <f>ROUNDUP(#REF!/(J166*K166),0)</f>
        <v>#REF!</v>
      </c>
      <c r="N166" s="8" t="e">
        <f t="shared" ref="N166" si="103">ROUNDUP(M166*0.2,0)</f>
        <v>#REF!</v>
      </c>
      <c r="O166" s="187"/>
      <c r="P166" s="188" t="e">
        <f>ROUNDUP((M166+N166-O166)/10,0)</f>
        <v>#REF!</v>
      </c>
      <c r="Q166" s="189" t="e">
        <f>IF((M166+N166-O166)&lt;=0,0,P166)</f>
        <v>#REF!</v>
      </c>
      <c r="R166" s="190" t="s">
        <v>622</v>
      </c>
      <c r="S166" s="660" t="s">
        <v>802</v>
      </c>
      <c r="T166" s="660"/>
      <c r="U166" s="660"/>
    </row>
    <row r="167" spans="1:21" ht="19.8">
      <c r="A167" s="739"/>
      <c r="B167" s="661" t="s">
        <v>13</v>
      </c>
      <c r="C167" s="661"/>
      <c r="D167" s="661" t="s">
        <v>49</v>
      </c>
      <c r="E167" s="661"/>
      <c r="F167" s="659" t="s">
        <v>69</v>
      </c>
      <c r="G167" s="659"/>
      <c r="H167" s="659"/>
      <c r="I167" s="659"/>
      <c r="J167" s="686"/>
      <c r="K167" s="705"/>
      <c r="L167" s="88"/>
      <c r="M167" s="8"/>
      <c r="N167" s="8"/>
      <c r="O167" s="187"/>
      <c r="P167" s="204"/>
      <c r="Q167" s="189"/>
      <c r="R167" s="191" t="str">
        <f t="shared" ref="R167" si="104">IF(Q167&gt;0,"個","")</f>
        <v/>
      </c>
      <c r="S167" s="660"/>
      <c r="T167" s="660"/>
      <c r="U167" s="660"/>
    </row>
    <row r="168" spans="1:21" ht="19.8">
      <c r="A168" s="1246" t="s">
        <v>803</v>
      </c>
      <c r="B168" s="1424"/>
      <c r="C168" s="1424"/>
      <c r="D168" s="205"/>
      <c r="E168" s="205"/>
      <c r="F168" s="206"/>
      <c r="G168" s="206"/>
      <c r="H168" s="206"/>
      <c r="I168" s="206"/>
      <c r="J168" s="207"/>
      <c r="K168" s="207"/>
      <c r="L168" s="207"/>
      <c r="M168" s="208"/>
      <c r="N168" s="208"/>
      <c r="O168" s="209"/>
      <c r="P168" s="210"/>
      <c r="Q168" s="211"/>
      <c r="R168" s="211"/>
      <c r="S168" s="120"/>
      <c r="T168" s="120"/>
      <c r="U168" s="120"/>
    </row>
  </sheetData>
  <mergeCells count="679">
    <mergeCell ref="S130:U131"/>
    <mergeCell ref="B131:C131"/>
    <mergeCell ref="D131:E131"/>
    <mergeCell ref="F131:I131"/>
    <mergeCell ref="A132:C132"/>
    <mergeCell ref="B129:C129"/>
    <mergeCell ref="D129:E129"/>
    <mergeCell ref="F129:I129"/>
    <mergeCell ref="S129:U129"/>
    <mergeCell ref="A130:A131"/>
    <mergeCell ref="B130:C130"/>
    <mergeCell ref="D130:E130"/>
    <mergeCell ref="F130:I130"/>
    <mergeCell ref="J130:J131"/>
    <mergeCell ref="K130:K131"/>
    <mergeCell ref="B127:C127"/>
    <mergeCell ref="D127:E127"/>
    <mergeCell ref="F127:I127"/>
    <mergeCell ref="S127:U127"/>
    <mergeCell ref="B128:C128"/>
    <mergeCell ref="D128:E128"/>
    <mergeCell ref="F128:I128"/>
    <mergeCell ref="S128:U128"/>
    <mergeCell ref="B125:C125"/>
    <mergeCell ref="D125:E125"/>
    <mergeCell ref="F125:I125"/>
    <mergeCell ref="S125:U125"/>
    <mergeCell ref="B126:C126"/>
    <mergeCell ref="D126:E126"/>
    <mergeCell ref="F126:I126"/>
    <mergeCell ref="S126:U126"/>
    <mergeCell ref="B123:C123"/>
    <mergeCell ref="D123:E123"/>
    <mergeCell ref="F123:I123"/>
    <mergeCell ref="S123:U123"/>
    <mergeCell ref="B124:C124"/>
    <mergeCell ref="D124:E124"/>
    <mergeCell ref="F124:I124"/>
    <mergeCell ref="S124:U124"/>
    <mergeCell ref="S120:U122"/>
    <mergeCell ref="B121:C121"/>
    <mergeCell ref="D121:E121"/>
    <mergeCell ref="F121:I121"/>
    <mergeCell ref="B122:C122"/>
    <mergeCell ref="D122:E122"/>
    <mergeCell ref="F122:I122"/>
    <mergeCell ref="A120:A122"/>
    <mergeCell ref="B120:C120"/>
    <mergeCell ref="D120:E120"/>
    <mergeCell ref="F120:I120"/>
    <mergeCell ref="J120:J122"/>
    <mergeCell ref="K120:K122"/>
    <mergeCell ref="S117:U119"/>
    <mergeCell ref="B118:C118"/>
    <mergeCell ref="D118:E118"/>
    <mergeCell ref="F118:I118"/>
    <mergeCell ref="B119:C119"/>
    <mergeCell ref="D119:E119"/>
    <mergeCell ref="F119:I119"/>
    <mergeCell ref="A117:A119"/>
    <mergeCell ref="B117:C117"/>
    <mergeCell ref="D117:E117"/>
    <mergeCell ref="F117:I117"/>
    <mergeCell ref="J117:J119"/>
    <mergeCell ref="K117:K119"/>
    <mergeCell ref="B112:C112"/>
    <mergeCell ref="D112:E112"/>
    <mergeCell ref="F112:I112"/>
    <mergeCell ref="S112:U112"/>
    <mergeCell ref="B115:C115"/>
    <mergeCell ref="D115:E115"/>
    <mergeCell ref="F115:I115"/>
    <mergeCell ref="S115:U115"/>
    <mergeCell ref="B116:C116"/>
    <mergeCell ref="D116:E116"/>
    <mergeCell ref="F116:I116"/>
    <mergeCell ref="S116:U116"/>
    <mergeCell ref="B113:C113"/>
    <mergeCell ref="D113:E113"/>
    <mergeCell ref="F113:I113"/>
    <mergeCell ref="S113:U113"/>
    <mergeCell ref="B114:C114"/>
    <mergeCell ref="D114:E114"/>
    <mergeCell ref="F114:I114"/>
    <mergeCell ref="S114:U114"/>
    <mergeCell ref="A110:A111"/>
    <mergeCell ref="B110:C110"/>
    <mergeCell ref="D110:E110"/>
    <mergeCell ref="F110:I110"/>
    <mergeCell ref="J110:J111"/>
    <mergeCell ref="K110:K111"/>
    <mergeCell ref="S110:U111"/>
    <mergeCell ref="B111:C111"/>
    <mergeCell ref="D111:E111"/>
    <mergeCell ref="F111:I111"/>
    <mergeCell ref="S106:U107"/>
    <mergeCell ref="B107:C107"/>
    <mergeCell ref="D107:E107"/>
    <mergeCell ref="F107:I107"/>
    <mergeCell ref="A108:A109"/>
    <mergeCell ref="B108:C108"/>
    <mergeCell ref="D108:E108"/>
    <mergeCell ref="F108:I108"/>
    <mergeCell ref="J108:J109"/>
    <mergeCell ref="K108:K109"/>
    <mergeCell ref="S108:U109"/>
    <mergeCell ref="B109:C109"/>
    <mergeCell ref="D109:E109"/>
    <mergeCell ref="F109:I109"/>
    <mergeCell ref="B105:C105"/>
    <mergeCell ref="D105:E105"/>
    <mergeCell ref="F105:I105"/>
    <mergeCell ref="A106:A107"/>
    <mergeCell ref="B106:C106"/>
    <mergeCell ref="D106:E106"/>
    <mergeCell ref="F106:I106"/>
    <mergeCell ref="J106:J107"/>
    <mergeCell ref="K106:K107"/>
    <mergeCell ref="F103:I103"/>
    <mergeCell ref="A104:A105"/>
    <mergeCell ref="B104:C104"/>
    <mergeCell ref="D104:E104"/>
    <mergeCell ref="F104:I104"/>
    <mergeCell ref="J104:J105"/>
    <mergeCell ref="S100:U101"/>
    <mergeCell ref="A102:A103"/>
    <mergeCell ref="B102:C102"/>
    <mergeCell ref="D102:E102"/>
    <mergeCell ref="F102:I102"/>
    <mergeCell ref="J102:J103"/>
    <mergeCell ref="K102:K103"/>
    <mergeCell ref="S102:U103"/>
    <mergeCell ref="B103:C103"/>
    <mergeCell ref="D103:E103"/>
    <mergeCell ref="K100:K101"/>
    <mergeCell ref="M100:M101"/>
    <mergeCell ref="N100:N101"/>
    <mergeCell ref="O100:O101"/>
    <mergeCell ref="P100:P101"/>
    <mergeCell ref="Q100:R101"/>
    <mergeCell ref="K104:K105"/>
    <mergeCell ref="S104:U105"/>
    <mergeCell ref="A96:C96"/>
    <mergeCell ref="A100:A101"/>
    <mergeCell ref="B100:C101"/>
    <mergeCell ref="D100:E101"/>
    <mergeCell ref="F100:I101"/>
    <mergeCell ref="J100:J101"/>
    <mergeCell ref="S93:U95"/>
    <mergeCell ref="B94:C94"/>
    <mergeCell ref="D94:E94"/>
    <mergeCell ref="F94:I94"/>
    <mergeCell ref="B95:C95"/>
    <mergeCell ref="D95:E95"/>
    <mergeCell ref="F95:I95"/>
    <mergeCell ref="A93:A95"/>
    <mergeCell ref="B93:C93"/>
    <mergeCell ref="D93:E93"/>
    <mergeCell ref="F93:I93"/>
    <mergeCell ref="J93:J95"/>
    <mergeCell ref="K93:K95"/>
    <mergeCell ref="B91:C91"/>
    <mergeCell ref="D91:E91"/>
    <mergeCell ref="F91:I91"/>
    <mergeCell ref="S91:U91"/>
    <mergeCell ref="B92:C92"/>
    <mergeCell ref="D92:E92"/>
    <mergeCell ref="F92:I92"/>
    <mergeCell ref="S92:U92"/>
    <mergeCell ref="B89:C89"/>
    <mergeCell ref="D89:E89"/>
    <mergeCell ref="F89:I89"/>
    <mergeCell ref="S89:U89"/>
    <mergeCell ref="B90:C90"/>
    <mergeCell ref="D90:E90"/>
    <mergeCell ref="F90:I90"/>
    <mergeCell ref="S90:U90"/>
    <mergeCell ref="S87:U87"/>
    <mergeCell ref="B88:C88"/>
    <mergeCell ref="D88:E88"/>
    <mergeCell ref="F88:I88"/>
    <mergeCell ref="S88:U88"/>
    <mergeCell ref="S84:U86"/>
    <mergeCell ref="B85:C85"/>
    <mergeCell ref="D85:E85"/>
    <mergeCell ref="F85:I85"/>
    <mergeCell ref="B86:C86"/>
    <mergeCell ref="D86:E86"/>
    <mergeCell ref="F86:I86"/>
    <mergeCell ref="A84:A86"/>
    <mergeCell ref="B84:C84"/>
    <mergeCell ref="D84:E84"/>
    <mergeCell ref="F84:I84"/>
    <mergeCell ref="J84:J86"/>
    <mergeCell ref="K84:K86"/>
    <mergeCell ref="B87:C87"/>
    <mergeCell ref="D87:E87"/>
    <mergeCell ref="F87:I87"/>
    <mergeCell ref="S80:U81"/>
    <mergeCell ref="B81:C81"/>
    <mergeCell ref="D81:E81"/>
    <mergeCell ref="F81:I81"/>
    <mergeCell ref="A82:A83"/>
    <mergeCell ref="B82:C82"/>
    <mergeCell ref="D82:E82"/>
    <mergeCell ref="F82:I82"/>
    <mergeCell ref="J82:J83"/>
    <mergeCell ref="K82:K83"/>
    <mergeCell ref="A80:A81"/>
    <mergeCell ref="B80:C80"/>
    <mergeCell ref="D80:E80"/>
    <mergeCell ref="F80:I80"/>
    <mergeCell ref="J80:J81"/>
    <mergeCell ref="K80:K81"/>
    <mergeCell ref="S82:U83"/>
    <mergeCell ref="B83:C83"/>
    <mergeCell ref="D83:E83"/>
    <mergeCell ref="F83:I83"/>
    <mergeCell ref="S78:U78"/>
    <mergeCell ref="B79:C79"/>
    <mergeCell ref="D79:E79"/>
    <mergeCell ref="F79:I79"/>
    <mergeCell ref="S79:U79"/>
    <mergeCell ref="S75:U76"/>
    <mergeCell ref="B76:C76"/>
    <mergeCell ref="D76:E76"/>
    <mergeCell ref="F76:I76"/>
    <mergeCell ref="B77:C77"/>
    <mergeCell ref="D77:E77"/>
    <mergeCell ref="F77:I77"/>
    <mergeCell ref="S77:U77"/>
    <mergeCell ref="A75:A76"/>
    <mergeCell ref="B75:C75"/>
    <mergeCell ref="D75:E75"/>
    <mergeCell ref="F75:I75"/>
    <mergeCell ref="J75:J76"/>
    <mergeCell ref="K75:K76"/>
    <mergeCell ref="B78:C78"/>
    <mergeCell ref="D78:E78"/>
    <mergeCell ref="F78:I78"/>
    <mergeCell ref="A73:A74"/>
    <mergeCell ref="B73:C73"/>
    <mergeCell ref="D73:E73"/>
    <mergeCell ref="F73:I73"/>
    <mergeCell ref="J73:J74"/>
    <mergeCell ref="K73:K74"/>
    <mergeCell ref="S73:U74"/>
    <mergeCell ref="B74:C74"/>
    <mergeCell ref="D74:E74"/>
    <mergeCell ref="F74:I74"/>
    <mergeCell ref="B70:C70"/>
    <mergeCell ref="D70:E70"/>
    <mergeCell ref="F70:I70"/>
    <mergeCell ref="S70:U70"/>
    <mergeCell ref="A71:A72"/>
    <mergeCell ref="B71:C71"/>
    <mergeCell ref="D71:E71"/>
    <mergeCell ref="F71:I71"/>
    <mergeCell ref="J71:J72"/>
    <mergeCell ref="K71:K72"/>
    <mergeCell ref="S71:U72"/>
    <mergeCell ref="B72:C72"/>
    <mergeCell ref="D72:E72"/>
    <mergeCell ref="F72:I72"/>
    <mergeCell ref="S66:U67"/>
    <mergeCell ref="B68:C68"/>
    <mergeCell ref="D68:E68"/>
    <mergeCell ref="F68:I68"/>
    <mergeCell ref="S68:U68"/>
    <mergeCell ref="B69:C69"/>
    <mergeCell ref="D69:E69"/>
    <mergeCell ref="F69:I69"/>
    <mergeCell ref="S69:U69"/>
    <mergeCell ref="K66:K67"/>
    <mergeCell ref="M66:M67"/>
    <mergeCell ref="N66:N67"/>
    <mergeCell ref="O66:O67"/>
    <mergeCell ref="P66:P67"/>
    <mergeCell ref="Q66:R67"/>
    <mergeCell ref="A62:C62"/>
    <mergeCell ref="A66:A67"/>
    <mergeCell ref="B66:C67"/>
    <mergeCell ref="D66:E67"/>
    <mergeCell ref="F66:I67"/>
    <mergeCell ref="J66:J67"/>
    <mergeCell ref="B60:C60"/>
    <mergeCell ref="D60:E60"/>
    <mergeCell ref="F60:I60"/>
    <mergeCell ref="S60:U60"/>
    <mergeCell ref="B61:C61"/>
    <mergeCell ref="D61:E61"/>
    <mergeCell ref="F61:I61"/>
    <mergeCell ref="S61:U61"/>
    <mergeCell ref="B58:C58"/>
    <mergeCell ref="D58:E58"/>
    <mergeCell ref="F58:I58"/>
    <mergeCell ref="S58:U58"/>
    <mergeCell ref="B59:C59"/>
    <mergeCell ref="D59:E59"/>
    <mergeCell ref="F59:I59"/>
    <mergeCell ref="S59:U59"/>
    <mergeCell ref="S55:U57"/>
    <mergeCell ref="B56:C56"/>
    <mergeCell ref="D56:E56"/>
    <mergeCell ref="F56:I56"/>
    <mergeCell ref="B57:C57"/>
    <mergeCell ref="D57:E57"/>
    <mergeCell ref="F57:I57"/>
    <mergeCell ref="A55:A57"/>
    <mergeCell ref="B55:C55"/>
    <mergeCell ref="D55:E55"/>
    <mergeCell ref="F55:I55"/>
    <mergeCell ref="J55:J57"/>
    <mergeCell ref="K55:K57"/>
    <mergeCell ref="B53:C53"/>
    <mergeCell ref="D53:E53"/>
    <mergeCell ref="F53:I53"/>
    <mergeCell ref="S53:U53"/>
    <mergeCell ref="B54:C54"/>
    <mergeCell ref="D54:E54"/>
    <mergeCell ref="F54:I54"/>
    <mergeCell ref="S54:U54"/>
    <mergeCell ref="S50:U51"/>
    <mergeCell ref="B51:C51"/>
    <mergeCell ref="D51:E51"/>
    <mergeCell ref="F51:I51"/>
    <mergeCell ref="B52:C52"/>
    <mergeCell ref="D52:E52"/>
    <mergeCell ref="F52:I52"/>
    <mergeCell ref="S52:U52"/>
    <mergeCell ref="S48:U49"/>
    <mergeCell ref="B49:C49"/>
    <mergeCell ref="D49:E49"/>
    <mergeCell ref="F49:I49"/>
    <mergeCell ref="A50:A51"/>
    <mergeCell ref="B50:C50"/>
    <mergeCell ref="D50:E50"/>
    <mergeCell ref="F50:I50"/>
    <mergeCell ref="J50:J51"/>
    <mergeCell ref="K50:K51"/>
    <mergeCell ref="A48:A49"/>
    <mergeCell ref="B48:C48"/>
    <mergeCell ref="D48:E48"/>
    <mergeCell ref="F48:I48"/>
    <mergeCell ref="J48:J49"/>
    <mergeCell ref="K48:K49"/>
    <mergeCell ref="S46:U46"/>
    <mergeCell ref="B47:C47"/>
    <mergeCell ref="D47:E47"/>
    <mergeCell ref="F47:I47"/>
    <mergeCell ref="S47:U47"/>
    <mergeCell ref="S43:U44"/>
    <mergeCell ref="B44:C44"/>
    <mergeCell ref="D44:E44"/>
    <mergeCell ref="F44:I44"/>
    <mergeCell ref="B45:C45"/>
    <mergeCell ref="D45:E45"/>
    <mergeCell ref="F45:I45"/>
    <mergeCell ref="S45:U45"/>
    <mergeCell ref="A43:A44"/>
    <mergeCell ref="B43:C43"/>
    <mergeCell ref="D43:E43"/>
    <mergeCell ref="F43:I43"/>
    <mergeCell ref="J43:J44"/>
    <mergeCell ref="K43:K44"/>
    <mergeCell ref="B46:C46"/>
    <mergeCell ref="D46:E46"/>
    <mergeCell ref="F46:I46"/>
    <mergeCell ref="S39:U40"/>
    <mergeCell ref="B40:C40"/>
    <mergeCell ref="D40:E40"/>
    <mergeCell ref="F40:I40"/>
    <mergeCell ref="A41:A42"/>
    <mergeCell ref="B41:C41"/>
    <mergeCell ref="D41:E41"/>
    <mergeCell ref="F41:I41"/>
    <mergeCell ref="J41:J42"/>
    <mergeCell ref="K41:K42"/>
    <mergeCell ref="A39:A40"/>
    <mergeCell ref="B39:C39"/>
    <mergeCell ref="D39:E39"/>
    <mergeCell ref="F39:I39"/>
    <mergeCell ref="J39:J40"/>
    <mergeCell ref="K39:K40"/>
    <mergeCell ref="S41:U42"/>
    <mergeCell ref="B42:C42"/>
    <mergeCell ref="D42:E42"/>
    <mergeCell ref="F42:I42"/>
    <mergeCell ref="S35:U36"/>
    <mergeCell ref="B37:C37"/>
    <mergeCell ref="D37:E37"/>
    <mergeCell ref="F37:I37"/>
    <mergeCell ref="S37:U37"/>
    <mergeCell ref="B38:C38"/>
    <mergeCell ref="D38:E38"/>
    <mergeCell ref="F38:I38"/>
    <mergeCell ref="S38:U38"/>
    <mergeCell ref="K35:K36"/>
    <mergeCell ref="M35:M36"/>
    <mergeCell ref="N35:N36"/>
    <mergeCell ref="O35:O36"/>
    <mergeCell ref="P35:P36"/>
    <mergeCell ref="Q35:R36"/>
    <mergeCell ref="S29:U29"/>
    <mergeCell ref="B30:C30"/>
    <mergeCell ref="D30:E30"/>
    <mergeCell ref="F30:I30"/>
    <mergeCell ref="S30:U30"/>
    <mergeCell ref="B27:C27"/>
    <mergeCell ref="D27:E27"/>
    <mergeCell ref="F27:I27"/>
    <mergeCell ref="S27:U27"/>
    <mergeCell ref="B28:C28"/>
    <mergeCell ref="D28:E28"/>
    <mergeCell ref="F28:I28"/>
    <mergeCell ref="S28:U28"/>
    <mergeCell ref="B29:C29"/>
    <mergeCell ref="D29:E29"/>
    <mergeCell ref="F29:I29"/>
    <mergeCell ref="S24:U26"/>
    <mergeCell ref="B25:C25"/>
    <mergeCell ref="D25:E25"/>
    <mergeCell ref="F25:I25"/>
    <mergeCell ref="B26:C26"/>
    <mergeCell ref="D26:E26"/>
    <mergeCell ref="F26:I26"/>
    <mergeCell ref="A24:A26"/>
    <mergeCell ref="B24:C24"/>
    <mergeCell ref="D24:E24"/>
    <mergeCell ref="F24:I24"/>
    <mergeCell ref="J24:J26"/>
    <mergeCell ref="K24:K26"/>
    <mergeCell ref="S22:U22"/>
    <mergeCell ref="B23:C23"/>
    <mergeCell ref="D23:E23"/>
    <mergeCell ref="F23:I23"/>
    <mergeCell ref="S23:U23"/>
    <mergeCell ref="S19:U20"/>
    <mergeCell ref="B20:C20"/>
    <mergeCell ref="D20:E20"/>
    <mergeCell ref="F20:I20"/>
    <mergeCell ref="B21:C21"/>
    <mergeCell ref="D21:E21"/>
    <mergeCell ref="F21:I21"/>
    <mergeCell ref="S21:U21"/>
    <mergeCell ref="S17:U18"/>
    <mergeCell ref="B18:C18"/>
    <mergeCell ref="D18:E18"/>
    <mergeCell ref="F18:I18"/>
    <mergeCell ref="A19:A20"/>
    <mergeCell ref="B19:C19"/>
    <mergeCell ref="D19:E19"/>
    <mergeCell ref="F19:I19"/>
    <mergeCell ref="J19:J20"/>
    <mergeCell ref="K19:K20"/>
    <mergeCell ref="A17:A18"/>
    <mergeCell ref="B17:C17"/>
    <mergeCell ref="D17:E17"/>
    <mergeCell ref="F17:I17"/>
    <mergeCell ref="J17:J18"/>
    <mergeCell ref="K17:K18"/>
    <mergeCell ref="K12:K13"/>
    <mergeCell ref="B15:C15"/>
    <mergeCell ref="D15:E15"/>
    <mergeCell ref="F15:I15"/>
    <mergeCell ref="S15:U15"/>
    <mergeCell ref="B16:C16"/>
    <mergeCell ref="D16:E16"/>
    <mergeCell ref="F16:I16"/>
    <mergeCell ref="S16:U16"/>
    <mergeCell ref="S12:U13"/>
    <mergeCell ref="B13:C13"/>
    <mergeCell ref="D13:E13"/>
    <mergeCell ref="F13:I13"/>
    <mergeCell ref="B14:C14"/>
    <mergeCell ref="D14:E14"/>
    <mergeCell ref="F14:I14"/>
    <mergeCell ref="S14:U14"/>
    <mergeCell ref="S8:U9"/>
    <mergeCell ref="B9:C9"/>
    <mergeCell ref="D9:E9"/>
    <mergeCell ref="F9:I9"/>
    <mergeCell ref="A10:A11"/>
    <mergeCell ref="B10:C10"/>
    <mergeCell ref="D10:E10"/>
    <mergeCell ref="F10:I10"/>
    <mergeCell ref="J10:J11"/>
    <mergeCell ref="K10:K11"/>
    <mergeCell ref="A8:A9"/>
    <mergeCell ref="B8:C8"/>
    <mergeCell ref="D8:E8"/>
    <mergeCell ref="F8:I8"/>
    <mergeCell ref="J8:J9"/>
    <mergeCell ref="K8:K9"/>
    <mergeCell ref="S10:U11"/>
    <mergeCell ref="B11:C11"/>
    <mergeCell ref="D11:E11"/>
    <mergeCell ref="F11:I11"/>
    <mergeCell ref="S4:U5"/>
    <mergeCell ref="B6:C6"/>
    <mergeCell ref="D6:E6"/>
    <mergeCell ref="F6:I6"/>
    <mergeCell ref="S6:U6"/>
    <mergeCell ref="B7:C7"/>
    <mergeCell ref="D7:E7"/>
    <mergeCell ref="F7:I7"/>
    <mergeCell ref="S7:U7"/>
    <mergeCell ref="K4:K5"/>
    <mergeCell ref="M4:M5"/>
    <mergeCell ref="N4:N5"/>
    <mergeCell ref="O4:O5"/>
    <mergeCell ref="P4:P5"/>
    <mergeCell ref="Q4:R5"/>
    <mergeCell ref="A4:A5"/>
    <mergeCell ref="B4:C5"/>
    <mergeCell ref="D4:E5"/>
    <mergeCell ref="F4:I5"/>
    <mergeCell ref="J4:J5"/>
    <mergeCell ref="A136:A137"/>
    <mergeCell ref="B136:C137"/>
    <mergeCell ref="D136:E137"/>
    <mergeCell ref="F136:I137"/>
    <mergeCell ref="J136:J137"/>
    <mergeCell ref="A12:A13"/>
    <mergeCell ref="B12:C12"/>
    <mergeCell ref="D12:E12"/>
    <mergeCell ref="F12:I12"/>
    <mergeCell ref="J12:J13"/>
    <mergeCell ref="B22:C22"/>
    <mergeCell ref="D22:E22"/>
    <mergeCell ref="F22:I22"/>
    <mergeCell ref="A35:A36"/>
    <mergeCell ref="B35:C36"/>
    <mergeCell ref="D35:E36"/>
    <mergeCell ref="F35:I36"/>
    <mergeCell ref="J35:J36"/>
    <mergeCell ref="A31:C31"/>
    <mergeCell ref="K136:K137"/>
    <mergeCell ref="M136:M137"/>
    <mergeCell ref="N136:N137"/>
    <mergeCell ref="O136:O137"/>
    <mergeCell ref="P136:P137"/>
    <mergeCell ref="Q136:R137"/>
    <mergeCell ref="S136:U137"/>
    <mergeCell ref="A138:A139"/>
    <mergeCell ref="B138:C138"/>
    <mergeCell ref="D138:E138"/>
    <mergeCell ref="F138:I138"/>
    <mergeCell ref="J138:J139"/>
    <mergeCell ref="K138:K139"/>
    <mergeCell ref="S138:U139"/>
    <mergeCell ref="B139:C139"/>
    <mergeCell ref="D139:E139"/>
    <mergeCell ref="F139:I139"/>
    <mergeCell ref="A140:A141"/>
    <mergeCell ref="B140:C140"/>
    <mergeCell ref="D140:E140"/>
    <mergeCell ref="F140:I140"/>
    <mergeCell ref="J140:J141"/>
    <mergeCell ref="K140:K141"/>
    <mergeCell ref="S140:U141"/>
    <mergeCell ref="B141:C141"/>
    <mergeCell ref="D141:E141"/>
    <mergeCell ref="F141:I141"/>
    <mergeCell ref="A142:A143"/>
    <mergeCell ref="B142:C142"/>
    <mergeCell ref="D142:E142"/>
    <mergeCell ref="F142:I142"/>
    <mergeCell ref="J142:J143"/>
    <mergeCell ref="K142:K143"/>
    <mergeCell ref="S142:U143"/>
    <mergeCell ref="B143:C143"/>
    <mergeCell ref="D143:E143"/>
    <mergeCell ref="F143:I143"/>
    <mergeCell ref="A144:A145"/>
    <mergeCell ref="B144:C144"/>
    <mergeCell ref="D144:E144"/>
    <mergeCell ref="F144:I144"/>
    <mergeCell ref="J144:J145"/>
    <mergeCell ref="K144:K145"/>
    <mergeCell ref="S144:U145"/>
    <mergeCell ref="B145:C145"/>
    <mergeCell ref="D145:E145"/>
    <mergeCell ref="F145:I145"/>
    <mergeCell ref="A146:A147"/>
    <mergeCell ref="B146:C146"/>
    <mergeCell ref="D146:E146"/>
    <mergeCell ref="F146:I146"/>
    <mergeCell ref="J146:J147"/>
    <mergeCell ref="K146:K147"/>
    <mergeCell ref="S146:U147"/>
    <mergeCell ref="B147:C147"/>
    <mergeCell ref="D147:E147"/>
    <mergeCell ref="F147:I147"/>
    <mergeCell ref="B148:C148"/>
    <mergeCell ref="D148:E148"/>
    <mergeCell ref="F148:I148"/>
    <mergeCell ref="S148:U148"/>
    <mergeCell ref="B149:C149"/>
    <mergeCell ref="D149:E149"/>
    <mergeCell ref="F149:I149"/>
    <mergeCell ref="S149:U149"/>
    <mergeCell ref="B150:C150"/>
    <mergeCell ref="D150:E150"/>
    <mergeCell ref="F150:I150"/>
    <mergeCell ref="S150:U150"/>
    <mergeCell ref="B151:C151"/>
    <mergeCell ref="D151:E151"/>
    <mergeCell ref="F151:I151"/>
    <mergeCell ref="S151:U151"/>
    <mergeCell ref="B152:C152"/>
    <mergeCell ref="D152:E152"/>
    <mergeCell ref="F152:I152"/>
    <mergeCell ref="S152:U152"/>
    <mergeCell ref="A153:A155"/>
    <mergeCell ref="B153:C153"/>
    <mergeCell ref="D153:E153"/>
    <mergeCell ref="F153:I153"/>
    <mergeCell ref="J153:J155"/>
    <mergeCell ref="K153:K155"/>
    <mergeCell ref="S153:U155"/>
    <mergeCell ref="B154:C154"/>
    <mergeCell ref="D154:E154"/>
    <mergeCell ref="F154:I154"/>
    <mergeCell ref="B155:C155"/>
    <mergeCell ref="D155:E155"/>
    <mergeCell ref="F155:I155"/>
    <mergeCell ref="A156:A158"/>
    <mergeCell ref="B156:C156"/>
    <mergeCell ref="D156:E156"/>
    <mergeCell ref="F156:I156"/>
    <mergeCell ref="J156:J158"/>
    <mergeCell ref="K156:K158"/>
    <mergeCell ref="S156:U158"/>
    <mergeCell ref="B157:C157"/>
    <mergeCell ref="D157:E157"/>
    <mergeCell ref="F157:I157"/>
    <mergeCell ref="B158:C158"/>
    <mergeCell ref="D158:E158"/>
    <mergeCell ref="F158:I158"/>
    <mergeCell ref="B159:C159"/>
    <mergeCell ref="D159:E159"/>
    <mergeCell ref="F159:I159"/>
    <mergeCell ref="S159:U159"/>
    <mergeCell ref="B160:C160"/>
    <mergeCell ref="D160:E160"/>
    <mergeCell ref="F160:I160"/>
    <mergeCell ref="S160:U160"/>
    <mergeCell ref="B161:C161"/>
    <mergeCell ref="D161:E161"/>
    <mergeCell ref="F161:I161"/>
    <mergeCell ref="S161:U161"/>
    <mergeCell ref="B162:C162"/>
    <mergeCell ref="D162:E162"/>
    <mergeCell ref="F162:I162"/>
    <mergeCell ref="S162:U162"/>
    <mergeCell ref="B164:C164"/>
    <mergeCell ref="D164:E164"/>
    <mergeCell ref="F164:I164"/>
    <mergeCell ref="S164:U164"/>
    <mergeCell ref="B163:C163"/>
    <mergeCell ref="D163:E163"/>
    <mergeCell ref="F163:I163"/>
    <mergeCell ref="S163:U163"/>
    <mergeCell ref="A168:C168"/>
    <mergeCell ref="B165:C165"/>
    <mergeCell ref="D165:E165"/>
    <mergeCell ref="F165:I165"/>
    <mergeCell ref="S165:U165"/>
    <mergeCell ref="A166:A167"/>
    <mergeCell ref="B166:C166"/>
    <mergeCell ref="D166:E166"/>
    <mergeCell ref="F166:I166"/>
    <mergeCell ref="J166:J167"/>
    <mergeCell ref="K166:K167"/>
    <mergeCell ref="S166:U167"/>
    <mergeCell ref="B167:C167"/>
    <mergeCell ref="D167:E167"/>
    <mergeCell ref="F167:I167"/>
  </mergeCells>
  <phoneticPr fontId="11"/>
  <pageMargins left="0.7" right="0.7" top="0.75" bottom="0.75" header="0.3" footer="0.3"/>
  <pageSetup paperSize="9" scale="76" orientation="landscape" r:id="rId1"/>
  <rowBreaks count="4" manualBreakCount="4">
    <brk id="31" max="20" man="1"/>
    <brk id="62" max="20" man="1"/>
    <brk id="96" max="20" man="1"/>
    <brk id="132" max="20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5DE9-463E-4ADB-95D3-5BE2F80914A0}">
  <dimension ref="A1:P79"/>
  <sheetViews>
    <sheetView view="pageBreakPreview" zoomScaleNormal="100" zoomScaleSheetLayoutView="100" workbookViewId="0">
      <selection activeCell="A33" sqref="A33"/>
    </sheetView>
  </sheetViews>
  <sheetFormatPr defaultColWidth="8.69921875" defaultRowHeight="18"/>
  <cols>
    <col min="1" max="1" width="6.59765625" style="1" customWidth="1"/>
    <col min="2" max="3" width="7.59765625" style="1" customWidth="1"/>
    <col min="4" max="5" width="5.5" style="1" customWidth="1"/>
    <col min="6" max="8" width="6.8984375" style="1" customWidth="1"/>
    <col min="9" max="9" width="1.69921875" style="1" customWidth="1"/>
    <col min="10" max="10" width="20.69921875" style="1" customWidth="1"/>
    <col min="11" max="11" width="20.59765625" style="1" customWidth="1"/>
    <col min="12" max="12" width="7" style="1" hidden="1" customWidth="1"/>
    <col min="13" max="13" width="7" style="1" customWidth="1"/>
    <col min="14" max="16" width="6.8984375" style="1" customWidth="1"/>
    <col min="17" max="16384" width="8.69921875" style="1"/>
  </cols>
  <sheetData>
    <row r="1" spans="1:16" ht="18.75" customHeight="1">
      <c r="A1" s="31" t="s">
        <v>573</v>
      </c>
      <c r="N1" s="2"/>
    </row>
    <row r="2" spans="1:16" ht="18.75" customHeight="1">
      <c r="A2" s="123" t="s">
        <v>574</v>
      </c>
      <c r="N2" s="2"/>
    </row>
    <row r="3" spans="1:16" ht="15" customHeight="1">
      <c r="A3" s="49" t="s">
        <v>366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spans="1:16" ht="15" customHeight="1">
      <c r="A4" s="710" t="s">
        <v>2</v>
      </c>
      <c r="B4" s="712" t="s">
        <v>3</v>
      </c>
      <c r="C4" s="712"/>
      <c r="D4" s="650" t="s">
        <v>4</v>
      </c>
      <c r="E4" s="650"/>
      <c r="F4" s="712" t="s">
        <v>5</v>
      </c>
      <c r="G4" s="712"/>
      <c r="H4" s="712"/>
      <c r="I4" s="712"/>
      <c r="J4" s="650" t="s">
        <v>6</v>
      </c>
      <c r="K4" s="715" t="s">
        <v>7</v>
      </c>
      <c r="L4" s="715" t="s">
        <v>575</v>
      </c>
      <c r="M4" s="185" t="s">
        <v>407</v>
      </c>
      <c r="N4" s="674" t="s">
        <v>8</v>
      </c>
      <c r="O4" s="675"/>
      <c r="P4" s="676"/>
    </row>
    <row r="5" spans="1:16" ht="15" customHeight="1">
      <c r="A5" s="711"/>
      <c r="B5" s="712"/>
      <c r="C5" s="712"/>
      <c r="D5" s="650"/>
      <c r="E5" s="650"/>
      <c r="F5" s="712"/>
      <c r="G5" s="712"/>
      <c r="H5" s="712"/>
      <c r="I5" s="712"/>
      <c r="J5" s="650"/>
      <c r="K5" s="715"/>
      <c r="L5" s="715"/>
      <c r="M5" s="186" t="s">
        <v>410</v>
      </c>
      <c r="N5" s="674"/>
      <c r="O5" s="675"/>
      <c r="P5" s="676"/>
    </row>
    <row r="6" spans="1:16" ht="15" customHeight="1">
      <c r="A6" s="718" t="s">
        <v>384</v>
      </c>
      <c r="B6" s="661" t="s">
        <v>199</v>
      </c>
      <c r="C6" s="661"/>
      <c r="D6" s="661" t="s">
        <v>11</v>
      </c>
      <c r="E6" s="661"/>
      <c r="F6" s="699" t="s">
        <v>264</v>
      </c>
      <c r="G6" s="699"/>
      <c r="H6" s="699"/>
      <c r="I6" s="699"/>
      <c r="J6" s="685"/>
      <c r="K6" s="702" t="s">
        <v>420</v>
      </c>
      <c r="L6" s="124" t="s">
        <v>576</v>
      </c>
      <c r="M6" s="1114"/>
      <c r="N6" s="656" t="s">
        <v>323</v>
      </c>
      <c r="O6" s="657"/>
      <c r="P6" s="658"/>
    </row>
    <row r="7" spans="1:16" ht="15" customHeight="1">
      <c r="A7" s="665"/>
      <c r="B7" s="661" t="s">
        <v>577</v>
      </c>
      <c r="C7" s="661"/>
      <c r="D7" s="661" t="s">
        <v>11</v>
      </c>
      <c r="E7" s="661"/>
      <c r="F7" s="699" t="s">
        <v>203</v>
      </c>
      <c r="G7" s="699"/>
      <c r="H7" s="699"/>
      <c r="I7" s="699"/>
      <c r="J7" s="686"/>
      <c r="K7" s="691"/>
      <c r="L7" s="124">
        <v>1</v>
      </c>
      <c r="M7" s="1115"/>
      <c r="N7" s="634"/>
      <c r="O7" s="635"/>
      <c r="P7" s="636"/>
    </row>
    <row r="8" spans="1:16" ht="15" customHeight="1">
      <c r="A8" s="973" t="s">
        <v>506</v>
      </c>
      <c r="B8" s="661" t="s">
        <v>35</v>
      </c>
      <c r="C8" s="661"/>
      <c r="D8" s="661" t="s">
        <v>11</v>
      </c>
      <c r="E8" s="661"/>
      <c r="F8" s="699" t="s">
        <v>118</v>
      </c>
      <c r="G8" s="699"/>
      <c r="H8" s="699"/>
      <c r="I8" s="699"/>
      <c r="J8" s="685"/>
      <c r="K8" s="702" t="s">
        <v>37</v>
      </c>
      <c r="L8" s="124" t="s">
        <v>576</v>
      </c>
      <c r="M8" s="1114"/>
      <c r="N8" s="660" t="s">
        <v>38</v>
      </c>
      <c r="O8" s="660"/>
      <c r="P8" s="660"/>
    </row>
    <row r="9" spans="1:16" ht="15" customHeight="1">
      <c r="A9" s="973"/>
      <c r="B9" s="661" t="s">
        <v>119</v>
      </c>
      <c r="C9" s="661"/>
      <c r="D9" s="661" t="s">
        <v>11</v>
      </c>
      <c r="E9" s="661"/>
      <c r="F9" s="699" t="s">
        <v>120</v>
      </c>
      <c r="G9" s="699"/>
      <c r="H9" s="699"/>
      <c r="I9" s="699"/>
      <c r="J9" s="686"/>
      <c r="K9" s="691"/>
      <c r="L9" s="124">
        <v>1</v>
      </c>
      <c r="M9" s="1115"/>
      <c r="N9" s="660"/>
      <c r="O9" s="660"/>
      <c r="P9" s="660"/>
    </row>
    <row r="10" spans="1:16" ht="15" customHeight="1">
      <c r="A10" s="60" t="s">
        <v>578</v>
      </c>
      <c r="B10" s="650" t="s">
        <v>211</v>
      </c>
      <c r="C10" s="650"/>
      <c r="D10" s="650" t="s">
        <v>72</v>
      </c>
      <c r="E10" s="650"/>
      <c r="F10" s="651" t="s">
        <v>234</v>
      </c>
      <c r="G10" s="651"/>
      <c r="H10" s="651"/>
      <c r="I10" s="651"/>
      <c r="J10" s="15"/>
      <c r="K10" s="36"/>
      <c r="L10" s="32">
        <v>3</v>
      </c>
      <c r="M10" s="97" t="s">
        <v>436</v>
      </c>
      <c r="N10" s="660" t="s">
        <v>579</v>
      </c>
      <c r="O10" s="660"/>
      <c r="P10" s="660"/>
    </row>
    <row r="11" spans="1:16" ht="15" customHeight="1">
      <c r="A11" s="718" t="s">
        <v>47</v>
      </c>
      <c r="B11" s="760" t="s">
        <v>178</v>
      </c>
      <c r="C11" s="761"/>
      <c r="D11" s="760" t="s">
        <v>240</v>
      </c>
      <c r="E11" s="761"/>
      <c r="F11" s="1438" t="s">
        <v>580</v>
      </c>
      <c r="G11" s="1439"/>
      <c r="H11" s="1439"/>
      <c r="I11" s="1440"/>
      <c r="J11" s="1444" t="s">
        <v>581</v>
      </c>
      <c r="K11" s="802" t="s">
        <v>430</v>
      </c>
      <c r="L11" s="52">
        <v>3</v>
      </c>
      <c r="M11" s="766" t="s">
        <v>425</v>
      </c>
      <c r="N11" s="656" t="s">
        <v>582</v>
      </c>
      <c r="O11" s="657"/>
      <c r="P11" s="658"/>
    </row>
    <row r="12" spans="1:16" ht="15" customHeight="1">
      <c r="A12" s="665"/>
      <c r="B12" s="762"/>
      <c r="C12" s="763"/>
      <c r="D12" s="762"/>
      <c r="E12" s="763"/>
      <c r="F12" s="1441"/>
      <c r="G12" s="1442"/>
      <c r="H12" s="1442"/>
      <c r="I12" s="1443"/>
      <c r="J12" s="1445"/>
      <c r="K12" s="803"/>
      <c r="L12" s="43"/>
      <c r="M12" s="767"/>
      <c r="N12" s="634"/>
      <c r="O12" s="635"/>
      <c r="P12" s="636"/>
    </row>
    <row r="13" spans="1:16" ht="15" customHeight="1">
      <c r="A13" s="60" t="s">
        <v>52</v>
      </c>
      <c r="B13" s="650" t="s">
        <v>236</v>
      </c>
      <c r="C13" s="650"/>
      <c r="D13" s="650" t="s">
        <v>179</v>
      </c>
      <c r="E13" s="650"/>
      <c r="F13" s="651" t="s">
        <v>583</v>
      </c>
      <c r="G13" s="651"/>
      <c r="H13" s="651"/>
      <c r="I13" s="651"/>
      <c r="J13" s="15"/>
      <c r="K13" s="36"/>
      <c r="L13" s="32">
        <v>3</v>
      </c>
      <c r="M13" s="122" t="s">
        <v>425</v>
      </c>
      <c r="N13" s="660" t="s">
        <v>584</v>
      </c>
      <c r="O13" s="660"/>
      <c r="P13" s="660"/>
    </row>
    <row r="14" spans="1:16" ht="15" customHeight="1">
      <c r="A14" s="60" t="s">
        <v>439</v>
      </c>
      <c r="B14" s="650" t="s">
        <v>236</v>
      </c>
      <c r="C14" s="650"/>
      <c r="D14" s="650" t="s">
        <v>179</v>
      </c>
      <c r="E14" s="650"/>
      <c r="F14" s="651" t="s">
        <v>237</v>
      </c>
      <c r="G14" s="651"/>
      <c r="H14" s="651"/>
      <c r="I14" s="651"/>
      <c r="J14" s="15"/>
      <c r="K14" s="36"/>
      <c r="L14" s="32">
        <v>3</v>
      </c>
      <c r="M14" s="122" t="s">
        <v>425</v>
      </c>
      <c r="N14" s="660" t="s">
        <v>585</v>
      </c>
      <c r="O14" s="660"/>
      <c r="P14" s="660"/>
    </row>
    <row r="15" spans="1:16" ht="15" customHeight="1" thickBot="1">
      <c r="A15" s="121" t="s">
        <v>586</v>
      </c>
      <c r="B15" s="727" t="s">
        <v>147</v>
      </c>
      <c r="C15" s="727"/>
      <c r="D15" s="727" t="s">
        <v>49</v>
      </c>
      <c r="E15" s="727"/>
      <c r="F15" s="728" t="s">
        <v>587</v>
      </c>
      <c r="G15" s="728"/>
      <c r="H15" s="728"/>
      <c r="I15" s="728"/>
      <c r="J15" s="79" t="s">
        <v>588</v>
      </c>
      <c r="K15" s="84"/>
      <c r="L15" s="48">
        <v>3</v>
      </c>
      <c r="M15" s="97" t="s">
        <v>470</v>
      </c>
      <c r="N15" s="885" t="s">
        <v>589</v>
      </c>
      <c r="O15" s="1386"/>
      <c r="P15" s="886"/>
    </row>
    <row r="16" spans="1:16" ht="15" customHeight="1" thickTop="1">
      <c r="A16" s="664" t="s">
        <v>400</v>
      </c>
      <c r="B16" s="637" t="s">
        <v>10</v>
      </c>
      <c r="C16" s="637"/>
      <c r="D16" s="637" t="s">
        <v>17</v>
      </c>
      <c r="E16" s="637"/>
      <c r="F16" s="662" t="s">
        <v>590</v>
      </c>
      <c r="G16" s="663"/>
      <c r="H16" s="663"/>
      <c r="I16" s="663"/>
      <c r="J16" s="1434" t="s">
        <v>721</v>
      </c>
      <c r="K16" s="1435" t="s">
        <v>591</v>
      </c>
      <c r="L16" s="51" t="s">
        <v>576</v>
      </c>
      <c r="M16" s="1126"/>
      <c r="N16" s="631" t="s">
        <v>271</v>
      </c>
      <c r="O16" s="632"/>
      <c r="P16" s="633"/>
    </row>
    <row r="17" spans="1:16" ht="15" customHeight="1">
      <c r="A17" s="664"/>
      <c r="B17" s="637" t="s">
        <v>81</v>
      </c>
      <c r="C17" s="637"/>
      <c r="D17" s="661" t="s">
        <v>17</v>
      </c>
      <c r="E17" s="661"/>
      <c r="F17" s="662" t="s">
        <v>272</v>
      </c>
      <c r="G17" s="663"/>
      <c r="H17" s="663"/>
      <c r="I17" s="663"/>
      <c r="J17" s="689"/>
      <c r="K17" s="1024"/>
      <c r="L17" s="124">
        <v>1</v>
      </c>
      <c r="M17" s="1118"/>
      <c r="N17" s="631"/>
      <c r="O17" s="632"/>
      <c r="P17" s="633"/>
    </row>
    <row r="18" spans="1:16" ht="15" customHeight="1">
      <c r="A18" s="665"/>
      <c r="B18" s="637" t="s">
        <v>83</v>
      </c>
      <c r="C18" s="637"/>
      <c r="D18" s="661" t="s">
        <v>11</v>
      </c>
      <c r="E18" s="661"/>
      <c r="F18" s="659" t="s">
        <v>592</v>
      </c>
      <c r="G18" s="659"/>
      <c r="H18" s="659"/>
      <c r="I18" s="659"/>
      <c r="J18" s="686"/>
      <c r="K18" s="1025"/>
      <c r="L18" s="124">
        <v>1</v>
      </c>
      <c r="M18" s="1115"/>
      <c r="N18" s="634"/>
      <c r="O18" s="635"/>
      <c r="P18" s="636"/>
    </row>
    <row r="19" spans="1:16" ht="15" customHeight="1">
      <c r="A19" s="718" t="s">
        <v>593</v>
      </c>
      <c r="B19" s="637" t="s">
        <v>134</v>
      </c>
      <c r="C19" s="637"/>
      <c r="D19" s="661" t="s">
        <v>11</v>
      </c>
      <c r="E19" s="661"/>
      <c r="F19" s="653" t="s">
        <v>135</v>
      </c>
      <c r="G19" s="653"/>
      <c r="H19" s="653"/>
      <c r="I19" s="653"/>
      <c r="J19" s="685" t="s">
        <v>594</v>
      </c>
      <c r="K19" s="802"/>
      <c r="L19" s="124" t="s">
        <v>576</v>
      </c>
      <c r="M19" s="1114"/>
      <c r="N19" s="656" t="s">
        <v>595</v>
      </c>
      <c r="O19" s="657"/>
      <c r="P19" s="658"/>
    </row>
    <row r="20" spans="1:16" ht="15" customHeight="1">
      <c r="A20" s="665"/>
      <c r="B20" s="661" t="s">
        <v>137</v>
      </c>
      <c r="C20" s="661"/>
      <c r="D20" s="661" t="s">
        <v>11</v>
      </c>
      <c r="E20" s="661"/>
      <c r="F20" s="659" t="s">
        <v>138</v>
      </c>
      <c r="G20" s="659"/>
      <c r="H20" s="659"/>
      <c r="I20" s="659"/>
      <c r="J20" s="686"/>
      <c r="K20" s="803"/>
      <c r="L20" s="124">
        <v>1</v>
      </c>
      <c r="M20" s="1115"/>
      <c r="N20" s="634"/>
      <c r="O20" s="635"/>
      <c r="P20" s="636"/>
    </row>
    <row r="21" spans="1:16" ht="15" customHeight="1">
      <c r="A21" s="718" t="s">
        <v>455</v>
      </c>
      <c r="B21" s="650" t="s">
        <v>81</v>
      </c>
      <c r="C21" s="650"/>
      <c r="D21" s="650" t="s">
        <v>17</v>
      </c>
      <c r="E21" s="650"/>
      <c r="F21" s="651" t="s">
        <v>275</v>
      </c>
      <c r="G21" s="651"/>
      <c r="H21" s="651"/>
      <c r="I21" s="651"/>
      <c r="J21" s="1436" t="s">
        <v>596</v>
      </c>
      <c r="K21" s="802"/>
      <c r="L21" s="32">
        <v>3</v>
      </c>
      <c r="M21" s="1144"/>
      <c r="N21" s="656" t="s">
        <v>597</v>
      </c>
      <c r="O21" s="657"/>
      <c r="P21" s="658"/>
    </row>
    <row r="22" spans="1:16" ht="15" customHeight="1">
      <c r="A22" s="665"/>
      <c r="B22" s="650" t="s">
        <v>83</v>
      </c>
      <c r="C22" s="650"/>
      <c r="D22" s="650" t="s">
        <v>11</v>
      </c>
      <c r="E22" s="650"/>
      <c r="F22" s="651" t="s">
        <v>598</v>
      </c>
      <c r="G22" s="651"/>
      <c r="H22" s="651"/>
      <c r="I22" s="651"/>
      <c r="J22" s="1437"/>
      <c r="K22" s="803"/>
      <c r="L22" s="32">
        <v>1</v>
      </c>
      <c r="M22" s="1145"/>
      <c r="N22" s="634"/>
      <c r="O22" s="635"/>
      <c r="P22" s="636"/>
    </row>
    <row r="23" spans="1:16" ht="15" customHeight="1">
      <c r="A23" s="60" t="s">
        <v>599</v>
      </c>
      <c r="B23" s="650" t="s">
        <v>164</v>
      </c>
      <c r="C23" s="650"/>
      <c r="D23" s="650" t="s">
        <v>63</v>
      </c>
      <c r="E23" s="650"/>
      <c r="F23" s="651" t="s">
        <v>292</v>
      </c>
      <c r="G23" s="651"/>
      <c r="H23" s="651"/>
      <c r="I23" s="651"/>
      <c r="J23" s="15"/>
      <c r="K23" s="36"/>
      <c r="L23" s="32">
        <v>3</v>
      </c>
      <c r="M23" s="122" t="s">
        <v>425</v>
      </c>
      <c r="N23" s="660" t="s">
        <v>214</v>
      </c>
      <c r="O23" s="660"/>
      <c r="P23" s="660"/>
    </row>
    <row r="24" spans="1:16" ht="15" customHeight="1">
      <c r="A24" s="60" t="s">
        <v>464</v>
      </c>
      <c r="B24" s="650" t="s">
        <v>205</v>
      </c>
      <c r="C24" s="650"/>
      <c r="D24" s="650" t="s">
        <v>206</v>
      </c>
      <c r="E24" s="650"/>
      <c r="F24" s="651" t="s">
        <v>600</v>
      </c>
      <c r="G24" s="651"/>
      <c r="H24" s="651"/>
      <c r="I24" s="651"/>
      <c r="J24" s="15"/>
      <c r="K24" s="36"/>
      <c r="L24" s="32">
        <v>3</v>
      </c>
      <c r="M24" s="122" t="s">
        <v>425</v>
      </c>
      <c r="N24" s="660" t="s">
        <v>601</v>
      </c>
      <c r="O24" s="660"/>
      <c r="P24" s="660"/>
    </row>
    <row r="25" spans="1:16" ht="15" customHeight="1">
      <c r="A25" s="60" t="s">
        <v>467</v>
      </c>
      <c r="B25" s="650" t="s">
        <v>147</v>
      </c>
      <c r="C25" s="650"/>
      <c r="D25" s="650" t="s">
        <v>49</v>
      </c>
      <c r="E25" s="650"/>
      <c r="F25" s="651" t="s">
        <v>602</v>
      </c>
      <c r="G25" s="651"/>
      <c r="H25" s="651"/>
      <c r="I25" s="651"/>
      <c r="J25" s="15"/>
      <c r="K25" s="36" t="s">
        <v>603</v>
      </c>
      <c r="L25" s="32">
        <v>3</v>
      </c>
      <c r="M25" s="97" t="s">
        <v>704</v>
      </c>
      <c r="N25" s="660" t="s">
        <v>604</v>
      </c>
      <c r="O25" s="660"/>
      <c r="P25" s="660"/>
    </row>
    <row r="26" spans="1:16" ht="15" customHeight="1">
      <c r="A26" s="665" t="s">
        <v>605</v>
      </c>
      <c r="B26" s="661" t="s">
        <v>10</v>
      </c>
      <c r="C26" s="661"/>
      <c r="D26" s="637" t="s">
        <v>17</v>
      </c>
      <c r="E26" s="637"/>
      <c r="F26" s="653" t="s">
        <v>606</v>
      </c>
      <c r="G26" s="653"/>
      <c r="H26" s="653"/>
      <c r="I26" s="653"/>
      <c r="J26" s="685" t="s">
        <v>481</v>
      </c>
      <c r="K26" s="802" t="s">
        <v>616</v>
      </c>
      <c r="L26" s="124" t="s">
        <v>576</v>
      </c>
      <c r="M26" s="1114"/>
      <c r="N26" s="656" t="s">
        <v>607</v>
      </c>
      <c r="O26" s="657"/>
      <c r="P26" s="658"/>
    </row>
    <row r="27" spans="1:16" ht="15" customHeight="1">
      <c r="A27" s="973"/>
      <c r="B27" s="661" t="s">
        <v>13</v>
      </c>
      <c r="C27" s="661"/>
      <c r="D27" s="661" t="s">
        <v>17</v>
      </c>
      <c r="E27" s="661"/>
      <c r="F27" s="659" t="s">
        <v>608</v>
      </c>
      <c r="G27" s="659"/>
      <c r="H27" s="659"/>
      <c r="I27" s="659"/>
      <c r="J27" s="686"/>
      <c r="K27" s="803"/>
      <c r="L27" s="124">
        <v>1</v>
      </c>
      <c r="M27" s="1115"/>
      <c r="N27" s="634"/>
      <c r="O27" s="635"/>
      <c r="P27" s="636"/>
    </row>
    <row r="28" spans="1:16" ht="15" customHeight="1">
      <c r="A28" s="665" t="s">
        <v>609</v>
      </c>
      <c r="B28" s="661" t="s">
        <v>199</v>
      </c>
      <c r="C28" s="661"/>
      <c r="D28" s="661" t="s">
        <v>11</v>
      </c>
      <c r="E28" s="661"/>
      <c r="F28" s="699" t="s">
        <v>264</v>
      </c>
      <c r="G28" s="699"/>
      <c r="H28" s="699"/>
      <c r="I28" s="699"/>
      <c r="J28" s="685"/>
      <c r="K28" s="702" t="s">
        <v>420</v>
      </c>
      <c r="L28" s="124" t="s">
        <v>576</v>
      </c>
      <c r="M28" s="1114"/>
      <c r="N28" s="708" t="s">
        <v>12</v>
      </c>
      <c r="O28" s="708"/>
      <c r="P28" s="708"/>
    </row>
    <row r="29" spans="1:16" ht="15" customHeight="1">
      <c r="A29" s="973"/>
      <c r="B29" s="661" t="s">
        <v>577</v>
      </c>
      <c r="C29" s="661"/>
      <c r="D29" s="661" t="s">
        <v>11</v>
      </c>
      <c r="E29" s="661"/>
      <c r="F29" s="699" t="s">
        <v>203</v>
      </c>
      <c r="G29" s="699"/>
      <c r="H29" s="699"/>
      <c r="I29" s="699"/>
      <c r="J29" s="686"/>
      <c r="K29" s="691"/>
      <c r="L29" s="124">
        <v>1</v>
      </c>
      <c r="M29" s="1115"/>
      <c r="N29" s="660"/>
      <c r="O29" s="660"/>
      <c r="P29" s="660"/>
    </row>
    <row r="30" spans="1:16" ht="15" customHeight="1">
      <c r="A30" s="60" t="s">
        <v>610</v>
      </c>
      <c r="B30" s="650" t="s">
        <v>147</v>
      </c>
      <c r="C30" s="650"/>
      <c r="D30" s="650" t="s">
        <v>468</v>
      </c>
      <c r="E30" s="650"/>
      <c r="F30" s="651" t="s">
        <v>611</v>
      </c>
      <c r="G30" s="651"/>
      <c r="H30" s="651"/>
      <c r="I30" s="651"/>
      <c r="J30" s="15" t="s">
        <v>612</v>
      </c>
      <c r="K30" s="32"/>
      <c r="L30" s="32">
        <v>3</v>
      </c>
      <c r="M30" s="97" t="s">
        <v>470</v>
      </c>
      <c r="N30" s="660" t="s">
        <v>251</v>
      </c>
      <c r="O30" s="660"/>
      <c r="P30" s="660"/>
    </row>
    <row r="31" spans="1:16" ht="15" customHeight="1">
      <c r="A31" s="1433" t="s">
        <v>613</v>
      </c>
      <c r="B31" s="1433"/>
      <c r="C31" s="1433"/>
      <c r="D31" s="1433"/>
      <c r="E31" s="16"/>
      <c r="F31" s="17"/>
      <c r="G31" s="17"/>
      <c r="H31" s="17"/>
      <c r="I31" s="17"/>
      <c r="J31" s="18"/>
      <c r="K31" s="45"/>
      <c r="L31" s="45"/>
      <c r="M31" s="45"/>
      <c r="N31" s="120"/>
      <c r="O31" s="120"/>
      <c r="P31" s="120"/>
    </row>
    <row r="32" spans="1:16" ht="18.600000000000001" customHeight="1">
      <c r="A32" s="31" t="s">
        <v>573</v>
      </c>
      <c r="N32" s="2"/>
    </row>
    <row r="33" spans="1:16" ht="18.600000000000001" customHeight="1">
      <c r="A33" s="123" t="s">
        <v>615</v>
      </c>
      <c r="N33" s="2"/>
    </row>
    <row r="34" spans="1:16" ht="15" customHeight="1">
      <c r="A34" s="49" t="s">
        <v>366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</row>
    <row r="35" spans="1:16" ht="15" customHeight="1">
      <c r="A35" s="710" t="s">
        <v>2</v>
      </c>
      <c r="B35" s="712" t="s">
        <v>3</v>
      </c>
      <c r="C35" s="712"/>
      <c r="D35" s="650" t="s">
        <v>4</v>
      </c>
      <c r="E35" s="650"/>
      <c r="F35" s="712" t="s">
        <v>5</v>
      </c>
      <c r="G35" s="712"/>
      <c r="H35" s="712"/>
      <c r="I35" s="712"/>
      <c r="J35" s="650" t="s">
        <v>6</v>
      </c>
      <c r="K35" s="715" t="s">
        <v>7</v>
      </c>
      <c r="L35" s="715" t="s">
        <v>575</v>
      </c>
      <c r="M35" s="185" t="s">
        <v>407</v>
      </c>
      <c r="N35" s="674" t="s">
        <v>8</v>
      </c>
      <c r="O35" s="675"/>
      <c r="P35" s="676"/>
    </row>
    <row r="36" spans="1:16" ht="15" customHeight="1">
      <c r="A36" s="711"/>
      <c r="B36" s="712"/>
      <c r="C36" s="712"/>
      <c r="D36" s="650"/>
      <c r="E36" s="650"/>
      <c r="F36" s="712"/>
      <c r="G36" s="712"/>
      <c r="H36" s="712"/>
      <c r="I36" s="712"/>
      <c r="J36" s="650"/>
      <c r="K36" s="715"/>
      <c r="L36" s="715"/>
      <c r="M36" s="186" t="s">
        <v>410</v>
      </c>
      <c r="N36" s="674"/>
      <c r="O36" s="675"/>
      <c r="P36" s="676"/>
    </row>
    <row r="37" spans="1:16" ht="15" customHeight="1">
      <c r="A37" s="718" t="s">
        <v>384</v>
      </c>
      <c r="B37" s="661" t="s">
        <v>199</v>
      </c>
      <c r="C37" s="661"/>
      <c r="D37" s="661" t="s">
        <v>11</v>
      </c>
      <c r="E37" s="661"/>
      <c r="F37" s="699" t="s">
        <v>264</v>
      </c>
      <c r="G37" s="699"/>
      <c r="H37" s="699"/>
      <c r="I37" s="699"/>
      <c r="J37" s="685"/>
      <c r="K37" s="702" t="s">
        <v>420</v>
      </c>
      <c r="L37" s="124" t="s">
        <v>576</v>
      </c>
      <c r="M37" s="1114"/>
      <c r="N37" s="656" t="s">
        <v>323</v>
      </c>
      <c r="O37" s="657"/>
      <c r="P37" s="658"/>
    </row>
    <row r="38" spans="1:16" ht="15" customHeight="1">
      <c r="A38" s="665"/>
      <c r="B38" s="661" t="s">
        <v>577</v>
      </c>
      <c r="C38" s="661"/>
      <c r="D38" s="661" t="s">
        <v>11</v>
      </c>
      <c r="E38" s="661"/>
      <c r="F38" s="699" t="s">
        <v>203</v>
      </c>
      <c r="G38" s="699"/>
      <c r="H38" s="699"/>
      <c r="I38" s="699"/>
      <c r="J38" s="686"/>
      <c r="K38" s="691"/>
      <c r="L38" s="124">
        <v>1</v>
      </c>
      <c r="M38" s="1115"/>
      <c r="N38" s="634"/>
      <c r="O38" s="635"/>
      <c r="P38" s="636"/>
    </row>
    <row r="39" spans="1:16" ht="15" customHeight="1">
      <c r="A39" s="973" t="s">
        <v>506</v>
      </c>
      <c r="B39" s="661" t="s">
        <v>35</v>
      </c>
      <c r="C39" s="661"/>
      <c r="D39" s="661" t="s">
        <v>11</v>
      </c>
      <c r="E39" s="661"/>
      <c r="F39" s="699" t="s">
        <v>118</v>
      </c>
      <c r="G39" s="699"/>
      <c r="H39" s="699"/>
      <c r="I39" s="699"/>
      <c r="J39" s="685"/>
      <c r="K39" s="702" t="s">
        <v>37</v>
      </c>
      <c r="L39" s="124" t="s">
        <v>576</v>
      </c>
      <c r="M39" s="1114"/>
      <c r="N39" s="660" t="s">
        <v>38</v>
      </c>
      <c r="O39" s="660"/>
      <c r="P39" s="660"/>
    </row>
    <row r="40" spans="1:16" ht="15" customHeight="1">
      <c r="A40" s="973"/>
      <c r="B40" s="661" t="s">
        <v>119</v>
      </c>
      <c r="C40" s="661"/>
      <c r="D40" s="661" t="s">
        <v>11</v>
      </c>
      <c r="E40" s="661"/>
      <c r="F40" s="699" t="s">
        <v>120</v>
      </c>
      <c r="G40" s="699"/>
      <c r="H40" s="699"/>
      <c r="I40" s="699"/>
      <c r="J40" s="686"/>
      <c r="K40" s="691"/>
      <c r="L40" s="124">
        <v>1</v>
      </c>
      <c r="M40" s="1115"/>
      <c r="N40" s="660"/>
      <c r="O40" s="660"/>
      <c r="P40" s="660"/>
    </row>
    <row r="41" spans="1:16" ht="15" customHeight="1">
      <c r="A41" s="60" t="s">
        <v>578</v>
      </c>
      <c r="B41" s="650" t="s">
        <v>211</v>
      </c>
      <c r="C41" s="650"/>
      <c r="D41" s="650" t="s">
        <v>72</v>
      </c>
      <c r="E41" s="650"/>
      <c r="F41" s="651" t="s">
        <v>234</v>
      </c>
      <c r="G41" s="651"/>
      <c r="H41" s="651"/>
      <c r="I41" s="651"/>
      <c r="J41" s="15"/>
      <c r="K41" s="36"/>
      <c r="L41" s="32">
        <v>3</v>
      </c>
      <c r="M41" s="97" t="s">
        <v>436</v>
      </c>
      <c r="N41" s="660" t="s">
        <v>579</v>
      </c>
      <c r="O41" s="660"/>
      <c r="P41" s="660"/>
    </row>
    <row r="42" spans="1:16" ht="15" customHeight="1">
      <c r="A42" s="718" t="s">
        <v>47</v>
      </c>
      <c r="B42" s="760" t="s">
        <v>178</v>
      </c>
      <c r="C42" s="761"/>
      <c r="D42" s="760" t="s">
        <v>240</v>
      </c>
      <c r="E42" s="761"/>
      <c r="F42" s="1438" t="s">
        <v>580</v>
      </c>
      <c r="G42" s="1439"/>
      <c r="H42" s="1439"/>
      <c r="I42" s="1440"/>
      <c r="J42" s="1444" t="s">
        <v>581</v>
      </c>
      <c r="K42" s="802" t="s">
        <v>430</v>
      </c>
      <c r="L42" s="52">
        <v>3</v>
      </c>
      <c r="M42" s="766" t="s">
        <v>425</v>
      </c>
      <c r="N42" s="656" t="s">
        <v>582</v>
      </c>
      <c r="O42" s="657"/>
      <c r="P42" s="658"/>
    </row>
    <row r="43" spans="1:16" ht="15" customHeight="1">
      <c r="A43" s="665"/>
      <c r="B43" s="762"/>
      <c r="C43" s="763"/>
      <c r="D43" s="762"/>
      <c r="E43" s="763"/>
      <c r="F43" s="1441"/>
      <c r="G43" s="1442"/>
      <c r="H43" s="1442"/>
      <c r="I43" s="1443"/>
      <c r="J43" s="1445"/>
      <c r="K43" s="803"/>
      <c r="L43" s="43"/>
      <c r="M43" s="767"/>
      <c r="N43" s="634"/>
      <c r="O43" s="635"/>
      <c r="P43" s="636"/>
    </row>
    <row r="44" spans="1:16" ht="15" customHeight="1">
      <c r="A44" s="60" t="s">
        <v>52</v>
      </c>
      <c r="B44" s="650" t="s">
        <v>236</v>
      </c>
      <c r="C44" s="650"/>
      <c r="D44" s="650" t="s">
        <v>179</v>
      </c>
      <c r="E44" s="650"/>
      <c r="F44" s="651" t="s">
        <v>583</v>
      </c>
      <c r="G44" s="651"/>
      <c r="H44" s="651"/>
      <c r="I44" s="651"/>
      <c r="J44" s="15"/>
      <c r="K44" s="36"/>
      <c r="L44" s="32">
        <v>3</v>
      </c>
      <c r="M44" s="122" t="s">
        <v>425</v>
      </c>
      <c r="N44" s="660" t="s">
        <v>584</v>
      </c>
      <c r="O44" s="660"/>
      <c r="P44" s="660"/>
    </row>
    <row r="45" spans="1:16" ht="15" customHeight="1">
      <c r="A45" s="60" t="s">
        <v>439</v>
      </c>
      <c r="B45" s="650" t="s">
        <v>236</v>
      </c>
      <c r="C45" s="650"/>
      <c r="D45" s="650" t="s">
        <v>179</v>
      </c>
      <c r="E45" s="650"/>
      <c r="F45" s="651" t="s">
        <v>237</v>
      </c>
      <c r="G45" s="651"/>
      <c r="H45" s="651"/>
      <c r="I45" s="651"/>
      <c r="J45" s="15"/>
      <c r="K45" s="36"/>
      <c r="L45" s="32">
        <v>3</v>
      </c>
      <c r="M45" s="122" t="s">
        <v>425</v>
      </c>
      <c r="N45" s="660" t="s">
        <v>585</v>
      </c>
      <c r="O45" s="660"/>
      <c r="P45" s="660"/>
    </row>
    <row r="46" spans="1:16" ht="15" customHeight="1" thickBot="1">
      <c r="A46" s="121" t="s">
        <v>586</v>
      </c>
      <c r="B46" s="727" t="s">
        <v>147</v>
      </c>
      <c r="C46" s="727"/>
      <c r="D46" s="727" t="s">
        <v>49</v>
      </c>
      <c r="E46" s="727"/>
      <c r="F46" s="728" t="s">
        <v>587</v>
      </c>
      <c r="G46" s="728"/>
      <c r="H46" s="728"/>
      <c r="I46" s="728"/>
      <c r="J46" s="79" t="s">
        <v>588</v>
      </c>
      <c r="K46" s="84"/>
      <c r="L46" s="48">
        <v>3</v>
      </c>
      <c r="M46" s="97" t="s">
        <v>470</v>
      </c>
      <c r="N46" s="885" t="s">
        <v>589</v>
      </c>
      <c r="O46" s="1386"/>
      <c r="P46" s="886"/>
    </row>
    <row r="47" spans="1:16" ht="15" customHeight="1" thickTop="1">
      <c r="A47" s="664" t="s">
        <v>400</v>
      </c>
      <c r="B47" s="637" t="s">
        <v>10</v>
      </c>
      <c r="C47" s="637"/>
      <c r="D47" s="637" t="s">
        <v>17</v>
      </c>
      <c r="E47" s="637"/>
      <c r="F47" s="662" t="s">
        <v>590</v>
      </c>
      <c r="G47" s="663"/>
      <c r="H47" s="663"/>
      <c r="I47" s="663"/>
      <c r="J47" s="1434" t="s">
        <v>721</v>
      </c>
      <c r="K47" s="1435" t="s">
        <v>591</v>
      </c>
      <c r="L47" s="51" t="s">
        <v>576</v>
      </c>
      <c r="M47" s="1126"/>
      <c r="N47" s="631" t="s">
        <v>271</v>
      </c>
      <c r="O47" s="632"/>
      <c r="P47" s="633"/>
    </row>
    <row r="48" spans="1:16" ht="15" customHeight="1">
      <c r="A48" s="664"/>
      <c r="B48" s="637" t="s">
        <v>81</v>
      </c>
      <c r="C48" s="637"/>
      <c r="D48" s="661" t="s">
        <v>17</v>
      </c>
      <c r="E48" s="661"/>
      <c r="F48" s="662" t="s">
        <v>272</v>
      </c>
      <c r="G48" s="663"/>
      <c r="H48" s="663"/>
      <c r="I48" s="663"/>
      <c r="J48" s="689"/>
      <c r="K48" s="1024"/>
      <c r="L48" s="124">
        <v>1</v>
      </c>
      <c r="M48" s="1118"/>
      <c r="N48" s="631"/>
      <c r="O48" s="632"/>
      <c r="P48" s="633"/>
    </row>
    <row r="49" spans="1:16" ht="15" customHeight="1">
      <c r="A49" s="665"/>
      <c r="B49" s="637" t="s">
        <v>83</v>
      </c>
      <c r="C49" s="637"/>
      <c r="D49" s="661" t="s">
        <v>11</v>
      </c>
      <c r="E49" s="661"/>
      <c r="F49" s="659" t="s">
        <v>592</v>
      </c>
      <c r="G49" s="659"/>
      <c r="H49" s="659"/>
      <c r="I49" s="659"/>
      <c r="J49" s="686"/>
      <c r="K49" s="1025"/>
      <c r="L49" s="124">
        <v>1</v>
      </c>
      <c r="M49" s="1115"/>
      <c r="N49" s="634"/>
      <c r="O49" s="635"/>
      <c r="P49" s="636"/>
    </row>
    <row r="50" spans="1:16" ht="15" customHeight="1">
      <c r="A50" s="718" t="s">
        <v>593</v>
      </c>
      <c r="B50" s="637" t="s">
        <v>134</v>
      </c>
      <c r="C50" s="637"/>
      <c r="D50" s="661" t="s">
        <v>11</v>
      </c>
      <c r="E50" s="661"/>
      <c r="F50" s="653" t="s">
        <v>135</v>
      </c>
      <c r="G50" s="653"/>
      <c r="H50" s="653"/>
      <c r="I50" s="653"/>
      <c r="J50" s="685" t="s">
        <v>594</v>
      </c>
      <c r="K50" s="802"/>
      <c r="L50" s="124" t="s">
        <v>576</v>
      </c>
      <c r="M50" s="1114"/>
      <c r="N50" s="656" t="s">
        <v>595</v>
      </c>
      <c r="O50" s="657"/>
      <c r="P50" s="658"/>
    </row>
    <row r="51" spans="1:16" ht="15" customHeight="1">
      <c r="A51" s="665"/>
      <c r="B51" s="661" t="s">
        <v>137</v>
      </c>
      <c r="C51" s="661"/>
      <c r="D51" s="661" t="s">
        <v>11</v>
      </c>
      <c r="E51" s="661"/>
      <c r="F51" s="659" t="s">
        <v>138</v>
      </c>
      <c r="G51" s="659"/>
      <c r="H51" s="659"/>
      <c r="I51" s="659"/>
      <c r="J51" s="686"/>
      <c r="K51" s="803"/>
      <c r="L51" s="124">
        <v>1</v>
      </c>
      <c r="M51" s="1115"/>
      <c r="N51" s="634"/>
      <c r="O51" s="635"/>
      <c r="P51" s="636"/>
    </row>
    <row r="52" spans="1:16" ht="15" customHeight="1">
      <c r="A52" s="718" t="s">
        <v>455</v>
      </c>
      <c r="B52" s="650" t="s">
        <v>81</v>
      </c>
      <c r="C52" s="650"/>
      <c r="D52" s="650" t="s">
        <v>17</v>
      </c>
      <c r="E52" s="650"/>
      <c r="F52" s="651" t="s">
        <v>275</v>
      </c>
      <c r="G52" s="651"/>
      <c r="H52" s="651"/>
      <c r="I52" s="651"/>
      <c r="J52" s="1436" t="s">
        <v>596</v>
      </c>
      <c r="K52" s="802"/>
      <c r="L52" s="32">
        <v>3</v>
      </c>
      <c r="M52" s="1144"/>
      <c r="N52" s="656" t="s">
        <v>597</v>
      </c>
      <c r="O52" s="657"/>
      <c r="P52" s="658"/>
    </row>
    <row r="53" spans="1:16" ht="15" customHeight="1">
      <c r="A53" s="665"/>
      <c r="B53" s="650" t="s">
        <v>83</v>
      </c>
      <c r="C53" s="650"/>
      <c r="D53" s="650" t="s">
        <v>11</v>
      </c>
      <c r="E53" s="650"/>
      <c r="F53" s="651" t="s">
        <v>598</v>
      </c>
      <c r="G53" s="651"/>
      <c r="H53" s="651"/>
      <c r="I53" s="651"/>
      <c r="J53" s="1437"/>
      <c r="K53" s="803"/>
      <c r="L53" s="32">
        <v>1</v>
      </c>
      <c r="M53" s="1145"/>
      <c r="N53" s="634"/>
      <c r="O53" s="635"/>
      <c r="P53" s="636"/>
    </row>
    <row r="54" spans="1:16" ht="15" customHeight="1">
      <c r="A54" s="60" t="s">
        <v>599</v>
      </c>
      <c r="B54" s="650" t="s">
        <v>164</v>
      </c>
      <c r="C54" s="650"/>
      <c r="D54" s="650" t="s">
        <v>63</v>
      </c>
      <c r="E54" s="650"/>
      <c r="F54" s="651" t="s">
        <v>292</v>
      </c>
      <c r="G54" s="651"/>
      <c r="H54" s="651"/>
      <c r="I54" s="651"/>
      <c r="J54" s="15"/>
      <c r="K54" s="36"/>
      <c r="L54" s="32">
        <v>3</v>
      </c>
      <c r="M54" s="122" t="s">
        <v>425</v>
      </c>
      <c r="N54" s="660" t="s">
        <v>214</v>
      </c>
      <c r="O54" s="660"/>
      <c r="P54" s="660"/>
    </row>
    <row r="55" spans="1:16" ht="15" customHeight="1">
      <c r="A55" s="60" t="s">
        <v>464</v>
      </c>
      <c r="B55" s="650" t="s">
        <v>205</v>
      </c>
      <c r="C55" s="650"/>
      <c r="D55" s="650" t="s">
        <v>206</v>
      </c>
      <c r="E55" s="650"/>
      <c r="F55" s="651" t="s">
        <v>600</v>
      </c>
      <c r="G55" s="651"/>
      <c r="H55" s="651"/>
      <c r="I55" s="651"/>
      <c r="J55" s="15"/>
      <c r="K55" s="36"/>
      <c r="L55" s="32">
        <v>3</v>
      </c>
      <c r="M55" s="122" t="s">
        <v>425</v>
      </c>
      <c r="N55" s="660" t="s">
        <v>601</v>
      </c>
      <c r="O55" s="660"/>
      <c r="P55" s="660"/>
    </row>
    <row r="56" spans="1:16" ht="15" customHeight="1">
      <c r="A56" s="60" t="s">
        <v>467</v>
      </c>
      <c r="B56" s="650" t="s">
        <v>147</v>
      </c>
      <c r="C56" s="650"/>
      <c r="D56" s="650" t="s">
        <v>49</v>
      </c>
      <c r="E56" s="650"/>
      <c r="F56" s="651" t="s">
        <v>602</v>
      </c>
      <c r="G56" s="651"/>
      <c r="H56" s="651"/>
      <c r="I56" s="651"/>
      <c r="J56" s="15"/>
      <c r="K56" s="36" t="s">
        <v>603</v>
      </c>
      <c r="L56" s="32">
        <v>3</v>
      </c>
      <c r="M56" s="97" t="s">
        <v>704</v>
      </c>
      <c r="N56" s="660" t="s">
        <v>604</v>
      </c>
      <c r="O56" s="660"/>
      <c r="P56" s="660"/>
    </row>
    <row r="57" spans="1:16" ht="15" customHeight="1">
      <c r="A57" s="665" t="s">
        <v>605</v>
      </c>
      <c r="B57" s="661" t="s">
        <v>10</v>
      </c>
      <c r="C57" s="661"/>
      <c r="D57" s="637" t="s">
        <v>17</v>
      </c>
      <c r="E57" s="637"/>
      <c r="F57" s="653" t="s">
        <v>606</v>
      </c>
      <c r="G57" s="653"/>
      <c r="H57" s="653"/>
      <c r="I57" s="653"/>
      <c r="J57" s="685" t="s">
        <v>481</v>
      </c>
      <c r="K57" s="802" t="s">
        <v>616</v>
      </c>
      <c r="L57" s="124" t="s">
        <v>576</v>
      </c>
      <c r="M57" s="1114"/>
      <c r="N57" s="656" t="s">
        <v>607</v>
      </c>
      <c r="O57" s="657"/>
      <c r="P57" s="658"/>
    </row>
    <row r="58" spans="1:16" ht="15" customHeight="1">
      <c r="A58" s="973"/>
      <c r="B58" s="661" t="s">
        <v>13</v>
      </c>
      <c r="C58" s="661"/>
      <c r="D58" s="661" t="s">
        <v>17</v>
      </c>
      <c r="E58" s="661"/>
      <c r="F58" s="659" t="s">
        <v>608</v>
      </c>
      <c r="G58" s="659"/>
      <c r="H58" s="659"/>
      <c r="I58" s="659"/>
      <c r="J58" s="686"/>
      <c r="K58" s="803"/>
      <c r="L58" s="124">
        <v>1</v>
      </c>
      <c r="M58" s="1115"/>
      <c r="N58" s="634"/>
      <c r="O58" s="635"/>
      <c r="P58" s="636"/>
    </row>
    <row r="59" spans="1:16" ht="15" customHeight="1">
      <c r="A59" s="665" t="s">
        <v>609</v>
      </c>
      <c r="B59" s="661" t="s">
        <v>199</v>
      </c>
      <c r="C59" s="661"/>
      <c r="D59" s="661" t="s">
        <v>11</v>
      </c>
      <c r="E59" s="661"/>
      <c r="F59" s="699" t="s">
        <v>264</v>
      </c>
      <c r="G59" s="699"/>
      <c r="H59" s="699"/>
      <c r="I59" s="699"/>
      <c r="J59" s="685"/>
      <c r="K59" s="702" t="s">
        <v>420</v>
      </c>
      <c r="L59" s="124" t="s">
        <v>576</v>
      </c>
      <c r="M59" s="1114"/>
      <c r="N59" s="708" t="s">
        <v>12</v>
      </c>
      <c r="O59" s="708"/>
      <c r="P59" s="708"/>
    </row>
    <row r="60" spans="1:16" ht="15" customHeight="1">
      <c r="A60" s="973"/>
      <c r="B60" s="661" t="s">
        <v>577</v>
      </c>
      <c r="C60" s="661"/>
      <c r="D60" s="661" t="s">
        <v>11</v>
      </c>
      <c r="E60" s="661"/>
      <c r="F60" s="699" t="s">
        <v>203</v>
      </c>
      <c r="G60" s="699"/>
      <c r="H60" s="699"/>
      <c r="I60" s="699"/>
      <c r="J60" s="686"/>
      <c r="K60" s="691"/>
      <c r="L60" s="124">
        <v>1</v>
      </c>
      <c r="M60" s="1115"/>
      <c r="N60" s="660"/>
      <c r="O60" s="660"/>
      <c r="P60" s="660"/>
    </row>
    <row r="61" spans="1:16" ht="15" customHeight="1">
      <c r="A61" s="60" t="s">
        <v>610</v>
      </c>
      <c r="B61" s="650" t="s">
        <v>147</v>
      </c>
      <c r="C61" s="650"/>
      <c r="D61" s="650" t="s">
        <v>468</v>
      </c>
      <c r="E61" s="650"/>
      <c r="F61" s="651" t="s">
        <v>611</v>
      </c>
      <c r="G61" s="651"/>
      <c r="H61" s="651"/>
      <c r="I61" s="651"/>
      <c r="J61" s="15" t="s">
        <v>612</v>
      </c>
      <c r="K61" s="32"/>
      <c r="L61" s="32">
        <v>3</v>
      </c>
      <c r="M61" s="97" t="s">
        <v>470</v>
      </c>
      <c r="N61" s="660" t="s">
        <v>251</v>
      </c>
      <c r="O61" s="660"/>
      <c r="P61" s="660"/>
    </row>
    <row r="62" spans="1:16" ht="15" customHeight="1">
      <c r="A62" s="1433" t="s">
        <v>613</v>
      </c>
      <c r="B62" s="1433"/>
      <c r="C62" s="1433"/>
      <c r="D62" s="1433"/>
      <c r="E62" s="16"/>
      <c r="F62" s="17"/>
      <c r="G62" s="17"/>
      <c r="H62" s="17"/>
      <c r="I62" s="17"/>
      <c r="J62" s="18"/>
      <c r="K62" s="45"/>
      <c r="L62" s="45"/>
      <c r="M62" s="45"/>
      <c r="N62" s="120"/>
      <c r="O62" s="120"/>
      <c r="P62" s="120"/>
    </row>
    <row r="79" ht="3.75" customHeight="1"/>
  </sheetData>
  <mergeCells count="258">
    <mergeCell ref="L4:L5"/>
    <mergeCell ref="N4:P5"/>
    <mergeCell ref="A6:A7"/>
    <mergeCell ref="B6:C6"/>
    <mergeCell ref="D6:E6"/>
    <mergeCell ref="F6:I6"/>
    <mergeCell ref="J6:J7"/>
    <mergeCell ref="K6:K7"/>
    <mergeCell ref="N6:P7"/>
    <mergeCell ref="B7:C7"/>
    <mergeCell ref="A4:A5"/>
    <mergeCell ref="B4:C5"/>
    <mergeCell ref="D4:E5"/>
    <mergeCell ref="F4:I5"/>
    <mergeCell ref="J4:J5"/>
    <mergeCell ref="K4:K5"/>
    <mergeCell ref="J8:J9"/>
    <mergeCell ref="K8:K9"/>
    <mergeCell ref="N8:P9"/>
    <mergeCell ref="B9:C9"/>
    <mergeCell ref="D9:E9"/>
    <mergeCell ref="F9:I9"/>
    <mergeCell ref="D7:E7"/>
    <mergeCell ref="F7:I7"/>
    <mergeCell ref="A8:A9"/>
    <mergeCell ref="B8:C8"/>
    <mergeCell ref="D8:E8"/>
    <mergeCell ref="F8:I8"/>
    <mergeCell ref="M8:M9"/>
    <mergeCell ref="M6:M7"/>
    <mergeCell ref="B10:C10"/>
    <mergeCell ref="D10:E10"/>
    <mergeCell ref="F10:I10"/>
    <mergeCell ref="N10:P10"/>
    <mergeCell ref="A11:A12"/>
    <mergeCell ref="B11:C12"/>
    <mergeCell ref="D11:E12"/>
    <mergeCell ref="F11:I12"/>
    <mergeCell ref="J11:J12"/>
    <mergeCell ref="K11:K12"/>
    <mergeCell ref="N11:P12"/>
    <mergeCell ref="M11:M12"/>
    <mergeCell ref="N16:P18"/>
    <mergeCell ref="B17:C17"/>
    <mergeCell ref="D17:E17"/>
    <mergeCell ref="F17:I17"/>
    <mergeCell ref="B18:C18"/>
    <mergeCell ref="D18:E18"/>
    <mergeCell ref="F18:I18"/>
    <mergeCell ref="B15:C15"/>
    <mergeCell ref="D15:E15"/>
    <mergeCell ref="M16:M18"/>
    <mergeCell ref="B13:C13"/>
    <mergeCell ref="D13:E13"/>
    <mergeCell ref="F13:I13"/>
    <mergeCell ref="N13:P13"/>
    <mergeCell ref="B14:C14"/>
    <mergeCell ref="D14:E14"/>
    <mergeCell ref="F14:I14"/>
    <mergeCell ref="N14:P14"/>
    <mergeCell ref="F15:I15"/>
    <mergeCell ref="N15:P15"/>
    <mergeCell ref="N19:P20"/>
    <mergeCell ref="B20:C20"/>
    <mergeCell ref="D20:E20"/>
    <mergeCell ref="F20:I20"/>
    <mergeCell ref="A21:A22"/>
    <mergeCell ref="B21:C21"/>
    <mergeCell ref="D21:E21"/>
    <mergeCell ref="F21:I21"/>
    <mergeCell ref="J21:J22"/>
    <mergeCell ref="K21:K22"/>
    <mergeCell ref="A19:A20"/>
    <mergeCell ref="B19:C19"/>
    <mergeCell ref="D19:E19"/>
    <mergeCell ref="F19:I19"/>
    <mergeCell ref="J19:J20"/>
    <mergeCell ref="K19:K20"/>
    <mergeCell ref="M19:M20"/>
    <mergeCell ref="A16:A18"/>
    <mergeCell ref="B16:C16"/>
    <mergeCell ref="D16:E16"/>
    <mergeCell ref="F16:I16"/>
    <mergeCell ref="J16:J18"/>
    <mergeCell ref="K16:K18"/>
    <mergeCell ref="B24:C24"/>
    <mergeCell ref="D24:E24"/>
    <mergeCell ref="F24:I24"/>
    <mergeCell ref="N24:P24"/>
    <mergeCell ref="B25:C25"/>
    <mergeCell ref="D25:E25"/>
    <mergeCell ref="F25:I25"/>
    <mergeCell ref="N25:P25"/>
    <mergeCell ref="N21:P22"/>
    <mergeCell ref="B22:C22"/>
    <mergeCell ref="D22:E22"/>
    <mergeCell ref="F22:I22"/>
    <mergeCell ref="B23:C23"/>
    <mergeCell ref="D23:E23"/>
    <mergeCell ref="F23:I23"/>
    <mergeCell ref="N23:P23"/>
    <mergeCell ref="M21:M22"/>
    <mergeCell ref="N26:P27"/>
    <mergeCell ref="B27:C27"/>
    <mergeCell ref="D27:E27"/>
    <mergeCell ref="F27:I27"/>
    <mergeCell ref="A28:A29"/>
    <mergeCell ref="B28:C28"/>
    <mergeCell ref="D28:E28"/>
    <mergeCell ref="F28:I28"/>
    <mergeCell ref="J28:J29"/>
    <mergeCell ref="K28:K29"/>
    <mergeCell ref="A26:A27"/>
    <mergeCell ref="B26:C26"/>
    <mergeCell ref="D26:E26"/>
    <mergeCell ref="F26:I26"/>
    <mergeCell ref="J26:J27"/>
    <mergeCell ref="K26:K27"/>
    <mergeCell ref="M26:M27"/>
    <mergeCell ref="A31:D31"/>
    <mergeCell ref="N28:P29"/>
    <mergeCell ref="B29:C29"/>
    <mergeCell ref="D29:E29"/>
    <mergeCell ref="F29:I29"/>
    <mergeCell ref="B30:C30"/>
    <mergeCell ref="D30:E30"/>
    <mergeCell ref="F30:I30"/>
    <mergeCell ref="N30:P30"/>
    <mergeCell ref="M28:M29"/>
    <mergeCell ref="L35:L36"/>
    <mergeCell ref="N35:P36"/>
    <mergeCell ref="A37:A38"/>
    <mergeCell ref="B37:C37"/>
    <mergeCell ref="D37:E37"/>
    <mergeCell ref="F37:I37"/>
    <mergeCell ref="J37:J38"/>
    <mergeCell ref="K37:K38"/>
    <mergeCell ref="N37:P38"/>
    <mergeCell ref="B38:C38"/>
    <mergeCell ref="A35:A36"/>
    <mergeCell ref="B35:C36"/>
    <mergeCell ref="D35:E36"/>
    <mergeCell ref="F35:I36"/>
    <mergeCell ref="J35:J36"/>
    <mergeCell ref="K35:K36"/>
    <mergeCell ref="J39:J40"/>
    <mergeCell ref="K39:K40"/>
    <mergeCell ref="N39:P40"/>
    <mergeCell ref="B40:C40"/>
    <mergeCell ref="D40:E40"/>
    <mergeCell ref="F40:I40"/>
    <mergeCell ref="D38:E38"/>
    <mergeCell ref="F38:I38"/>
    <mergeCell ref="A39:A40"/>
    <mergeCell ref="B39:C39"/>
    <mergeCell ref="D39:E39"/>
    <mergeCell ref="F39:I39"/>
    <mergeCell ref="M37:M38"/>
    <mergeCell ref="M39:M40"/>
    <mergeCell ref="B41:C41"/>
    <mergeCell ref="D41:E41"/>
    <mergeCell ref="F41:I41"/>
    <mergeCell ref="N41:P41"/>
    <mergeCell ref="A42:A43"/>
    <mergeCell ref="B42:C43"/>
    <mergeCell ref="D42:E43"/>
    <mergeCell ref="F42:I43"/>
    <mergeCell ref="J42:J43"/>
    <mergeCell ref="K42:K43"/>
    <mergeCell ref="N42:P43"/>
    <mergeCell ref="M42:M43"/>
    <mergeCell ref="N47:P49"/>
    <mergeCell ref="B48:C48"/>
    <mergeCell ref="D48:E48"/>
    <mergeCell ref="F48:I48"/>
    <mergeCell ref="B49:C49"/>
    <mergeCell ref="D49:E49"/>
    <mergeCell ref="F49:I49"/>
    <mergeCell ref="B46:C46"/>
    <mergeCell ref="D46:E46"/>
    <mergeCell ref="M47:M49"/>
    <mergeCell ref="B44:C44"/>
    <mergeCell ref="D44:E44"/>
    <mergeCell ref="F44:I44"/>
    <mergeCell ref="N44:P44"/>
    <mergeCell ref="B45:C45"/>
    <mergeCell ref="D45:E45"/>
    <mergeCell ref="F45:I45"/>
    <mergeCell ref="N45:P45"/>
    <mergeCell ref="F46:I46"/>
    <mergeCell ref="N46:P46"/>
    <mergeCell ref="N50:P51"/>
    <mergeCell ref="B51:C51"/>
    <mergeCell ref="D51:E51"/>
    <mergeCell ref="F51:I51"/>
    <mergeCell ref="A52:A53"/>
    <mergeCell ref="B52:C52"/>
    <mergeCell ref="D52:E52"/>
    <mergeCell ref="F52:I52"/>
    <mergeCell ref="J52:J53"/>
    <mergeCell ref="K52:K53"/>
    <mergeCell ref="A50:A51"/>
    <mergeCell ref="B50:C50"/>
    <mergeCell ref="D50:E50"/>
    <mergeCell ref="F50:I50"/>
    <mergeCell ref="J50:J51"/>
    <mergeCell ref="K50:K51"/>
    <mergeCell ref="M50:M51"/>
    <mergeCell ref="A47:A49"/>
    <mergeCell ref="B47:C47"/>
    <mergeCell ref="D47:E47"/>
    <mergeCell ref="F47:I47"/>
    <mergeCell ref="J47:J49"/>
    <mergeCell ref="K47:K49"/>
    <mergeCell ref="B55:C55"/>
    <mergeCell ref="D55:E55"/>
    <mergeCell ref="F55:I55"/>
    <mergeCell ref="N55:P55"/>
    <mergeCell ref="B56:C56"/>
    <mergeCell ref="D56:E56"/>
    <mergeCell ref="F56:I56"/>
    <mergeCell ref="N56:P56"/>
    <mergeCell ref="N52:P53"/>
    <mergeCell ref="B53:C53"/>
    <mergeCell ref="D53:E53"/>
    <mergeCell ref="F53:I53"/>
    <mergeCell ref="B54:C54"/>
    <mergeCell ref="D54:E54"/>
    <mergeCell ref="F54:I54"/>
    <mergeCell ref="N54:P54"/>
    <mergeCell ref="M52:M53"/>
    <mergeCell ref="N57:P58"/>
    <mergeCell ref="B58:C58"/>
    <mergeCell ref="D58:E58"/>
    <mergeCell ref="F58:I58"/>
    <mergeCell ref="A59:A60"/>
    <mergeCell ref="B59:C59"/>
    <mergeCell ref="D59:E59"/>
    <mergeCell ref="F59:I59"/>
    <mergeCell ref="J59:J60"/>
    <mergeCell ref="K59:K60"/>
    <mergeCell ref="A57:A58"/>
    <mergeCell ref="B57:C57"/>
    <mergeCell ref="D57:E57"/>
    <mergeCell ref="F57:I57"/>
    <mergeCell ref="J57:J58"/>
    <mergeCell ref="K57:K58"/>
    <mergeCell ref="M57:M58"/>
    <mergeCell ref="A62:D62"/>
    <mergeCell ref="N59:P60"/>
    <mergeCell ref="B60:C60"/>
    <mergeCell ref="D60:E60"/>
    <mergeCell ref="F60:I60"/>
    <mergeCell ref="B61:C61"/>
    <mergeCell ref="D61:E61"/>
    <mergeCell ref="F61:I61"/>
    <mergeCell ref="N61:P61"/>
    <mergeCell ref="M59:M60"/>
  </mergeCells>
  <phoneticPr fontId="11"/>
  <pageMargins left="0.7" right="0.7" top="0.75" bottom="0.75" header="0.3" footer="0.3"/>
  <pageSetup paperSize="9" scale="95" orientation="landscape" r:id="rId1"/>
  <rowBreaks count="1" manualBreakCount="1">
    <brk id="31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588F-CBA9-4B22-A632-58E15B2F63C2}">
  <dimension ref="A1:O80"/>
  <sheetViews>
    <sheetView view="pageBreakPreview" zoomScaleNormal="100" zoomScaleSheetLayoutView="100" workbookViewId="0">
      <selection activeCell="D20" sqref="D20:I20"/>
    </sheetView>
  </sheetViews>
  <sheetFormatPr defaultColWidth="9" defaultRowHeight="18"/>
  <cols>
    <col min="1" max="1" width="6.59765625" style="1" customWidth="1"/>
    <col min="2" max="3" width="7.59765625" style="1" customWidth="1"/>
    <col min="4" max="5" width="5.5" style="1" customWidth="1"/>
    <col min="6" max="7" width="7.59765625" style="1" customWidth="1"/>
    <col min="8" max="8" width="11.8984375" style="1" customWidth="1"/>
    <col min="9" max="9" width="9.765625E-2" style="1" customWidth="1"/>
    <col min="10" max="11" width="20.59765625" style="1" customWidth="1"/>
    <col min="12" max="15" width="7.59765625" style="1" customWidth="1"/>
    <col min="16" max="16384" width="9" style="1"/>
  </cols>
  <sheetData>
    <row r="1" spans="1:15" ht="18.75" customHeight="1">
      <c r="A1" s="31" t="s">
        <v>489</v>
      </c>
      <c r="M1" s="2"/>
    </row>
    <row r="2" spans="1:15" ht="18.75" customHeight="1">
      <c r="A2" s="86" t="s">
        <v>490</v>
      </c>
      <c r="M2" s="2"/>
    </row>
    <row r="3" spans="1:15" ht="15" customHeight="1">
      <c r="A3" s="49" t="s">
        <v>366</v>
      </c>
    </row>
    <row r="4" spans="1:15" ht="15" customHeight="1">
      <c r="A4" s="710" t="s">
        <v>2</v>
      </c>
      <c r="B4" s="712" t="s">
        <v>3</v>
      </c>
      <c r="C4" s="712"/>
      <c r="D4" s="650" t="s">
        <v>4</v>
      </c>
      <c r="E4" s="650"/>
      <c r="F4" s="712" t="s">
        <v>5</v>
      </c>
      <c r="G4" s="712"/>
      <c r="H4" s="712"/>
      <c r="I4" s="712"/>
      <c r="J4" s="713" t="s">
        <v>491</v>
      </c>
      <c r="K4" s="715" t="s">
        <v>7</v>
      </c>
      <c r="L4" s="185" t="s">
        <v>407</v>
      </c>
      <c r="M4" s="674" t="s">
        <v>8</v>
      </c>
      <c r="N4" s="675"/>
      <c r="O4" s="676"/>
    </row>
    <row r="5" spans="1:15" ht="15" customHeight="1">
      <c r="A5" s="711"/>
      <c r="B5" s="712"/>
      <c r="C5" s="712"/>
      <c r="D5" s="650"/>
      <c r="E5" s="650"/>
      <c r="F5" s="712"/>
      <c r="G5" s="712"/>
      <c r="H5" s="712"/>
      <c r="I5" s="712"/>
      <c r="J5" s="714"/>
      <c r="K5" s="715"/>
      <c r="L5" s="186" t="s">
        <v>410</v>
      </c>
      <c r="M5" s="674"/>
      <c r="N5" s="675"/>
      <c r="O5" s="676"/>
    </row>
    <row r="6" spans="1:15" ht="15" customHeight="1">
      <c r="A6" s="718" t="s">
        <v>9</v>
      </c>
      <c r="B6" s="661" t="s">
        <v>10</v>
      </c>
      <c r="C6" s="661"/>
      <c r="D6" s="637" t="s">
        <v>43</v>
      </c>
      <c r="E6" s="637"/>
      <c r="F6" s="653" t="s">
        <v>716</v>
      </c>
      <c r="G6" s="653"/>
      <c r="H6" s="653"/>
      <c r="I6" s="653"/>
      <c r="J6" s="1120"/>
      <c r="K6" s="802"/>
      <c r="L6" s="1114"/>
      <c r="M6" s="656" t="s">
        <v>382</v>
      </c>
      <c r="N6" s="657"/>
      <c r="O6" s="658"/>
    </row>
    <row r="7" spans="1:15" ht="15" customHeight="1">
      <c r="A7" s="665"/>
      <c r="B7" s="661" t="s">
        <v>13</v>
      </c>
      <c r="C7" s="661"/>
      <c r="D7" s="637" t="s">
        <v>14</v>
      </c>
      <c r="E7" s="637"/>
      <c r="F7" s="659" t="s">
        <v>15</v>
      </c>
      <c r="G7" s="659"/>
      <c r="H7" s="659"/>
      <c r="I7" s="659"/>
      <c r="J7" s="653"/>
      <c r="K7" s="803"/>
      <c r="L7" s="1115"/>
      <c r="M7" s="634"/>
      <c r="N7" s="635"/>
      <c r="O7" s="636"/>
    </row>
    <row r="8" spans="1:15" ht="15" customHeight="1">
      <c r="A8" s="718" t="s">
        <v>16</v>
      </c>
      <c r="B8" s="661" t="s">
        <v>10</v>
      </c>
      <c r="C8" s="661"/>
      <c r="D8" s="637" t="s">
        <v>43</v>
      </c>
      <c r="E8" s="637"/>
      <c r="F8" s="653" t="s">
        <v>773</v>
      </c>
      <c r="G8" s="653"/>
      <c r="H8" s="653"/>
      <c r="I8" s="653"/>
      <c r="J8" s="1120" t="s">
        <v>713</v>
      </c>
      <c r="K8" s="802" t="s">
        <v>714</v>
      </c>
      <c r="L8" s="1114"/>
      <c r="M8" s="656" t="s">
        <v>492</v>
      </c>
      <c r="N8" s="657"/>
      <c r="O8" s="658"/>
    </row>
    <row r="9" spans="1:15" ht="15" customHeight="1">
      <c r="A9" s="665"/>
      <c r="B9" s="661" t="s">
        <v>13</v>
      </c>
      <c r="C9" s="661"/>
      <c r="D9" s="637" t="s">
        <v>11</v>
      </c>
      <c r="E9" s="637"/>
      <c r="F9" s="659" t="s">
        <v>414</v>
      </c>
      <c r="G9" s="659"/>
      <c r="H9" s="659"/>
      <c r="I9" s="659"/>
      <c r="J9" s="653"/>
      <c r="K9" s="803"/>
      <c r="L9" s="1115"/>
      <c r="M9" s="634"/>
      <c r="N9" s="635"/>
      <c r="O9" s="636"/>
    </row>
    <row r="10" spans="1:15" ht="15" customHeight="1">
      <c r="A10" s="718" t="s">
        <v>22</v>
      </c>
      <c r="B10" s="661" t="s">
        <v>10</v>
      </c>
      <c r="C10" s="661"/>
      <c r="D10" s="637" t="s">
        <v>17</v>
      </c>
      <c r="E10" s="637"/>
      <c r="F10" s="653" t="s">
        <v>493</v>
      </c>
      <c r="G10" s="653"/>
      <c r="H10" s="653"/>
      <c r="I10" s="653"/>
      <c r="J10" s="1120" t="s">
        <v>494</v>
      </c>
      <c r="K10" s="802"/>
      <c r="L10" s="1114"/>
      <c r="M10" s="656" t="s">
        <v>495</v>
      </c>
      <c r="N10" s="657"/>
      <c r="O10" s="658"/>
    </row>
    <row r="11" spans="1:15" ht="15" customHeight="1">
      <c r="A11" s="665"/>
      <c r="B11" s="661" t="s">
        <v>13</v>
      </c>
      <c r="C11" s="661"/>
      <c r="D11" s="637" t="s">
        <v>11</v>
      </c>
      <c r="E11" s="637"/>
      <c r="F11" s="659" t="s">
        <v>496</v>
      </c>
      <c r="G11" s="659"/>
      <c r="H11" s="659"/>
      <c r="I11" s="659"/>
      <c r="J11" s="653"/>
      <c r="K11" s="803"/>
      <c r="L11" s="1115"/>
      <c r="M11" s="634"/>
      <c r="N11" s="635"/>
      <c r="O11" s="636"/>
    </row>
    <row r="12" spans="1:15" ht="15" customHeight="1">
      <c r="A12" s="1135" t="s">
        <v>387</v>
      </c>
      <c r="B12" s="661" t="s">
        <v>497</v>
      </c>
      <c r="C12" s="661"/>
      <c r="D12" s="637" t="s">
        <v>498</v>
      </c>
      <c r="E12" s="637"/>
      <c r="F12" s="659" t="s">
        <v>499</v>
      </c>
      <c r="G12" s="659"/>
      <c r="H12" s="659"/>
      <c r="I12" s="659"/>
      <c r="J12" s="1120" t="s">
        <v>500</v>
      </c>
      <c r="K12" s="802"/>
      <c r="L12" s="1114"/>
      <c r="M12" s="656" t="s">
        <v>501</v>
      </c>
      <c r="N12" s="657"/>
      <c r="O12" s="658"/>
    </row>
    <row r="13" spans="1:15" ht="15" customHeight="1">
      <c r="A13" s="1137"/>
      <c r="B13" s="661" t="s">
        <v>502</v>
      </c>
      <c r="C13" s="661"/>
      <c r="D13" s="637" t="s">
        <v>498</v>
      </c>
      <c r="E13" s="637"/>
      <c r="F13" s="659" t="s">
        <v>503</v>
      </c>
      <c r="G13" s="659"/>
      <c r="H13" s="659"/>
      <c r="I13" s="659"/>
      <c r="J13" s="653"/>
      <c r="K13" s="803"/>
      <c r="L13" s="1115"/>
      <c r="M13" s="634"/>
      <c r="N13" s="635"/>
      <c r="O13" s="636"/>
    </row>
    <row r="14" spans="1:15" ht="15" customHeight="1">
      <c r="A14" s="718" t="s">
        <v>384</v>
      </c>
      <c r="B14" s="637" t="s">
        <v>504</v>
      </c>
      <c r="C14" s="637"/>
      <c r="D14" s="637" t="s">
        <v>11</v>
      </c>
      <c r="E14" s="637"/>
      <c r="F14" s="653" t="s">
        <v>505</v>
      </c>
      <c r="G14" s="653"/>
      <c r="H14" s="653"/>
      <c r="I14" s="653"/>
      <c r="J14" s="1120"/>
      <c r="K14" s="802"/>
      <c r="L14" s="1114"/>
      <c r="M14" s="656" t="s">
        <v>126</v>
      </c>
      <c r="N14" s="657"/>
      <c r="O14" s="658"/>
    </row>
    <row r="15" spans="1:15" ht="15" customHeight="1">
      <c r="A15" s="665"/>
      <c r="B15" s="661" t="s">
        <v>202</v>
      </c>
      <c r="C15" s="661"/>
      <c r="D15" s="637" t="s">
        <v>11</v>
      </c>
      <c r="E15" s="637"/>
      <c r="F15" s="659" t="s">
        <v>203</v>
      </c>
      <c r="G15" s="659"/>
      <c r="H15" s="659"/>
      <c r="I15" s="659"/>
      <c r="J15" s="653"/>
      <c r="K15" s="803"/>
      <c r="L15" s="1115"/>
      <c r="M15" s="634"/>
      <c r="N15" s="635"/>
      <c r="O15" s="636"/>
    </row>
    <row r="16" spans="1:15" ht="15" customHeight="1">
      <c r="A16" s="973" t="s">
        <v>506</v>
      </c>
      <c r="B16" s="661" t="s">
        <v>35</v>
      </c>
      <c r="C16" s="661"/>
      <c r="D16" s="661" t="s">
        <v>43</v>
      </c>
      <c r="E16" s="661"/>
      <c r="F16" s="699" t="s">
        <v>507</v>
      </c>
      <c r="G16" s="699"/>
      <c r="H16" s="699"/>
      <c r="I16" s="699"/>
      <c r="J16" s="1171"/>
      <c r="K16" s="802"/>
      <c r="L16" s="1114"/>
      <c r="M16" s="660" t="s">
        <v>38</v>
      </c>
      <c r="N16" s="660"/>
      <c r="O16" s="660"/>
    </row>
    <row r="17" spans="1:15" ht="15" customHeight="1">
      <c r="A17" s="973"/>
      <c r="B17" s="661" t="s">
        <v>119</v>
      </c>
      <c r="C17" s="661"/>
      <c r="D17" s="661" t="s">
        <v>43</v>
      </c>
      <c r="E17" s="661"/>
      <c r="F17" s="699" t="s">
        <v>508</v>
      </c>
      <c r="G17" s="699"/>
      <c r="H17" s="699"/>
      <c r="I17" s="699"/>
      <c r="J17" s="1173"/>
      <c r="K17" s="803"/>
      <c r="L17" s="1115"/>
      <c r="M17" s="660"/>
      <c r="N17" s="660"/>
      <c r="O17" s="660"/>
    </row>
    <row r="18" spans="1:15" ht="15" customHeight="1">
      <c r="A18" s="60" t="s">
        <v>423</v>
      </c>
      <c r="B18" s="650" t="s">
        <v>236</v>
      </c>
      <c r="C18" s="650"/>
      <c r="D18" s="650" t="s">
        <v>49</v>
      </c>
      <c r="E18" s="650"/>
      <c r="F18" s="651" t="s">
        <v>804</v>
      </c>
      <c r="G18" s="651"/>
      <c r="H18" s="651"/>
      <c r="I18" s="651"/>
      <c r="J18" s="74"/>
      <c r="K18" s="36"/>
      <c r="L18" s="97" t="s">
        <v>436</v>
      </c>
      <c r="M18" s="634" t="s">
        <v>509</v>
      </c>
      <c r="N18" s="635"/>
      <c r="O18" s="636"/>
    </row>
    <row r="19" spans="1:15" ht="15" customHeight="1">
      <c r="A19" s="60" t="s">
        <v>427</v>
      </c>
      <c r="B19" s="650" t="s">
        <v>178</v>
      </c>
      <c r="C19" s="650"/>
      <c r="D19" s="650" t="s">
        <v>240</v>
      </c>
      <c r="E19" s="650"/>
      <c r="F19" s="651" t="s">
        <v>428</v>
      </c>
      <c r="G19" s="651"/>
      <c r="H19" s="651"/>
      <c r="I19" s="651"/>
      <c r="J19" s="74" t="s">
        <v>510</v>
      </c>
      <c r="K19" s="36" t="s">
        <v>709</v>
      </c>
      <c r="L19" s="219" t="s">
        <v>425</v>
      </c>
      <c r="M19" s="634" t="s">
        <v>511</v>
      </c>
      <c r="N19" s="635"/>
      <c r="O19" s="636"/>
    </row>
    <row r="20" spans="1:15" ht="15" customHeight="1">
      <c r="A20" s="60" t="s">
        <v>47</v>
      </c>
      <c r="B20" s="650" t="s">
        <v>211</v>
      </c>
      <c r="C20" s="650"/>
      <c r="D20" s="650" t="s">
        <v>72</v>
      </c>
      <c r="E20" s="650"/>
      <c r="F20" s="651" t="s">
        <v>512</v>
      </c>
      <c r="G20" s="651"/>
      <c r="H20" s="651"/>
      <c r="I20" s="651"/>
      <c r="J20" s="74" t="s">
        <v>513</v>
      </c>
      <c r="K20" s="36"/>
      <c r="L20" s="97" t="s">
        <v>436</v>
      </c>
      <c r="M20" s="660" t="s">
        <v>514</v>
      </c>
      <c r="N20" s="660"/>
      <c r="O20" s="660"/>
    </row>
    <row r="21" spans="1:15" ht="15" customHeight="1">
      <c r="A21" s="60" t="s">
        <v>52</v>
      </c>
      <c r="B21" s="650" t="s">
        <v>178</v>
      </c>
      <c r="C21" s="650"/>
      <c r="D21" s="650" t="s">
        <v>179</v>
      </c>
      <c r="E21" s="650"/>
      <c r="F21" s="651" t="s">
        <v>515</v>
      </c>
      <c r="G21" s="651"/>
      <c r="H21" s="651"/>
      <c r="I21" s="651"/>
      <c r="J21" s="74" t="s">
        <v>516</v>
      </c>
      <c r="K21" s="36"/>
      <c r="L21" s="97" t="s">
        <v>436</v>
      </c>
      <c r="M21" s="660" t="s">
        <v>517</v>
      </c>
      <c r="N21" s="660"/>
      <c r="O21" s="660"/>
    </row>
    <row r="22" spans="1:15" ht="15" customHeight="1" thickBot="1">
      <c r="A22" s="77" t="s">
        <v>439</v>
      </c>
      <c r="B22" s="727" t="s">
        <v>147</v>
      </c>
      <c r="C22" s="727"/>
      <c r="D22" s="727" t="s">
        <v>49</v>
      </c>
      <c r="E22" s="727"/>
      <c r="F22" s="728" t="s">
        <v>518</v>
      </c>
      <c r="G22" s="728"/>
      <c r="H22" s="728"/>
      <c r="I22" s="728"/>
      <c r="J22" s="80" t="s">
        <v>519</v>
      </c>
      <c r="K22" s="84"/>
      <c r="L22" s="222" t="s">
        <v>425</v>
      </c>
      <c r="M22" s="692" t="s">
        <v>520</v>
      </c>
      <c r="N22" s="692"/>
      <c r="O22" s="692"/>
    </row>
    <row r="23" spans="1:15" ht="15" customHeight="1" thickTop="1">
      <c r="A23" s="664" t="s">
        <v>400</v>
      </c>
      <c r="B23" s="637" t="s">
        <v>10</v>
      </c>
      <c r="C23" s="637"/>
      <c r="D23" s="638" t="s">
        <v>14</v>
      </c>
      <c r="E23" s="639"/>
      <c r="F23" s="666" t="s">
        <v>445</v>
      </c>
      <c r="G23" s="667"/>
      <c r="H23" s="667"/>
      <c r="I23" s="667"/>
      <c r="J23" s="1450" t="s">
        <v>521</v>
      </c>
      <c r="K23" s="1220"/>
      <c r="L23" s="1126"/>
      <c r="M23" s="1449" t="s">
        <v>447</v>
      </c>
      <c r="N23" s="733"/>
      <c r="O23" s="734"/>
    </row>
    <row r="24" spans="1:15" ht="15" customHeight="1">
      <c r="A24" s="664"/>
      <c r="B24" s="637" t="s">
        <v>81</v>
      </c>
      <c r="C24" s="637"/>
      <c r="D24" s="638" t="s">
        <v>14</v>
      </c>
      <c r="E24" s="639"/>
      <c r="F24" s="662" t="s">
        <v>448</v>
      </c>
      <c r="G24" s="663"/>
      <c r="H24" s="663"/>
      <c r="I24" s="663"/>
      <c r="J24" s="1169"/>
      <c r="K24" s="1117"/>
      <c r="L24" s="1118"/>
      <c r="M24" s="631"/>
      <c r="N24" s="632"/>
      <c r="O24" s="633"/>
    </row>
    <row r="25" spans="1:15" ht="15" customHeight="1">
      <c r="A25" s="665"/>
      <c r="B25" s="637" t="s">
        <v>83</v>
      </c>
      <c r="C25" s="637"/>
      <c r="D25" s="638" t="s">
        <v>14</v>
      </c>
      <c r="E25" s="639"/>
      <c r="F25" s="659" t="s">
        <v>449</v>
      </c>
      <c r="G25" s="659"/>
      <c r="H25" s="659"/>
      <c r="I25" s="659"/>
      <c r="J25" s="1170"/>
      <c r="K25" s="803"/>
      <c r="L25" s="1115"/>
      <c r="M25" s="634"/>
      <c r="N25" s="635"/>
      <c r="O25" s="636"/>
    </row>
    <row r="26" spans="1:15" ht="15" customHeight="1">
      <c r="A26" s="664" t="s">
        <v>450</v>
      </c>
      <c r="B26" s="637" t="s">
        <v>10</v>
      </c>
      <c r="C26" s="637"/>
      <c r="D26" s="638" t="s">
        <v>14</v>
      </c>
      <c r="E26" s="639"/>
      <c r="F26" s="662" t="s">
        <v>445</v>
      </c>
      <c r="G26" s="663"/>
      <c r="H26" s="663"/>
      <c r="I26" s="663"/>
      <c r="J26" s="1171" t="s">
        <v>522</v>
      </c>
      <c r="K26" s="738" t="s">
        <v>523</v>
      </c>
      <c r="L26" s="1446"/>
      <c r="M26" s="631" t="s">
        <v>524</v>
      </c>
      <c r="N26" s="632"/>
      <c r="O26" s="633"/>
    </row>
    <row r="27" spans="1:15" ht="15" customHeight="1">
      <c r="A27" s="664"/>
      <c r="B27" s="637" t="s">
        <v>81</v>
      </c>
      <c r="C27" s="637"/>
      <c r="D27" s="638" t="s">
        <v>14</v>
      </c>
      <c r="E27" s="639"/>
      <c r="F27" s="662" t="s">
        <v>361</v>
      </c>
      <c r="G27" s="663"/>
      <c r="H27" s="663"/>
      <c r="I27" s="663"/>
      <c r="J27" s="1172"/>
      <c r="K27" s="672"/>
      <c r="L27" s="1447"/>
      <c r="M27" s="631"/>
      <c r="N27" s="632"/>
      <c r="O27" s="633"/>
    </row>
    <row r="28" spans="1:15" ht="15" customHeight="1">
      <c r="A28" s="665"/>
      <c r="B28" s="637" t="s">
        <v>83</v>
      </c>
      <c r="C28" s="637"/>
      <c r="D28" s="638" t="s">
        <v>14</v>
      </c>
      <c r="E28" s="639"/>
      <c r="F28" s="659" t="s">
        <v>454</v>
      </c>
      <c r="G28" s="659"/>
      <c r="H28" s="659"/>
      <c r="I28" s="659"/>
      <c r="J28" s="1173"/>
      <c r="K28" s="673"/>
      <c r="L28" s="1448"/>
      <c r="M28" s="634"/>
      <c r="N28" s="635"/>
      <c r="O28" s="636"/>
    </row>
    <row r="29" spans="1:15" ht="15" customHeight="1">
      <c r="A29" s="718" t="s">
        <v>525</v>
      </c>
      <c r="B29" s="650" t="s">
        <v>81</v>
      </c>
      <c r="C29" s="650"/>
      <c r="D29" s="650" t="s">
        <v>11</v>
      </c>
      <c r="E29" s="650"/>
      <c r="F29" s="651" t="s">
        <v>460</v>
      </c>
      <c r="G29" s="651"/>
      <c r="H29" s="651"/>
      <c r="I29" s="651"/>
      <c r="J29" s="697" t="s">
        <v>526</v>
      </c>
      <c r="K29" s="802"/>
      <c r="L29" s="1392"/>
      <c r="M29" s="656" t="s">
        <v>527</v>
      </c>
      <c r="N29" s="657"/>
      <c r="O29" s="658"/>
    </row>
    <row r="30" spans="1:15" ht="15" customHeight="1">
      <c r="A30" s="665"/>
      <c r="B30" s="650" t="s">
        <v>83</v>
      </c>
      <c r="C30" s="650"/>
      <c r="D30" s="650" t="s">
        <v>11</v>
      </c>
      <c r="E30" s="650"/>
      <c r="F30" s="651" t="s">
        <v>463</v>
      </c>
      <c r="G30" s="651"/>
      <c r="H30" s="651"/>
      <c r="I30" s="651"/>
      <c r="J30" s="707"/>
      <c r="K30" s="803"/>
      <c r="L30" s="1393"/>
      <c r="M30" s="634"/>
      <c r="N30" s="635"/>
      <c r="O30" s="636"/>
    </row>
    <row r="31" spans="1:15" ht="15" customHeight="1">
      <c r="A31" s="60" t="s">
        <v>459</v>
      </c>
      <c r="B31" s="650" t="s">
        <v>178</v>
      </c>
      <c r="C31" s="650"/>
      <c r="D31" s="650" t="s">
        <v>72</v>
      </c>
      <c r="E31" s="650"/>
      <c r="F31" s="651" t="s">
        <v>456</v>
      </c>
      <c r="G31" s="651"/>
      <c r="H31" s="651"/>
      <c r="I31" s="651"/>
      <c r="J31" s="74"/>
      <c r="K31" s="109" t="s">
        <v>528</v>
      </c>
      <c r="L31" s="97" t="s">
        <v>436</v>
      </c>
      <c r="M31" s="660" t="s">
        <v>529</v>
      </c>
      <c r="N31" s="660"/>
      <c r="O31" s="660"/>
    </row>
    <row r="32" spans="1:15" ht="15" customHeight="1">
      <c r="A32" s="60" t="s">
        <v>530</v>
      </c>
      <c r="B32" s="650" t="s">
        <v>211</v>
      </c>
      <c r="C32" s="650"/>
      <c r="D32" s="650" t="s">
        <v>72</v>
      </c>
      <c r="E32" s="650"/>
      <c r="F32" s="651" t="s">
        <v>474</v>
      </c>
      <c r="G32" s="651"/>
      <c r="H32" s="651"/>
      <c r="I32" s="651"/>
      <c r="J32" s="74"/>
      <c r="K32" s="36"/>
      <c r="L32" s="97" t="s">
        <v>436</v>
      </c>
      <c r="M32" s="660" t="s">
        <v>531</v>
      </c>
      <c r="N32" s="660"/>
      <c r="O32" s="660"/>
    </row>
    <row r="33" spans="1:15" ht="15" customHeight="1">
      <c r="A33" s="60" t="s">
        <v>532</v>
      </c>
      <c r="B33" s="650" t="s">
        <v>147</v>
      </c>
      <c r="C33" s="650"/>
      <c r="D33" s="650" t="s">
        <v>468</v>
      </c>
      <c r="E33" s="650"/>
      <c r="F33" s="651" t="s">
        <v>469</v>
      </c>
      <c r="G33" s="651"/>
      <c r="H33" s="651"/>
      <c r="I33" s="651"/>
      <c r="J33" s="74" t="s">
        <v>526</v>
      </c>
      <c r="K33" s="109" t="s">
        <v>533</v>
      </c>
      <c r="L33" s="97" t="s">
        <v>704</v>
      </c>
      <c r="M33" s="660" t="s">
        <v>472</v>
      </c>
      <c r="N33" s="660"/>
      <c r="O33" s="660"/>
    </row>
    <row r="34" spans="1:15" ht="15" customHeight="1">
      <c r="A34" s="60" t="s">
        <v>473</v>
      </c>
      <c r="B34" s="650" t="s">
        <v>211</v>
      </c>
      <c r="C34" s="650"/>
      <c r="D34" s="650" t="s">
        <v>72</v>
      </c>
      <c r="E34" s="650"/>
      <c r="F34" s="651" t="s">
        <v>474</v>
      </c>
      <c r="G34" s="651"/>
      <c r="H34" s="651"/>
      <c r="I34" s="651"/>
      <c r="J34" s="74"/>
      <c r="K34" s="36"/>
      <c r="L34" s="97" t="s">
        <v>436</v>
      </c>
      <c r="M34" s="660" t="s">
        <v>534</v>
      </c>
      <c r="N34" s="660"/>
      <c r="O34" s="660"/>
    </row>
    <row r="35" spans="1:15" ht="15" customHeight="1">
      <c r="A35" s="60" t="s">
        <v>476</v>
      </c>
      <c r="B35" s="650" t="s">
        <v>178</v>
      </c>
      <c r="C35" s="650"/>
      <c r="D35" s="650" t="s">
        <v>179</v>
      </c>
      <c r="E35" s="650"/>
      <c r="F35" s="651" t="s">
        <v>477</v>
      </c>
      <c r="G35" s="651"/>
      <c r="H35" s="651"/>
      <c r="I35" s="651"/>
      <c r="J35" s="74" t="s">
        <v>535</v>
      </c>
      <c r="K35" s="36" t="s">
        <v>711</v>
      </c>
      <c r="L35" s="219" t="s">
        <v>425</v>
      </c>
      <c r="M35" s="660" t="s">
        <v>479</v>
      </c>
      <c r="N35" s="660"/>
      <c r="O35" s="660"/>
    </row>
    <row r="36" spans="1:15" ht="15" customHeight="1">
      <c r="A36" s="718" t="s">
        <v>480</v>
      </c>
      <c r="B36" s="661" t="s">
        <v>10</v>
      </c>
      <c r="C36" s="661"/>
      <c r="D36" s="661" t="s">
        <v>43</v>
      </c>
      <c r="E36" s="661"/>
      <c r="F36" s="659" t="s">
        <v>185</v>
      </c>
      <c r="G36" s="659"/>
      <c r="H36" s="659"/>
      <c r="I36" s="659"/>
      <c r="J36" s="1120" t="s">
        <v>536</v>
      </c>
      <c r="K36" s="1020" t="s">
        <v>537</v>
      </c>
      <c r="L36" s="1140"/>
      <c r="M36" s="660" t="s">
        <v>483</v>
      </c>
      <c r="N36" s="660"/>
      <c r="O36" s="660"/>
    </row>
    <row r="37" spans="1:15" ht="15" customHeight="1">
      <c r="A37" s="665"/>
      <c r="B37" s="661" t="s">
        <v>13</v>
      </c>
      <c r="C37" s="661"/>
      <c r="D37" s="661" t="s">
        <v>49</v>
      </c>
      <c r="E37" s="661"/>
      <c r="F37" s="659" t="s">
        <v>69</v>
      </c>
      <c r="G37" s="659"/>
      <c r="H37" s="659"/>
      <c r="I37" s="659"/>
      <c r="J37" s="653"/>
      <c r="K37" s="673"/>
      <c r="L37" s="1141"/>
      <c r="M37" s="660"/>
      <c r="N37" s="660"/>
      <c r="O37" s="660"/>
    </row>
    <row r="38" spans="1:15" ht="15" customHeight="1">
      <c r="A38" s="60" t="s">
        <v>484</v>
      </c>
      <c r="B38" s="650" t="s">
        <v>485</v>
      </c>
      <c r="C38" s="650"/>
      <c r="D38" s="650" t="s">
        <v>468</v>
      </c>
      <c r="E38" s="650"/>
      <c r="F38" s="651" t="s">
        <v>538</v>
      </c>
      <c r="G38" s="651"/>
      <c r="H38" s="651"/>
      <c r="I38" s="651"/>
      <c r="J38" s="74"/>
      <c r="K38" s="32"/>
      <c r="L38" s="219" t="s">
        <v>425</v>
      </c>
      <c r="M38" s="660" t="s">
        <v>539</v>
      </c>
      <c r="N38" s="660"/>
      <c r="O38" s="660"/>
    </row>
    <row r="39" spans="1:15" ht="2.25" customHeight="1">
      <c r="A39" s="16"/>
      <c r="B39" s="16"/>
      <c r="C39" s="16"/>
      <c r="D39" s="16"/>
      <c r="E39" s="16"/>
      <c r="F39" s="17"/>
      <c r="G39" s="17"/>
      <c r="H39" s="17"/>
      <c r="I39" s="17"/>
      <c r="J39" s="17"/>
      <c r="K39" s="19"/>
      <c r="L39" s="19"/>
      <c r="M39" s="20"/>
      <c r="N39" s="20"/>
      <c r="O39" s="20"/>
    </row>
    <row r="40" spans="1:15" ht="15" customHeight="1">
      <c r="A40" s="49" t="s">
        <v>540</v>
      </c>
    </row>
    <row r="41" spans="1:15" ht="18.600000000000001" customHeight="1">
      <c r="A41" s="31" t="s">
        <v>489</v>
      </c>
      <c r="M41" s="2"/>
    </row>
    <row r="42" spans="1:15" ht="18.600000000000001" customHeight="1">
      <c r="A42" s="86" t="s">
        <v>772</v>
      </c>
      <c r="M42" s="2"/>
    </row>
    <row r="43" spans="1:15" ht="15" customHeight="1">
      <c r="A43" s="49" t="s">
        <v>366</v>
      </c>
    </row>
    <row r="44" spans="1:15" ht="15" customHeight="1">
      <c r="A44" s="710" t="s">
        <v>2</v>
      </c>
      <c r="B44" s="712" t="s">
        <v>3</v>
      </c>
      <c r="C44" s="712"/>
      <c r="D44" s="650" t="s">
        <v>4</v>
      </c>
      <c r="E44" s="650"/>
      <c r="F44" s="712" t="s">
        <v>5</v>
      </c>
      <c r="G44" s="712"/>
      <c r="H44" s="712"/>
      <c r="I44" s="712"/>
      <c r="J44" s="713" t="s">
        <v>491</v>
      </c>
      <c r="K44" s="715" t="s">
        <v>7</v>
      </c>
      <c r="L44" s="185" t="s">
        <v>407</v>
      </c>
      <c r="M44" s="674" t="s">
        <v>8</v>
      </c>
      <c r="N44" s="675"/>
      <c r="O44" s="676"/>
    </row>
    <row r="45" spans="1:15" ht="15" customHeight="1">
      <c r="A45" s="711"/>
      <c r="B45" s="712"/>
      <c r="C45" s="712"/>
      <c r="D45" s="650"/>
      <c r="E45" s="650"/>
      <c r="F45" s="712"/>
      <c r="G45" s="712"/>
      <c r="H45" s="712"/>
      <c r="I45" s="712"/>
      <c r="J45" s="714"/>
      <c r="K45" s="715"/>
      <c r="L45" s="186" t="s">
        <v>410</v>
      </c>
      <c r="M45" s="674"/>
      <c r="N45" s="675"/>
      <c r="O45" s="676"/>
    </row>
    <row r="46" spans="1:15" ht="15" customHeight="1">
      <c r="A46" s="718" t="s">
        <v>9</v>
      </c>
      <c r="B46" s="661" t="s">
        <v>10</v>
      </c>
      <c r="C46" s="661"/>
      <c r="D46" s="637" t="s">
        <v>43</v>
      </c>
      <c r="E46" s="637"/>
      <c r="F46" s="653" t="s">
        <v>716</v>
      </c>
      <c r="G46" s="653"/>
      <c r="H46" s="653"/>
      <c r="I46" s="653"/>
      <c r="J46" s="1120"/>
      <c r="K46" s="802"/>
      <c r="L46" s="1114"/>
      <c r="M46" s="656" t="s">
        <v>382</v>
      </c>
      <c r="N46" s="657"/>
      <c r="O46" s="658"/>
    </row>
    <row r="47" spans="1:15" ht="15" customHeight="1">
      <c r="A47" s="665"/>
      <c r="B47" s="661" t="s">
        <v>13</v>
      </c>
      <c r="C47" s="661"/>
      <c r="D47" s="637" t="s">
        <v>14</v>
      </c>
      <c r="E47" s="637"/>
      <c r="F47" s="659" t="s">
        <v>15</v>
      </c>
      <c r="G47" s="659"/>
      <c r="H47" s="659"/>
      <c r="I47" s="659"/>
      <c r="J47" s="653"/>
      <c r="K47" s="803"/>
      <c r="L47" s="1115"/>
      <c r="M47" s="634"/>
      <c r="N47" s="635"/>
      <c r="O47" s="636"/>
    </row>
    <row r="48" spans="1:15" ht="15" customHeight="1">
      <c r="A48" s="718" t="s">
        <v>16</v>
      </c>
      <c r="B48" s="661" t="s">
        <v>10</v>
      </c>
      <c r="C48" s="661"/>
      <c r="D48" s="637" t="s">
        <v>43</v>
      </c>
      <c r="E48" s="637"/>
      <c r="F48" s="653" t="s">
        <v>773</v>
      </c>
      <c r="G48" s="653"/>
      <c r="H48" s="653"/>
      <c r="I48" s="653"/>
      <c r="J48" s="1120" t="s">
        <v>713</v>
      </c>
      <c r="K48" s="802" t="s">
        <v>714</v>
      </c>
      <c r="L48" s="1114"/>
      <c r="M48" s="656" t="s">
        <v>492</v>
      </c>
      <c r="N48" s="657"/>
      <c r="O48" s="658"/>
    </row>
    <row r="49" spans="1:15" ht="15" customHeight="1">
      <c r="A49" s="665"/>
      <c r="B49" s="661" t="s">
        <v>13</v>
      </c>
      <c r="C49" s="661"/>
      <c r="D49" s="637" t="s">
        <v>11</v>
      </c>
      <c r="E49" s="637"/>
      <c r="F49" s="659" t="s">
        <v>414</v>
      </c>
      <c r="G49" s="659"/>
      <c r="H49" s="659"/>
      <c r="I49" s="659"/>
      <c r="J49" s="653"/>
      <c r="K49" s="803"/>
      <c r="L49" s="1115"/>
      <c r="M49" s="634"/>
      <c r="N49" s="635"/>
      <c r="O49" s="636"/>
    </row>
    <row r="50" spans="1:15" ht="15" customHeight="1">
      <c r="A50" s="718" t="s">
        <v>22</v>
      </c>
      <c r="B50" s="661" t="s">
        <v>10</v>
      </c>
      <c r="C50" s="661"/>
      <c r="D50" s="637" t="s">
        <v>17</v>
      </c>
      <c r="E50" s="637"/>
      <c r="F50" s="653" t="s">
        <v>493</v>
      </c>
      <c r="G50" s="653"/>
      <c r="H50" s="653"/>
      <c r="I50" s="653"/>
      <c r="J50" s="1120" t="s">
        <v>494</v>
      </c>
      <c r="K50" s="802"/>
      <c r="L50" s="1114"/>
      <c r="M50" s="656" t="s">
        <v>495</v>
      </c>
      <c r="N50" s="657"/>
      <c r="O50" s="658"/>
    </row>
    <row r="51" spans="1:15" ht="15" customHeight="1">
      <c r="A51" s="665"/>
      <c r="B51" s="661" t="s">
        <v>13</v>
      </c>
      <c r="C51" s="661"/>
      <c r="D51" s="637" t="s">
        <v>11</v>
      </c>
      <c r="E51" s="637"/>
      <c r="F51" s="659" t="s">
        <v>496</v>
      </c>
      <c r="G51" s="659"/>
      <c r="H51" s="659"/>
      <c r="I51" s="659"/>
      <c r="J51" s="653"/>
      <c r="K51" s="803"/>
      <c r="L51" s="1115"/>
      <c r="M51" s="634"/>
      <c r="N51" s="635"/>
      <c r="O51" s="636"/>
    </row>
    <row r="52" spans="1:15" ht="15" customHeight="1">
      <c r="A52" s="1135" t="s">
        <v>387</v>
      </c>
      <c r="B52" s="661" t="s">
        <v>497</v>
      </c>
      <c r="C52" s="661"/>
      <c r="D52" s="637" t="s">
        <v>498</v>
      </c>
      <c r="E52" s="637"/>
      <c r="F52" s="659" t="s">
        <v>499</v>
      </c>
      <c r="G52" s="659"/>
      <c r="H52" s="659"/>
      <c r="I52" s="659"/>
      <c r="J52" s="1120" t="s">
        <v>500</v>
      </c>
      <c r="K52" s="802"/>
      <c r="L52" s="1114"/>
      <c r="M52" s="656" t="s">
        <v>501</v>
      </c>
      <c r="N52" s="657"/>
      <c r="O52" s="658"/>
    </row>
    <row r="53" spans="1:15" ht="15" customHeight="1">
      <c r="A53" s="1137"/>
      <c r="B53" s="661" t="s">
        <v>502</v>
      </c>
      <c r="C53" s="661"/>
      <c r="D53" s="637" t="s">
        <v>498</v>
      </c>
      <c r="E53" s="637"/>
      <c r="F53" s="659" t="s">
        <v>503</v>
      </c>
      <c r="G53" s="659"/>
      <c r="H53" s="659"/>
      <c r="I53" s="659"/>
      <c r="J53" s="653"/>
      <c r="K53" s="803"/>
      <c r="L53" s="1115"/>
      <c r="M53" s="634"/>
      <c r="N53" s="635"/>
      <c r="O53" s="636"/>
    </row>
    <row r="54" spans="1:15" ht="15" customHeight="1">
      <c r="A54" s="718" t="s">
        <v>384</v>
      </c>
      <c r="B54" s="637" t="s">
        <v>504</v>
      </c>
      <c r="C54" s="637"/>
      <c r="D54" s="637" t="s">
        <v>14</v>
      </c>
      <c r="E54" s="637"/>
      <c r="F54" s="653" t="s">
        <v>774</v>
      </c>
      <c r="G54" s="653"/>
      <c r="H54" s="653"/>
      <c r="I54" s="653"/>
      <c r="J54" s="1120"/>
      <c r="K54" s="802"/>
      <c r="L54" s="1114"/>
      <c r="M54" s="656" t="s">
        <v>126</v>
      </c>
      <c r="N54" s="657"/>
      <c r="O54" s="658"/>
    </row>
    <row r="55" spans="1:15" ht="15" customHeight="1">
      <c r="A55" s="665"/>
      <c r="B55" s="661" t="s">
        <v>202</v>
      </c>
      <c r="C55" s="661"/>
      <c r="D55" s="637" t="s">
        <v>14</v>
      </c>
      <c r="E55" s="637"/>
      <c r="F55" s="659" t="s">
        <v>775</v>
      </c>
      <c r="G55" s="659"/>
      <c r="H55" s="659"/>
      <c r="I55" s="659"/>
      <c r="J55" s="653"/>
      <c r="K55" s="803"/>
      <c r="L55" s="1115"/>
      <c r="M55" s="634"/>
      <c r="N55" s="635"/>
      <c r="O55" s="636"/>
    </row>
    <row r="56" spans="1:15" ht="15" customHeight="1">
      <c r="A56" s="973" t="s">
        <v>506</v>
      </c>
      <c r="B56" s="661" t="s">
        <v>35</v>
      </c>
      <c r="C56" s="661"/>
      <c r="D56" s="661" t="s">
        <v>43</v>
      </c>
      <c r="E56" s="661"/>
      <c r="F56" s="699" t="s">
        <v>507</v>
      </c>
      <c r="G56" s="699"/>
      <c r="H56" s="699"/>
      <c r="I56" s="699"/>
      <c r="J56" s="1171"/>
      <c r="K56" s="802"/>
      <c r="L56" s="1114"/>
      <c r="M56" s="660" t="s">
        <v>38</v>
      </c>
      <c r="N56" s="660"/>
      <c r="O56" s="660"/>
    </row>
    <row r="57" spans="1:15" ht="15" customHeight="1">
      <c r="A57" s="973"/>
      <c r="B57" s="661" t="s">
        <v>119</v>
      </c>
      <c r="C57" s="661"/>
      <c r="D57" s="661" t="s">
        <v>43</v>
      </c>
      <c r="E57" s="661"/>
      <c r="F57" s="699" t="s">
        <v>508</v>
      </c>
      <c r="G57" s="699"/>
      <c r="H57" s="699"/>
      <c r="I57" s="699"/>
      <c r="J57" s="1173"/>
      <c r="K57" s="803"/>
      <c r="L57" s="1115"/>
      <c r="M57" s="660"/>
      <c r="N57" s="660"/>
      <c r="O57" s="660"/>
    </row>
    <row r="58" spans="1:15" ht="15" customHeight="1">
      <c r="A58" s="60" t="s">
        <v>423</v>
      </c>
      <c r="B58" s="650" t="s">
        <v>236</v>
      </c>
      <c r="C58" s="650"/>
      <c r="D58" s="650" t="s">
        <v>49</v>
      </c>
      <c r="E58" s="650"/>
      <c r="F58" s="651" t="s">
        <v>804</v>
      </c>
      <c r="G58" s="651"/>
      <c r="H58" s="651"/>
      <c r="I58" s="651"/>
      <c r="J58" s="74"/>
      <c r="K58" s="36"/>
      <c r="L58" s="97" t="s">
        <v>436</v>
      </c>
      <c r="M58" s="634" t="s">
        <v>509</v>
      </c>
      <c r="N58" s="635"/>
      <c r="O58" s="636"/>
    </row>
    <row r="59" spans="1:15" ht="15" customHeight="1">
      <c r="A59" s="60" t="s">
        <v>427</v>
      </c>
      <c r="B59" s="650" t="s">
        <v>178</v>
      </c>
      <c r="C59" s="650"/>
      <c r="D59" s="650" t="s">
        <v>240</v>
      </c>
      <c r="E59" s="650"/>
      <c r="F59" s="651" t="s">
        <v>428</v>
      </c>
      <c r="G59" s="651"/>
      <c r="H59" s="651"/>
      <c r="I59" s="651"/>
      <c r="J59" s="74" t="s">
        <v>510</v>
      </c>
      <c r="K59" s="36" t="s">
        <v>709</v>
      </c>
      <c r="L59" s="219" t="s">
        <v>425</v>
      </c>
      <c r="M59" s="634" t="s">
        <v>511</v>
      </c>
      <c r="N59" s="635"/>
      <c r="O59" s="636"/>
    </row>
    <row r="60" spans="1:15" ht="15" customHeight="1">
      <c r="A60" s="60" t="s">
        <v>47</v>
      </c>
      <c r="B60" s="650" t="s">
        <v>211</v>
      </c>
      <c r="C60" s="650"/>
      <c r="D60" s="650" t="s">
        <v>72</v>
      </c>
      <c r="E60" s="650"/>
      <c r="F60" s="651" t="s">
        <v>512</v>
      </c>
      <c r="G60" s="651"/>
      <c r="H60" s="651"/>
      <c r="I60" s="651"/>
      <c r="J60" s="74" t="s">
        <v>513</v>
      </c>
      <c r="K60" s="36"/>
      <c r="L60" s="97" t="s">
        <v>436</v>
      </c>
      <c r="M60" s="660" t="s">
        <v>514</v>
      </c>
      <c r="N60" s="660"/>
      <c r="O60" s="660"/>
    </row>
    <row r="61" spans="1:15" ht="15" customHeight="1">
      <c r="A61" s="60" t="s">
        <v>52</v>
      </c>
      <c r="B61" s="650" t="s">
        <v>178</v>
      </c>
      <c r="C61" s="650"/>
      <c r="D61" s="650" t="s">
        <v>179</v>
      </c>
      <c r="E61" s="650"/>
      <c r="F61" s="651" t="s">
        <v>515</v>
      </c>
      <c r="G61" s="651"/>
      <c r="H61" s="651"/>
      <c r="I61" s="651"/>
      <c r="J61" s="74" t="s">
        <v>516</v>
      </c>
      <c r="K61" s="36"/>
      <c r="L61" s="97" t="s">
        <v>436</v>
      </c>
      <c r="M61" s="660" t="s">
        <v>517</v>
      </c>
      <c r="N61" s="660"/>
      <c r="O61" s="660"/>
    </row>
    <row r="62" spans="1:15" ht="15" customHeight="1" thickBot="1">
      <c r="A62" s="77" t="s">
        <v>439</v>
      </c>
      <c r="B62" s="727" t="s">
        <v>147</v>
      </c>
      <c r="C62" s="727"/>
      <c r="D62" s="727" t="s">
        <v>49</v>
      </c>
      <c r="E62" s="727"/>
      <c r="F62" s="728" t="s">
        <v>518</v>
      </c>
      <c r="G62" s="728"/>
      <c r="H62" s="728"/>
      <c r="I62" s="728"/>
      <c r="J62" s="80" t="s">
        <v>519</v>
      </c>
      <c r="K62" s="84"/>
      <c r="L62" s="222" t="s">
        <v>425</v>
      </c>
      <c r="M62" s="692" t="s">
        <v>520</v>
      </c>
      <c r="N62" s="692"/>
      <c r="O62" s="692"/>
    </row>
    <row r="63" spans="1:15" ht="15" customHeight="1" thickTop="1">
      <c r="A63" s="664" t="s">
        <v>400</v>
      </c>
      <c r="B63" s="637" t="s">
        <v>10</v>
      </c>
      <c r="C63" s="637"/>
      <c r="D63" s="638" t="s">
        <v>14</v>
      </c>
      <c r="E63" s="639"/>
      <c r="F63" s="666" t="s">
        <v>445</v>
      </c>
      <c r="G63" s="667"/>
      <c r="H63" s="667"/>
      <c r="I63" s="667"/>
      <c r="J63" s="1450" t="s">
        <v>521</v>
      </c>
      <c r="K63" s="1220"/>
      <c r="L63" s="1126"/>
      <c r="M63" s="1449" t="s">
        <v>776</v>
      </c>
      <c r="N63" s="733"/>
      <c r="O63" s="734"/>
    </row>
    <row r="64" spans="1:15" ht="15" customHeight="1">
      <c r="A64" s="664"/>
      <c r="B64" s="637" t="s">
        <v>81</v>
      </c>
      <c r="C64" s="637"/>
      <c r="D64" s="638" t="s">
        <v>14</v>
      </c>
      <c r="E64" s="639"/>
      <c r="F64" s="662" t="s">
        <v>448</v>
      </c>
      <c r="G64" s="663"/>
      <c r="H64" s="663"/>
      <c r="I64" s="663"/>
      <c r="J64" s="1169"/>
      <c r="K64" s="1117"/>
      <c r="L64" s="1118"/>
      <c r="M64" s="631"/>
      <c r="N64" s="632"/>
      <c r="O64" s="633"/>
    </row>
    <row r="65" spans="1:15" ht="15" customHeight="1">
      <c r="A65" s="665"/>
      <c r="B65" s="637" t="s">
        <v>83</v>
      </c>
      <c r="C65" s="637"/>
      <c r="D65" s="638" t="s">
        <v>14</v>
      </c>
      <c r="E65" s="639"/>
      <c r="F65" s="659" t="s">
        <v>449</v>
      </c>
      <c r="G65" s="659"/>
      <c r="H65" s="659"/>
      <c r="I65" s="659"/>
      <c r="J65" s="1170"/>
      <c r="K65" s="803"/>
      <c r="L65" s="1115"/>
      <c r="M65" s="634"/>
      <c r="N65" s="635"/>
      <c r="O65" s="636"/>
    </row>
    <row r="66" spans="1:15" ht="15" customHeight="1">
      <c r="A66" s="664" t="s">
        <v>450</v>
      </c>
      <c r="B66" s="637" t="s">
        <v>10</v>
      </c>
      <c r="C66" s="637"/>
      <c r="D66" s="638" t="s">
        <v>14</v>
      </c>
      <c r="E66" s="639"/>
      <c r="F66" s="662" t="s">
        <v>445</v>
      </c>
      <c r="G66" s="663"/>
      <c r="H66" s="663"/>
      <c r="I66" s="663"/>
      <c r="J66" s="1171" t="s">
        <v>522</v>
      </c>
      <c r="K66" s="738" t="s">
        <v>523</v>
      </c>
      <c r="L66" s="1446"/>
      <c r="M66" s="631" t="s">
        <v>524</v>
      </c>
      <c r="N66" s="632"/>
      <c r="O66" s="633"/>
    </row>
    <row r="67" spans="1:15" ht="15" customHeight="1">
      <c r="A67" s="664"/>
      <c r="B67" s="637" t="s">
        <v>81</v>
      </c>
      <c r="C67" s="637"/>
      <c r="D67" s="638" t="s">
        <v>14</v>
      </c>
      <c r="E67" s="639"/>
      <c r="F67" s="662" t="s">
        <v>361</v>
      </c>
      <c r="G67" s="663"/>
      <c r="H67" s="663"/>
      <c r="I67" s="663"/>
      <c r="J67" s="1172"/>
      <c r="K67" s="672"/>
      <c r="L67" s="1447"/>
      <c r="M67" s="631"/>
      <c r="N67" s="632"/>
      <c r="O67" s="633"/>
    </row>
    <row r="68" spans="1:15" ht="15" customHeight="1">
      <c r="A68" s="665"/>
      <c r="B68" s="637" t="s">
        <v>83</v>
      </c>
      <c r="C68" s="637"/>
      <c r="D68" s="638" t="s">
        <v>14</v>
      </c>
      <c r="E68" s="639"/>
      <c r="F68" s="659" t="s">
        <v>454</v>
      </c>
      <c r="G68" s="659"/>
      <c r="H68" s="659"/>
      <c r="I68" s="659"/>
      <c r="J68" s="1173"/>
      <c r="K68" s="673"/>
      <c r="L68" s="1448"/>
      <c r="M68" s="634"/>
      <c r="N68" s="635"/>
      <c r="O68" s="636"/>
    </row>
    <row r="69" spans="1:15" ht="15" customHeight="1">
      <c r="A69" s="718" t="s">
        <v>525</v>
      </c>
      <c r="B69" s="650" t="s">
        <v>81</v>
      </c>
      <c r="C69" s="650"/>
      <c r="D69" s="650" t="s">
        <v>11</v>
      </c>
      <c r="E69" s="650"/>
      <c r="F69" s="651" t="s">
        <v>460</v>
      </c>
      <c r="G69" s="651"/>
      <c r="H69" s="651"/>
      <c r="I69" s="651"/>
      <c r="J69" s="697" t="s">
        <v>526</v>
      </c>
      <c r="K69" s="802"/>
      <c r="L69" s="1392"/>
      <c r="M69" s="656" t="s">
        <v>527</v>
      </c>
      <c r="N69" s="657"/>
      <c r="O69" s="658"/>
    </row>
    <row r="70" spans="1:15" ht="15" customHeight="1">
      <c r="A70" s="665"/>
      <c r="B70" s="650" t="s">
        <v>83</v>
      </c>
      <c r="C70" s="650"/>
      <c r="D70" s="650" t="s">
        <v>11</v>
      </c>
      <c r="E70" s="650"/>
      <c r="F70" s="651" t="s">
        <v>463</v>
      </c>
      <c r="G70" s="651"/>
      <c r="H70" s="651"/>
      <c r="I70" s="651"/>
      <c r="J70" s="707"/>
      <c r="K70" s="803"/>
      <c r="L70" s="1393"/>
      <c r="M70" s="634"/>
      <c r="N70" s="635"/>
      <c r="O70" s="636"/>
    </row>
    <row r="71" spans="1:15" ht="15" customHeight="1">
      <c r="A71" s="60" t="s">
        <v>459</v>
      </c>
      <c r="B71" s="650" t="s">
        <v>178</v>
      </c>
      <c r="C71" s="650"/>
      <c r="D71" s="650" t="s">
        <v>72</v>
      </c>
      <c r="E71" s="650"/>
      <c r="F71" s="651" t="s">
        <v>456</v>
      </c>
      <c r="G71" s="651"/>
      <c r="H71" s="651"/>
      <c r="I71" s="651"/>
      <c r="J71" s="74"/>
      <c r="K71" s="109" t="s">
        <v>528</v>
      </c>
      <c r="L71" s="97" t="s">
        <v>436</v>
      </c>
      <c r="M71" s="660" t="s">
        <v>529</v>
      </c>
      <c r="N71" s="660"/>
      <c r="O71" s="660"/>
    </row>
    <row r="72" spans="1:15" ht="15" customHeight="1">
      <c r="A72" s="60" t="s">
        <v>530</v>
      </c>
      <c r="B72" s="650" t="s">
        <v>211</v>
      </c>
      <c r="C72" s="650"/>
      <c r="D72" s="650" t="s">
        <v>72</v>
      </c>
      <c r="E72" s="650"/>
      <c r="F72" s="651" t="s">
        <v>474</v>
      </c>
      <c r="G72" s="651"/>
      <c r="H72" s="651"/>
      <c r="I72" s="651"/>
      <c r="J72" s="74"/>
      <c r="K72" s="36"/>
      <c r="L72" s="97" t="s">
        <v>436</v>
      </c>
      <c r="M72" s="660" t="s">
        <v>531</v>
      </c>
      <c r="N72" s="660"/>
      <c r="O72" s="660"/>
    </row>
    <row r="73" spans="1:15" ht="15" customHeight="1">
      <c r="A73" s="60" t="s">
        <v>532</v>
      </c>
      <c r="B73" s="650" t="s">
        <v>147</v>
      </c>
      <c r="C73" s="650"/>
      <c r="D73" s="650" t="s">
        <v>468</v>
      </c>
      <c r="E73" s="650"/>
      <c r="F73" s="651" t="s">
        <v>469</v>
      </c>
      <c r="G73" s="651"/>
      <c r="H73" s="651"/>
      <c r="I73" s="651"/>
      <c r="J73" s="74" t="s">
        <v>526</v>
      </c>
      <c r="K73" s="109" t="s">
        <v>533</v>
      </c>
      <c r="L73" s="97" t="s">
        <v>704</v>
      </c>
      <c r="M73" s="660" t="s">
        <v>472</v>
      </c>
      <c r="N73" s="660"/>
      <c r="O73" s="660"/>
    </row>
    <row r="74" spans="1:15" ht="15" customHeight="1">
      <c r="A74" s="60" t="s">
        <v>473</v>
      </c>
      <c r="B74" s="650" t="s">
        <v>211</v>
      </c>
      <c r="C74" s="650"/>
      <c r="D74" s="650" t="s">
        <v>72</v>
      </c>
      <c r="E74" s="650"/>
      <c r="F74" s="651" t="s">
        <v>474</v>
      </c>
      <c r="G74" s="651"/>
      <c r="H74" s="651"/>
      <c r="I74" s="651"/>
      <c r="J74" s="74"/>
      <c r="K74" s="36"/>
      <c r="L74" s="97" t="s">
        <v>436</v>
      </c>
      <c r="M74" s="660" t="s">
        <v>534</v>
      </c>
      <c r="N74" s="660"/>
      <c r="O74" s="660"/>
    </row>
    <row r="75" spans="1:15" ht="15" customHeight="1">
      <c r="A75" s="60" t="s">
        <v>476</v>
      </c>
      <c r="B75" s="650" t="s">
        <v>178</v>
      </c>
      <c r="C75" s="650"/>
      <c r="D75" s="650" t="s">
        <v>179</v>
      </c>
      <c r="E75" s="650"/>
      <c r="F75" s="651" t="s">
        <v>477</v>
      </c>
      <c r="G75" s="651"/>
      <c r="H75" s="651"/>
      <c r="I75" s="651"/>
      <c r="J75" s="74" t="s">
        <v>535</v>
      </c>
      <c r="K75" s="36" t="s">
        <v>711</v>
      </c>
      <c r="L75" s="219" t="s">
        <v>425</v>
      </c>
      <c r="M75" s="660" t="s">
        <v>479</v>
      </c>
      <c r="N75" s="660"/>
      <c r="O75" s="660"/>
    </row>
    <row r="76" spans="1:15" ht="15" customHeight="1">
      <c r="A76" s="718" t="s">
        <v>480</v>
      </c>
      <c r="B76" s="661" t="s">
        <v>10</v>
      </c>
      <c r="C76" s="661"/>
      <c r="D76" s="661" t="s">
        <v>43</v>
      </c>
      <c r="E76" s="661"/>
      <c r="F76" s="659" t="s">
        <v>185</v>
      </c>
      <c r="G76" s="659"/>
      <c r="H76" s="659"/>
      <c r="I76" s="659"/>
      <c r="J76" s="1120" t="s">
        <v>536</v>
      </c>
      <c r="K76" s="1020" t="s">
        <v>537</v>
      </c>
      <c r="L76" s="1140"/>
      <c r="M76" s="660" t="s">
        <v>483</v>
      </c>
      <c r="N76" s="660"/>
      <c r="O76" s="660"/>
    </row>
    <row r="77" spans="1:15" ht="15" customHeight="1">
      <c r="A77" s="665"/>
      <c r="B77" s="661" t="s">
        <v>13</v>
      </c>
      <c r="C77" s="661"/>
      <c r="D77" s="661" t="s">
        <v>49</v>
      </c>
      <c r="E77" s="661"/>
      <c r="F77" s="659" t="s">
        <v>69</v>
      </c>
      <c r="G77" s="659"/>
      <c r="H77" s="659"/>
      <c r="I77" s="659"/>
      <c r="J77" s="653"/>
      <c r="K77" s="673"/>
      <c r="L77" s="1141"/>
      <c r="M77" s="660"/>
      <c r="N77" s="660"/>
      <c r="O77" s="660"/>
    </row>
    <row r="78" spans="1:15" ht="15" customHeight="1">
      <c r="A78" s="60" t="s">
        <v>484</v>
      </c>
      <c r="B78" s="650" t="s">
        <v>485</v>
      </c>
      <c r="C78" s="650"/>
      <c r="D78" s="650" t="s">
        <v>468</v>
      </c>
      <c r="E78" s="650"/>
      <c r="F78" s="651" t="s">
        <v>538</v>
      </c>
      <c r="G78" s="651"/>
      <c r="H78" s="651"/>
      <c r="I78" s="651"/>
      <c r="J78" s="74"/>
      <c r="K78" s="32"/>
      <c r="L78" s="219" t="s">
        <v>425</v>
      </c>
      <c r="M78" s="660" t="s">
        <v>539</v>
      </c>
      <c r="N78" s="660"/>
      <c r="O78" s="660"/>
    </row>
    <row r="79" spans="1:15" ht="0.6" customHeight="1">
      <c r="A79" s="16"/>
      <c r="B79" s="16"/>
      <c r="C79" s="16"/>
      <c r="D79" s="16"/>
      <c r="E79" s="16"/>
      <c r="F79" s="17"/>
      <c r="G79" s="17"/>
      <c r="H79" s="17"/>
      <c r="I79" s="17"/>
      <c r="J79" s="17"/>
      <c r="K79" s="19"/>
      <c r="L79" s="19"/>
      <c r="M79" s="20"/>
      <c r="N79" s="20"/>
      <c r="O79" s="20"/>
    </row>
    <row r="80" spans="1:15">
      <c r="A80" s="49" t="s">
        <v>540</v>
      </c>
    </row>
  </sheetData>
  <mergeCells count="334">
    <mergeCell ref="B78:C78"/>
    <mergeCell ref="D78:E78"/>
    <mergeCell ref="F78:I78"/>
    <mergeCell ref="M78:O78"/>
    <mergeCell ref="B74:C74"/>
    <mergeCell ref="D74:E74"/>
    <mergeCell ref="F74:I74"/>
    <mergeCell ref="M74:O74"/>
    <mergeCell ref="B75:C75"/>
    <mergeCell ref="D75:E75"/>
    <mergeCell ref="F75:I75"/>
    <mergeCell ref="M75:O75"/>
    <mergeCell ref="A76:A77"/>
    <mergeCell ref="B76:C76"/>
    <mergeCell ref="D76:E76"/>
    <mergeCell ref="F76:I76"/>
    <mergeCell ref="J76:J77"/>
    <mergeCell ref="K76:K77"/>
    <mergeCell ref="M76:O77"/>
    <mergeCell ref="B77:C77"/>
    <mergeCell ref="D77:E77"/>
    <mergeCell ref="F77:I77"/>
    <mergeCell ref="L76:L77"/>
    <mergeCell ref="B71:C71"/>
    <mergeCell ref="D71:E71"/>
    <mergeCell ref="F71:I71"/>
    <mergeCell ref="M71:O71"/>
    <mergeCell ref="B72:C72"/>
    <mergeCell ref="D72:E72"/>
    <mergeCell ref="F72:I72"/>
    <mergeCell ref="M72:O72"/>
    <mergeCell ref="B73:C73"/>
    <mergeCell ref="D73:E73"/>
    <mergeCell ref="F73:I73"/>
    <mergeCell ref="M73:O73"/>
    <mergeCell ref="A69:A70"/>
    <mergeCell ref="B69:C69"/>
    <mergeCell ref="D69:E69"/>
    <mergeCell ref="F69:I69"/>
    <mergeCell ref="J69:J70"/>
    <mergeCell ref="K69:K70"/>
    <mergeCell ref="M69:O70"/>
    <mergeCell ref="B70:C70"/>
    <mergeCell ref="D70:E70"/>
    <mergeCell ref="F70:I70"/>
    <mergeCell ref="L69:L70"/>
    <mergeCell ref="A66:A68"/>
    <mergeCell ref="B66:C66"/>
    <mergeCell ref="D66:E66"/>
    <mergeCell ref="F66:I66"/>
    <mergeCell ref="J66:J68"/>
    <mergeCell ref="K66:K68"/>
    <mergeCell ref="M66:O68"/>
    <mergeCell ref="B67:C67"/>
    <mergeCell ref="D67:E67"/>
    <mergeCell ref="F67:I67"/>
    <mergeCell ref="B68:C68"/>
    <mergeCell ref="D68:E68"/>
    <mergeCell ref="F68:I68"/>
    <mergeCell ref="L66:L68"/>
    <mergeCell ref="B61:C61"/>
    <mergeCell ref="D61:E61"/>
    <mergeCell ref="F61:I61"/>
    <mergeCell ref="M61:O61"/>
    <mergeCell ref="B62:C62"/>
    <mergeCell ref="D62:E62"/>
    <mergeCell ref="F62:I62"/>
    <mergeCell ref="M62:O62"/>
    <mergeCell ref="A63:A65"/>
    <mergeCell ref="B63:C63"/>
    <mergeCell ref="D63:E63"/>
    <mergeCell ref="F63:I63"/>
    <mergeCell ref="J63:J65"/>
    <mergeCell ref="K63:K65"/>
    <mergeCell ref="M63:O65"/>
    <mergeCell ref="B64:C64"/>
    <mergeCell ref="D64:E64"/>
    <mergeCell ref="F64:I64"/>
    <mergeCell ref="B65:C65"/>
    <mergeCell ref="D65:E65"/>
    <mergeCell ref="F65:I65"/>
    <mergeCell ref="L63:L65"/>
    <mergeCell ref="B58:C58"/>
    <mergeCell ref="D58:E58"/>
    <mergeCell ref="F58:I58"/>
    <mergeCell ref="M58:O58"/>
    <mergeCell ref="B59:C59"/>
    <mergeCell ref="D59:E59"/>
    <mergeCell ref="F59:I59"/>
    <mergeCell ref="M59:O59"/>
    <mergeCell ref="B60:C60"/>
    <mergeCell ref="D60:E60"/>
    <mergeCell ref="F60:I60"/>
    <mergeCell ref="M60:O60"/>
    <mergeCell ref="A56:A57"/>
    <mergeCell ref="B56:C56"/>
    <mergeCell ref="D56:E56"/>
    <mergeCell ref="F56:I56"/>
    <mergeCell ref="J56:J57"/>
    <mergeCell ref="K56:K57"/>
    <mergeCell ref="M56:O57"/>
    <mergeCell ref="B57:C57"/>
    <mergeCell ref="D57:E57"/>
    <mergeCell ref="F57:I57"/>
    <mergeCell ref="L56:L57"/>
    <mergeCell ref="A54:A55"/>
    <mergeCell ref="B54:C54"/>
    <mergeCell ref="D54:E54"/>
    <mergeCell ref="F54:I54"/>
    <mergeCell ref="J54:J55"/>
    <mergeCell ref="K54:K55"/>
    <mergeCell ref="M54:O55"/>
    <mergeCell ref="B55:C55"/>
    <mergeCell ref="D55:E55"/>
    <mergeCell ref="F55:I55"/>
    <mergeCell ref="L54:L55"/>
    <mergeCell ref="A52:A53"/>
    <mergeCell ref="B52:C52"/>
    <mergeCell ref="D52:E52"/>
    <mergeCell ref="F52:I52"/>
    <mergeCell ref="J52:J53"/>
    <mergeCell ref="K52:K53"/>
    <mergeCell ref="M52:O53"/>
    <mergeCell ref="B53:C53"/>
    <mergeCell ref="D53:E53"/>
    <mergeCell ref="F53:I53"/>
    <mergeCell ref="L52:L53"/>
    <mergeCell ref="A50:A51"/>
    <mergeCell ref="B50:C50"/>
    <mergeCell ref="D50:E50"/>
    <mergeCell ref="F50:I50"/>
    <mergeCell ref="J50:J51"/>
    <mergeCell ref="K50:K51"/>
    <mergeCell ref="M50:O51"/>
    <mergeCell ref="B51:C51"/>
    <mergeCell ref="D51:E51"/>
    <mergeCell ref="F51:I51"/>
    <mergeCell ref="L50:L51"/>
    <mergeCell ref="A48:A49"/>
    <mergeCell ref="B48:C48"/>
    <mergeCell ref="D48:E48"/>
    <mergeCell ref="F48:I48"/>
    <mergeCell ref="J48:J49"/>
    <mergeCell ref="K48:K49"/>
    <mergeCell ref="M48:O49"/>
    <mergeCell ref="B49:C49"/>
    <mergeCell ref="D49:E49"/>
    <mergeCell ref="F49:I49"/>
    <mergeCell ref="L48:L49"/>
    <mergeCell ref="A44:A45"/>
    <mergeCell ref="B44:C45"/>
    <mergeCell ref="D44:E45"/>
    <mergeCell ref="F44:I45"/>
    <mergeCell ref="J44:J45"/>
    <mergeCell ref="K44:K45"/>
    <mergeCell ref="M44:O45"/>
    <mergeCell ref="A46:A47"/>
    <mergeCell ref="B46:C46"/>
    <mergeCell ref="D46:E46"/>
    <mergeCell ref="F46:I46"/>
    <mergeCell ref="J46:J47"/>
    <mergeCell ref="K46:K47"/>
    <mergeCell ref="M46:O47"/>
    <mergeCell ref="B47:C47"/>
    <mergeCell ref="D47:E47"/>
    <mergeCell ref="F47:I47"/>
    <mergeCell ref="L46:L47"/>
    <mergeCell ref="M36:O37"/>
    <mergeCell ref="B37:C37"/>
    <mergeCell ref="D37:E37"/>
    <mergeCell ref="F37:I37"/>
    <mergeCell ref="B38:C38"/>
    <mergeCell ref="D38:E38"/>
    <mergeCell ref="F38:I38"/>
    <mergeCell ref="M38:O38"/>
    <mergeCell ref="A36:A37"/>
    <mergeCell ref="B36:C36"/>
    <mergeCell ref="D36:E36"/>
    <mergeCell ref="F36:I36"/>
    <mergeCell ref="J36:J37"/>
    <mergeCell ref="K36:K37"/>
    <mergeCell ref="L36:L37"/>
    <mergeCell ref="B34:C34"/>
    <mergeCell ref="D34:E34"/>
    <mergeCell ref="F34:I34"/>
    <mergeCell ref="M34:O34"/>
    <mergeCell ref="B35:C35"/>
    <mergeCell ref="D35:E35"/>
    <mergeCell ref="F35:I35"/>
    <mergeCell ref="M35:O35"/>
    <mergeCell ref="B32:C32"/>
    <mergeCell ref="D32:E32"/>
    <mergeCell ref="F32:I32"/>
    <mergeCell ref="M32:O32"/>
    <mergeCell ref="B33:C33"/>
    <mergeCell ref="D33:E33"/>
    <mergeCell ref="F33:I33"/>
    <mergeCell ref="M33:O33"/>
    <mergeCell ref="M29:O30"/>
    <mergeCell ref="B30:C30"/>
    <mergeCell ref="D30:E30"/>
    <mergeCell ref="F30:I30"/>
    <mergeCell ref="B31:C31"/>
    <mergeCell ref="D31:E31"/>
    <mergeCell ref="F31:I31"/>
    <mergeCell ref="M31:O31"/>
    <mergeCell ref="A29:A30"/>
    <mergeCell ref="B29:C29"/>
    <mergeCell ref="D29:E29"/>
    <mergeCell ref="F29:I29"/>
    <mergeCell ref="J29:J30"/>
    <mergeCell ref="K29:K30"/>
    <mergeCell ref="M26:O28"/>
    <mergeCell ref="B27:C27"/>
    <mergeCell ref="D27:E27"/>
    <mergeCell ref="F27:I27"/>
    <mergeCell ref="B28:C28"/>
    <mergeCell ref="D28:E28"/>
    <mergeCell ref="F28:I28"/>
    <mergeCell ref="A26:A28"/>
    <mergeCell ref="B26:C26"/>
    <mergeCell ref="D26:E26"/>
    <mergeCell ref="F26:I26"/>
    <mergeCell ref="J26:J28"/>
    <mergeCell ref="K26:K28"/>
    <mergeCell ref="M23:O25"/>
    <mergeCell ref="B24:C24"/>
    <mergeCell ref="D24:E24"/>
    <mergeCell ref="F24:I24"/>
    <mergeCell ref="B25:C25"/>
    <mergeCell ref="D25:E25"/>
    <mergeCell ref="F25:I25"/>
    <mergeCell ref="A23:A25"/>
    <mergeCell ref="B23:C23"/>
    <mergeCell ref="D23:E23"/>
    <mergeCell ref="F23:I23"/>
    <mergeCell ref="J23:J25"/>
    <mergeCell ref="K23:K25"/>
    <mergeCell ref="B18:C18"/>
    <mergeCell ref="D18:E18"/>
    <mergeCell ref="F18:I18"/>
    <mergeCell ref="M18:O18"/>
    <mergeCell ref="B21:C21"/>
    <mergeCell ref="D21:E21"/>
    <mergeCell ref="F21:I21"/>
    <mergeCell ref="M21:O21"/>
    <mergeCell ref="B22:C22"/>
    <mergeCell ref="D22:E22"/>
    <mergeCell ref="F22:I22"/>
    <mergeCell ref="M22:O22"/>
    <mergeCell ref="B19:C19"/>
    <mergeCell ref="D19:E19"/>
    <mergeCell ref="F19:I19"/>
    <mergeCell ref="M19:O19"/>
    <mergeCell ref="B20:C20"/>
    <mergeCell ref="D20:E20"/>
    <mergeCell ref="F20:I20"/>
    <mergeCell ref="M20:O20"/>
    <mergeCell ref="A16:A17"/>
    <mergeCell ref="B16:C16"/>
    <mergeCell ref="D16:E16"/>
    <mergeCell ref="F16:I16"/>
    <mergeCell ref="J16:J17"/>
    <mergeCell ref="K16:K17"/>
    <mergeCell ref="M16:O17"/>
    <mergeCell ref="B17:C17"/>
    <mergeCell ref="D17:E17"/>
    <mergeCell ref="F17:I17"/>
    <mergeCell ref="A14:A15"/>
    <mergeCell ref="B14:C14"/>
    <mergeCell ref="D14:E14"/>
    <mergeCell ref="F14:I14"/>
    <mergeCell ref="J14:J15"/>
    <mergeCell ref="K14:K15"/>
    <mergeCell ref="M14:O15"/>
    <mergeCell ref="B15:C15"/>
    <mergeCell ref="D15:E15"/>
    <mergeCell ref="F15:I15"/>
    <mergeCell ref="M10:O11"/>
    <mergeCell ref="B11:C11"/>
    <mergeCell ref="D11:E11"/>
    <mergeCell ref="F11:I11"/>
    <mergeCell ref="A12:A13"/>
    <mergeCell ref="B12:C12"/>
    <mergeCell ref="D12:E12"/>
    <mergeCell ref="F12:I12"/>
    <mergeCell ref="J12:J13"/>
    <mergeCell ref="K12:K13"/>
    <mergeCell ref="M12:O13"/>
    <mergeCell ref="B13:C13"/>
    <mergeCell ref="D13:E13"/>
    <mergeCell ref="F13:I13"/>
    <mergeCell ref="B9:C9"/>
    <mergeCell ref="D9:E9"/>
    <mergeCell ref="F9:I9"/>
    <mergeCell ref="A10:A11"/>
    <mergeCell ref="B10:C10"/>
    <mergeCell ref="D10:E10"/>
    <mergeCell ref="F10:I10"/>
    <mergeCell ref="J10:J11"/>
    <mergeCell ref="K10:K11"/>
    <mergeCell ref="F7:I7"/>
    <mergeCell ref="A8:A9"/>
    <mergeCell ref="B8:C8"/>
    <mergeCell ref="D8:E8"/>
    <mergeCell ref="F8:I8"/>
    <mergeCell ref="J8:J9"/>
    <mergeCell ref="M4:O5"/>
    <mergeCell ref="A6:A7"/>
    <mergeCell ref="B6:C6"/>
    <mergeCell ref="D6:E6"/>
    <mergeCell ref="F6:I6"/>
    <mergeCell ref="J6:J7"/>
    <mergeCell ref="K6:K7"/>
    <mergeCell ref="M6:O7"/>
    <mergeCell ref="B7:C7"/>
    <mergeCell ref="D7:E7"/>
    <mergeCell ref="A4:A5"/>
    <mergeCell ref="B4:C5"/>
    <mergeCell ref="D4:E5"/>
    <mergeCell ref="F4:I5"/>
    <mergeCell ref="J4:J5"/>
    <mergeCell ref="K4:K5"/>
    <mergeCell ref="K8:K9"/>
    <mergeCell ref="M8:O9"/>
    <mergeCell ref="L6:L7"/>
    <mergeCell ref="L8:L9"/>
    <mergeCell ref="L10:L11"/>
    <mergeCell ref="L12:L13"/>
    <mergeCell ref="L14:L15"/>
    <mergeCell ref="L16:L17"/>
    <mergeCell ref="L23:L25"/>
    <mergeCell ref="L26:L28"/>
    <mergeCell ref="L29:L30"/>
  </mergeCells>
  <phoneticPr fontId="11"/>
  <pageMargins left="0.7" right="0.7" top="0.75" bottom="0.75" header="0.3" footer="0.3"/>
  <pageSetup paperSize="9" scale="82" fitToWidth="0" fitToHeight="0" orientation="landscape" horizontalDpi="4294967293" r:id="rId1"/>
  <rowBreaks count="1" manualBreakCount="1">
    <brk id="40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DED0-9177-47D2-9295-F4B7A6D4FD83}">
  <sheetPr>
    <pageSetUpPr fitToPage="1"/>
  </sheetPr>
  <dimension ref="A1:U43"/>
  <sheetViews>
    <sheetView topLeftCell="A19" zoomScaleNormal="100" workbookViewId="0">
      <selection activeCell="F21" sqref="F21:I21"/>
    </sheetView>
  </sheetViews>
  <sheetFormatPr defaultColWidth="9" defaultRowHeight="18"/>
  <cols>
    <col min="1" max="1" width="5.69921875" style="1" customWidth="1"/>
    <col min="2" max="4" width="7.59765625" style="1" customWidth="1"/>
    <col min="5" max="5" width="3.69921875" style="1" customWidth="1"/>
    <col min="6" max="8" width="7.59765625" style="1" customWidth="1"/>
    <col min="9" max="9" width="4.8984375" style="1" customWidth="1"/>
    <col min="10" max="10" width="8.09765625" style="1" hidden="1" customWidth="1"/>
    <col min="11" max="11" width="8.19921875" style="1" hidden="1" customWidth="1"/>
    <col min="12" max="12" width="7.8984375" style="1" hidden="1" customWidth="1"/>
    <col min="13" max="13" width="9" style="1" hidden="1" customWidth="1"/>
    <col min="14" max="14" width="0.19921875" style="1" hidden="1" customWidth="1"/>
    <col min="15" max="15" width="20.69921875" style="1" customWidth="1"/>
    <col min="16" max="16" width="20.5" style="1" hidden="1" customWidth="1"/>
    <col min="17" max="17" width="20.59765625" style="1" hidden="1" customWidth="1"/>
    <col min="18" max="18" width="20.69921875" style="1" customWidth="1"/>
    <col min="19" max="21" width="7.69921875" style="1" customWidth="1"/>
    <col min="22" max="23" width="9" style="1"/>
    <col min="24" max="24" width="10" style="1" customWidth="1"/>
    <col min="25" max="16384" width="9" style="1"/>
  </cols>
  <sheetData>
    <row r="1" spans="1:21" ht="18.75" customHeight="1">
      <c r="A1" s="31" t="s">
        <v>404</v>
      </c>
      <c r="O1" s="85"/>
    </row>
    <row r="2" spans="1:21" ht="18.75" customHeight="1">
      <c r="A2" s="86" t="s">
        <v>405</v>
      </c>
    </row>
    <row r="3" spans="1:21" ht="15" customHeight="1">
      <c r="A3" s="49" t="s">
        <v>366</v>
      </c>
    </row>
    <row r="4" spans="1:21" ht="15" customHeight="1">
      <c r="A4" s="710" t="s">
        <v>2</v>
      </c>
      <c r="B4" s="712" t="s">
        <v>3</v>
      </c>
      <c r="C4" s="712"/>
      <c r="D4" s="650" t="s">
        <v>4</v>
      </c>
      <c r="E4" s="650"/>
      <c r="F4" s="712" t="s">
        <v>5</v>
      </c>
      <c r="G4" s="712"/>
      <c r="H4" s="712"/>
      <c r="I4" s="712"/>
      <c r="J4" s="650" t="s">
        <v>103</v>
      </c>
      <c r="K4" s="650" t="s">
        <v>406</v>
      </c>
      <c r="L4" s="87" t="s">
        <v>407</v>
      </c>
      <c r="M4" s="696" t="s">
        <v>408</v>
      </c>
      <c r="N4" s="805" t="s">
        <v>409</v>
      </c>
      <c r="O4" s="1376" t="s">
        <v>6</v>
      </c>
      <c r="P4" s="1376" t="s">
        <v>7</v>
      </c>
      <c r="Q4" s="1376" t="s">
        <v>6</v>
      </c>
      <c r="R4" s="1376" t="s">
        <v>7</v>
      </c>
      <c r="S4" s="674" t="s">
        <v>8</v>
      </c>
      <c r="T4" s="675"/>
      <c r="U4" s="676"/>
    </row>
    <row r="5" spans="1:21" ht="15" customHeight="1">
      <c r="A5" s="711"/>
      <c r="B5" s="712"/>
      <c r="C5" s="712"/>
      <c r="D5" s="650"/>
      <c r="E5" s="650"/>
      <c r="F5" s="712"/>
      <c r="G5" s="712"/>
      <c r="H5" s="712"/>
      <c r="I5" s="712"/>
      <c r="J5" s="650"/>
      <c r="K5" s="650"/>
      <c r="L5" s="76" t="s">
        <v>410</v>
      </c>
      <c r="M5" s="706"/>
      <c r="N5" s="706"/>
      <c r="O5" s="1376"/>
      <c r="P5" s="1376"/>
      <c r="Q5" s="1376"/>
      <c r="R5" s="1376"/>
      <c r="S5" s="674"/>
      <c r="T5" s="675"/>
      <c r="U5" s="676"/>
    </row>
    <row r="6" spans="1:21" ht="15" customHeight="1">
      <c r="A6" s="614" t="s">
        <v>16</v>
      </c>
      <c r="B6" s="661" t="s">
        <v>10</v>
      </c>
      <c r="C6" s="661"/>
      <c r="D6" s="661" t="s">
        <v>43</v>
      </c>
      <c r="E6" s="661"/>
      <c r="F6" s="659" t="s">
        <v>411</v>
      </c>
      <c r="G6" s="659"/>
      <c r="H6" s="659"/>
      <c r="I6" s="659"/>
      <c r="J6" s="8">
        <v>400</v>
      </c>
      <c r="K6" s="8">
        <v>6</v>
      </c>
      <c r="L6" s="88"/>
      <c r="M6" s="8" t="e">
        <f>ROUNDUP(#REF!/(J6*K6),0)</f>
        <v>#REF!</v>
      </c>
      <c r="N6" s="8" t="e">
        <f>ROUNDUP(M6*0.3,0)</f>
        <v>#REF!</v>
      </c>
      <c r="O6" s="1217"/>
      <c r="P6" s="89" t="e">
        <f>ROUNDUP((M6+N6-O6)/10,0)</f>
        <v>#REF!</v>
      </c>
      <c r="Q6" s="90" t="e">
        <f>IF((M6+N6-O6)&lt;=0,0,P6)</f>
        <v>#REF!</v>
      </c>
      <c r="R6" s="703" t="str">
        <f>IF(Q7&gt;0,"個","")</f>
        <v/>
      </c>
      <c r="S6" s="660" t="s">
        <v>12</v>
      </c>
      <c r="T6" s="660"/>
      <c r="U6" s="660"/>
    </row>
    <row r="7" spans="1:21" ht="15" customHeight="1">
      <c r="A7" s="616"/>
      <c r="B7" s="700" t="s">
        <v>13</v>
      </c>
      <c r="C7" s="701"/>
      <c r="D7" s="700" t="s">
        <v>49</v>
      </c>
      <c r="E7" s="701"/>
      <c r="F7" s="659" t="s">
        <v>412</v>
      </c>
      <c r="G7" s="659"/>
      <c r="H7" s="659"/>
      <c r="I7" s="659"/>
      <c r="J7" s="8"/>
      <c r="K7" s="8"/>
      <c r="L7" s="88"/>
      <c r="M7" s="8"/>
      <c r="N7" s="8"/>
      <c r="O7" s="1218"/>
      <c r="P7" s="91"/>
      <c r="Q7" s="92"/>
      <c r="R7" s="673"/>
      <c r="S7" s="660"/>
      <c r="T7" s="660"/>
      <c r="U7" s="660"/>
    </row>
    <row r="8" spans="1:21" ht="15" customHeight="1">
      <c r="A8" s="614" t="s">
        <v>22</v>
      </c>
      <c r="B8" s="661" t="s">
        <v>10</v>
      </c>
      <c r="C8" s="661"/>
      <c r="D8" s="700" t="s">
        <v>49</v>
      </c>
      <c r="E8" s="701"/>
      <c r="F8" s="653" t="s">
        <v>413</v>
      </c>
      <c r="G8" s="653"/>
      <c r="H8" s="653"/>
      <c r="I8" s="653"/>
      <c r="J8" s="8">
        <v>1000</v>
      </c>
      <c r="K8" s="8">
        <v>2</v>
      </c>
      <c r="L8" s="88"/>
      <c r="M8" s="8" t="e">
        <f>ROUNDUP(#REF!/(J8*K8),0)</f>
        <v>#REF!</v>
      </c>
      <c r="N8" s="8" t="e">
        <f>ROUNDUP(M8*0.3,0)</f>
        <v>#REF!</v>
      </c>
      <c r="O8" s="1217" t="s">
        <v>712</v>
      </c>
      <c r="P8" s="89" t="e">
        <f>ROUNDUP((M8+N8-O8)/10,0)</f>
        <v>#REF!</v>
      </c>
      <c r="Q8" s="90" t="e">
        <f t="shared" ref="Q8:Q14" si="0">IF((M8+N8-O8)&lt;=0,0,P8)</f>
        <v>#REF!</v>
      </c>
      <c r="R8" s="703" t="s">
        <v>715</v>
      </c>
      <c r="S8" s="660" t="s">
        <v>68</v>
      </c>
      <c r="T8" s="660"/>
      <c r="U8" s="660"/>
    </row>
    <row r="9" spans="1:21" ht="15" customHeight="1">
      <c r="A9" s="616"/>
      <c r="B9" s="700" t="s">
        <v>13</v>
      </c>
      <c r="C9" s="701"/>
      <c r="D9" s="700" t="s">
        <v>11</v>
      </c>
      <c r="E9" s="701"/>
      <c r="F9" s="659" t="s">
        <v>414</v>
      </c>
      <c r="G9" s="659"/>
      <c r="H9" s="659"/>
      <c r="I9" s="659"/>
      <c r="J9" s="8"/>
      <c r="K9" s="8"/>
      <c r="L9" s="88"/>
      <c r="M9" s="8"/>
      <c r="N9" s="8"/>
      <c r="O9" s="1218"/>
      <c r="P9" s="91"/>
      <c r="Q9" s="92"/>
      <c r="R9" s="673"/>
      <c r="S9" s="660"/>
      <c r="T9" s="660"/>
      <c r="U9" s="660"/>
    </row>
    <row r="10" spans="1:21" ht="15" customHeight="1">
      <c r="A10" s="614" t="s">
        <v>27</v>
      </c>
      <c r="B10" s="661" t="s">
        <v>10</v>
      </c>
      <c r="C10" s="661"/>
      <c r="D10" s="700" t="s">
        <v>11</v>
      </c>
      <c r="E10" s="701"/>
      <c r="F10" s="659" t="s">
        <v>415</v>
      </c>
      <c r="G10" s="659"/>
      <c r="H10" s="659"/>
      <c r="I10" s="659"/>
      <c r="J10" s="8">
        <v>8000</v>
      </c>
      <c r="K10" s="8">
        <v>2</v>
      </c>
      <c r="L10" s="88"/>
      <c r="M10" s="8" t="e">
        <f>ROUNDUP(#REF!/(J10*K10),0)</f>
        <v>#REF!</v>
      </c>
      <c r="N10" s="8" t="e">
        <f t="shared" ref="N10:N34" si="1">ROUNDUP(M10*0.2,0)</f>
        <v>#REF!</v>
      </c>
      <c r="O10" s="1217" t="s">
        <v>416</v>
      </c>
      <c r="P10" s="89" t="e">
        <f>ROUNDUP((M10+N10-O10)/10,0)</f>
        <v>#REF!</v>
      </c>
      <c r="Q10" s="90" t="e">
        <f t="shared" si="0"/>
        <v>#REF!</v>
      </c>
      <c r="R10" s="703"/>
      <c r="S10" s="660" t="s">
        <v>417</v>
      </c>
      <c r="T10" s="660"/>
      <c r="U10" s="660"/>
    </row>
    <row r="11" spans="1:21" ht="15" customHeight="1">
      <c r="A11" s="616"/>
      <c r="B11" s="700" t="s">
        <v>13</v>
      </c>
      <c r="C11" s="701"/>
      <c r="D11" s="700" t="s">
        <v>11</v>
      </c>
      <c r="E11" s="701"/>
      <c r="F11" s="659" t="s">
        <v>418</v>
      </c>
      <c r="G11" s="659"/>
      <c r="H11" s="659"/>
      <c r="I11" s="659"/>
      <c r="J11" s="8"/>
      <c r="K11" s="8"/>
      <c r="L11" s="88"/>
      <c r="M11" s="8"/>
      <c r="N11" s="8"/>
      <c r="O11" s="1218"/>
      <c r="P11" s="91"/>
      <c r="Q11" s="92"/>
      <c r="R11" s="673"/>
      <c r="S11" s="660"/>
      <c r="T11" s="660"/>
      <c r="U11" s="660"/>
    </row>
    <row r="12" spans="1:21" ht="15" customHeight="1">
      <c r="A12" s="614" t="s">
        <v>384</v>
      </c>
      <c r="B12" s="661" t="s">
        <v>199</v>
      </c>
      <c r="C12" s="661"/>
      <c r="D12" s="661" t="s">
        <v>11</v>
      </c>
      <c r="E12" s="661"/>
      <c r="F12" s="659" t="s">
        <v>419</v>
      </c>
      <c r="G12" s="659"/>
      <c r="H12" s="659"/>
      <c r="I12" s="659"/>
      <c r="J12" s="8">
        <v>3500</v>
      </c>
      <c r="K12" s="8">
        <v>2</v>
      </c>
      <c r="L12" s="88"/>
      <c r="M12" s="8" t="e">
        <f>ROUNDUP(#REF!/(J12*K12),0)</f>
        <v>#REF!</v>
      </c>
      <c r="N12" s="8" t="e">
        <f t="shared" si="1"/>
        <v>#REF!</v>
      </c>
      <c r="O12" s="1217"/>
      <c r="P12" s="89" t="e">
        <f>ROUNDUP((M12+N12-O12)/10,0)</f>
        <v>#REF!</v>
      </c>
      <c r="Q12" s="90" t="e">
        <f t="shared" si="0"/>
        <v>#REF!</v>
      </c>
      <c r="R12" s="702" t="s">
        <v>420</v>
      </c>
      <c r="S12" s="660" t="s">
        <v>323</v>
      </c>
      <c r="T12" s="660"/>
      <c r="U12" s="660"/>
    </row>
    <row r="13" spans="1:21" ht="15" customHeight="1">
      <c r="A13" s="616"/>
      <c r="B13" s="661" t="s">
        <v>202</v>
      </c>
      <c r="C13" s="661"/>
      <c r="D13" s="661" t="s">
        <v>11</v>
      </c>
      <c r="E13" s="661"/>
      <c r="F13" s="659" t="s">
        <v>203</v>
      </c>
      <c r="G13" s="659"/>
      <c r="H13" s="659"/>
      <c r="I13" s="659"/>
      <c r="J13" s="8"/>
      <c r="K13" s="8"/>
      <c r="L13" s="88"/>
      <c r="M13" s="8"/>
      <c r="N13" s="8"/>
      <c r="O13" s="1218"/>
      <c r="P13" s="91"/>
      <c r="Q13" s="92"/>
      <c r="R13" s="691"/>
      <c r="S13" s="660"/>
      <c r="T13" s="660"/>
      <c r="U13" s="660"/>
    </row>
    <row r="14" spans="1:21" ht="15" customHeight="1">
      <c r="A14" s="614" t="s">
        <v>421</v>
      </c>
      <c r="B14" s="661" t="s">
        <v>35</v>
      </c>
      <c r="C14" s="661"/>
      <c r="D14" s="661" t="s">
        <v>11</v>
      </c>
      <c r="E14" s="661"/>
      <c r="F14" s="699" t="s">
        <v>303</v>
      </c>
      <c r="G14" s="699"/>
      <c r="H14" s="699"/>
      <c r="I14" s="699"/>
      <c r="J14" s="8">
        <v>900</v>
      </c>
      <c r="K14" s="8">
        <v>2</v>
      </c>
      <c r="L14" s="88"/>
      <c r="M14" s="8" t="e">
        <f>ROUNDUP(#REF!/(J14*K14),0)</f>
        <v>#REF!</v>
      </c>
      <c r="N14" s="8" t="e">
        <f t="shared" si="1"/>
        <v>#REF!</v>
      </c>
      <c r="O14" s="1217"/>
      <c r="P14" s="89" t="e">
        <f>ROUNDUP((M14+N14-O14)/10,0)</f>
        <v>#REF!</v>
      </c>
      <c r="Q14" s="90" t="e">
        <f t="shared" si="0"/>
        <v>#REF!</v>
      </c>
      <c r="R14" s="702" t="s">
        <v>37</v>
      </c>
      <c r="S14" s="660" t="s">
        <v>38</v>
      </c>
      <c r="T14" s="660"/>
      <c r="U14" s="660"/>
    </row>
    <row r="15" spans="1:21" ht="15" customHeight="1">
      <c r="A15" s="616"/>
      <c r="B15" s="661" t="s">
        <v>304</v>
      </c>
      <c r="C15" s="661"/>
      <c r="D15" s="661" t="s">
        <v>11</v>
      </c>
      <c r="E15" s="661"/>
      <c r="F15" s="699" t="s">
        <v>422</v>
      </c>
      <c r="G15" s="699"/>
      <c r="H15" s="699"/>
      <c r="I15" s="699"/>
      <c r="J15" s="8"/>
      <c r="K15" s="8"/>
      <c r="L15" s="88"/>
      <c r="M15" s="8"/>
      <c r="N15" s="8"/>
      <c r="O15" s="1218"/>
      <c r="P15" s="91"/>
      <c r="Q15" s="92"/>
      <c r="R15" s="691"/>
      <c r="S15" s="660"/>
      <c r="T15" s="660"/>
      <c r="U15" s="660"/>
    </row>
    <row r="16" spans="1:21" ht="15" customHeight="1">
      <c r="A16" s="59" t="s">
        <v>423</v>
      </c>
      <c r="B16" s="650" t="s">
        <v>236</v>
      </c>
      <c r="C16" s="650"/>
      <c r="D16" s="650" t="s">
        <v>179</v>
      </c>
      <c r="E16" s="650"/>
      <c r="F16" s="651" t="s">
        <v>424</v>
      </c>
      <c r="G16" s="651"/>
      <c r="H16" s="651"/>
      <c r="I16" s="651"/>
      <c r="J16" s="15">
        <v>8000</v>
      </c>
      <c r="K16" s="15">
        <v>1</v>
      </c>
      <c r="L16" s="93" t="s">
        <v>425</v>
      </c>
      <c r="M16" s="25" t="e">
        <f>ROUNDUP(#REF!/(J16*K16),0)</f>
        <v>#REF!</v>
      </c>
      <c r="N16" s="25" t="e">
        <f t="shared" si="1"/>
        <v>#REF!</v>
      </c>
      <c r="O16" s="66"/>
      <c r="P16" s="94" t="e">
        <f>M16+N16-O16</f>
        <v>#REF!</v>
      </c>
      <c r="Q16" s="95" t="e">
        <f t="shared" ref="Q16:Q20" si="2">IF((M16+N16-O16)&lt;=0,0,P16)</f>
        <v>#REF!</v>
      </c>
      <c r="R16" s="96"/>
      <c r="S16" s="708" t="s">
        <v>426</v>
      </c>
      <c r="T16" s="708"/>
      <c r="U16" s="708"/>
    </row>
    <row r="17" spans="1:21" ht="15" customHeight="1">
      <c r="A17" s="59" t="s">
        <v>427</v>
      </c>
      <c r="B17" s="706" t="s">
        <v>178</v>
      </c>
      <c r="C17" s="706"/>
      <c r="D17" s="650" t="s">
        <v>240</v>
      </c>
      <c r="E17" s="650"/>
      <c r="F17" s="707" t="s">
        <v>428</v>
      </c>
      <c r="G17" s="707"/>
      <c r="H17" s="707"/>
      <c r="I17" s="707"/>
      <c r="J17" s="23">
        <v>20000</v>
      </c>
      <c r="K17" s="23">
        <v>1</v>
      </c>
      <c r="L17" s="93" t="s">
        <v>425</v>
      </c>
      <c r="M17" s="25" t="e">
        <f>ROUNDUP(#REF!/(J17*K17),0)</f>
        <v>#REF!</v>
      </c>
      <c r="N17" s="25" t="e">
        <f t="shared" si="1"/>
        <v>#REF!</v>
      </c>
      <c r="O17" s="72" t="s">
        <v>429</v>
      </c>
      <c r="P17" s="94" t="e">
        <f>M17+N17-O17</f>
        <v>#REF!</v>
      </c>
      <c r="Q17" s="95" t="e">
        <f t="shared" si="2"/>
        <v>#REF!</v>
      </c>
      <c r="R17" s="96" t="s">
        <v>709</v>
      </c>
      <c r="S17" s="708" t="s">
        <v>431</v>
      </c>
      <c r="T17" s="708"/>
      <c r="U17" s="708"/>
    </row>
    <row r="18" spans="1:21" ht="15" customHeight="1">
      <c r="A18" s="59" t="s">
        <v>47</v>
      </c>
      <c r="B18" s="650" t="s">
        <v>211</v>
      </c>
      <c r="C18" s="650"/>
      <c r="D18" s="650" t="s">
        <v>72</v>
      </c>
      <c r="E18" s="650"/>
      <c r="F18" s="651" t="s">
        <v>432</v>
      </c>
      <c r="G18" s="651"/>
      <c r="H18" s="651"/>
      <c r="I18" s="651"/>
      <c r="J18" s="25">
        <v>3000</v>
      </c>
      <c r="K18" s="25">
        <v>1</v>
      </c>
      <c r="L18" s="93" t="s">
        <v>425</v>
      </c>
      <c r="M18" s="25" t="e">
        <f>ROUNDUP(#REF!/(J18*K18),0)</f>
        <v>#REF!</v>
      </c>
      <c r="N18" s="25" t="e">
        <f>ROUNDUP(M18*0.3,0)+2</f>
        <v>#REF!</v>
      </c>
      <c r="O18" s="66"/>
      <c r="P18" s="94" t="e">
        <f>M18+N18-O18</f>
        <v>#REF!</v>
      </c>
      <c r="Q18" s="95" t="e">
        <f t="shared" si="2"/>
        <v>#REF!</v>
      </c>
      <c r="R18" s="96"/>
      <c r="S18" s="652" t="s">
        <v>433</v>
      </c>
      <c r="T18" s="623"/>
      <c r="U18" s="624"/>
    </row>
    <row r="19" spans="1:21" ht="15" customHeight="1">
      <c r="A19" s="73" t="s">
        <v>434</v>
      </c>
      <c r="B19" s="696" t="s">
        <v>178</v>
      </c>
      <c r="C19" s="696"/>
      <c r="D19" s="696" t="s">
        <v>179</v>
      </c>
      <c r="E19" s="696"/>
      <c r="F19" s="697" t="s">
        <v>435</v>
      </c>
      <c r="G19" s="697"/>
      <c r="H19" s="697"/>
      <c r="I19" s="697"/>
      <c r="J19" s="67">
        <v>8000</v>
      </c>
      <c r="K19" s="67">
        <v>1</v>
      </c>
      <c r="L19" s="97" t="s">
        <v>436</v>
      </c>
      <c r="M19" s="25" t="e">
        <f>ROUNDUP(#REF!/(J19*K19),0)</f>
        <v>#REF!</v>
      </c>
      <c r="N19" s="25" t="e">
        <f>ROUNDUP(M19*0.2,0)+2</f>
        <v>#REF!</v>
      </c>
      <c r="O19" s="75" t="s">
        <v>437</v>
      </c>
      <c r="P19" s="94" t="e">
        <f>M19+N19-O19</f>
        <v>#REF!</v>
      </c>
      <c r="Q19" s="95" t="e">
        <f t="shared" si="2"/>
        <v>#REF!</v>
      </c>
      <c r="R19" s="96"/>
      <c r="S19" s="698" t="s">
        <v>438</v>
      </c>
      <c r="T19" s="698"/>
      <c r="U19" s="698"/>
    </row>
    <row r="20" spans="1:21" ht="15" customHeight="1" thickBot="1">
      <c r="A20" s="98" t="s">
        <v>439</v>
      </c>
      <c r="B20" s="727" t="s">
        <v>440</v>
      </c>
      <c r="C20" s="727"/>
      <c r="D20" s="727" t="s">
        <v>49</v>
      </c>
      <c r="E20" s="727"/>
      <c r="F20" s="728" t="s">
        <v>441</v>
      </c>
      <c r="G20" s="728"/>
      <c r="H20" s="728"/>
      <c r="I20" s="728"/>
      <c r="J20" s="99">
        <v>2000</v>
      </c>
      <c r="K20" s="99">
        <v>1</v>
      </c>
      <c r="L20" s="100" t="s">
        <v>425</v>
      </c>
      <c r="M20" s="99" t="e">
        <f>ROUNDUP(#REF!/(J20*K20),0)</f>
        <v>#REF!</v>
      </c>
      <c r="N20" s="99" t="e">
        <f>ROUNDUP(M20*0.5,0)+5</f>
        <v>#REF!</v>
      </c>
      <c r="O20" s="83" t="s">
        <v>354</v>
      </c>
      <c r="P20" s="101" t="e">
        <f>M20+N20-O20</f>
        <v>#REF!</v>
      </c>
      <c r="Q20" s="102" t="e">
        <f t="shared" si="2"/>
        <v>#REF!</v>
      </c>
      <c r="R20" s="103"/>
      <c r="S20" s="692" t="s">
        <v>442</v>
      </c>
      <c r="T20" s="692"/>
      <c r="U20" s="692"/>
    </row>
    <row r="21" spans="1:21" ht="15" customHeight="1" thickTop="1">
      <c r="A21" s="729" t="s">
        <v>443</v>
      </c>
      <c r="B21" s="730" t="s">
        <v>10</v>
      </c>
      <c r="C21" s="730"/>
      <c r="D21" s="730" t="s">
        <v>444</v>
      </c>
      <c r="E21" s="730"/>
      <c r="F21" s="731" t="s">
        <v>445</v>
      </c>
      <c r="G21" s="731"/>
      <c r="H21" s="731"/>
      <c r="I21" s="731"/>
      <c r="J21" s="104">
        <v>2500</v>
      </c>
      <c r="K21" s="104">
        <v>2</v>
      </c>
      <c r="L21" s="105"/>
      <c r="M21" s="14" t="e">
        <f>ROUNDUP(#REF!/(J21*K21),0)</f>
        <v>#REF!</v>
      </c>
      <c r="N21" s="14" t="e">
        <f t="shared" si="1"/>
        <v>#REF!</v>
      </c>
      <c r="O21" s="1387" t="s">
        <v>446</v>
      </c>
      <c r="P21" s="106" t="e">
        <f>ROUNDUP((M21+N21-O21)/10,0)</f>
        <v>#REF!</v>
      </c>
      <c r="Q21" s="107" t="e">
        <f>IF((M21+N21-O21)&lt;=0,0,P21)</f>
        <v>#REF!</v>
      </c>
      <c r="R21" s="1452"/>
      <c r="S21" s="1449" t="s">
        <v>447</v>
      </c>
      <c r="T21" s="733"/>
      <c r="U21" s="734"/>
    </row>
    <row r="22" spans="1:21" ht="15" customHeight="1">
      <c r="A22" s="615"/>
      <c r="B22" s="637" t="s">
        <v>227</v>
      </c>
      <c r="C22" s="637"/>
      <c r="D22" s="637" t="s">
        <v>444</v>
      </c>
      <c r="E22" s="637"/>
      <c r="F22" s="653" t="s">
        <v>448</v>
      </c>
      <c r="G22" s="653"/>
      <c r="H22" s="653"/>
      <c r="I22" s="653"/>
      <c r="J22" s="14"/>
      <c r="K22" s="14"/>
      <c r="L22" s="108"/>
      <c r="M22" s="8"/>
      <c r="N22" s="8"/>
      <c r="O22" s="1451"/>
      <c r="P22" s="53"/>
      <c r="Q22" s="107"/>
      <c r="R22" s="672"/>
      <c r="S22" s="631"/>
      <c r="T22" s="632"/>
      <c r="U22" s="633"/>
    </row>
    <row r="23" spans="1:21" ht="15" customHeight="1">
      <c r="A23" s="616"/>
      <c r="B23" s="637" t="s">
        <v>83</v>
      </c>
      <c r="C23" s="637"/>
      <c r="D23" s="638" t="s">
        <v>14</v>
      </c>
      <c r="E23" s="639"/>
      <c r="F23" s="659" t="s">
        <v>449</v>
      </c>
      <c r="G23" s="659"/>
      <c r="H23" s="659"/>
      <c r="I23" s="659"/>
      <c r="J23" s="14"/>
      <c r="K23" s="14"/>
      <c r="L23" s="108"/>
      <c r="M23" s="8"/>
      <c r="N23" s="8"/>
      <c r="O23" s="1381"/>
      <c r="P23" s="51"/>
      <c r="Q23" s="92"/>
      <c r="R23" s="673"/>
      <c r="S23" s="634"/>
      <c r="T23" s="635"/>
      <c r="U23" s="636"/>
    </row>
    <row r="24" spans="1:21" ht="15" customHeight="1">
      <c r="A24" s="664" t="s">
        <v>450</v>
      </c>
      <c r="B24" s="637" t="s">
        <v>10</v>
      </c>
      <c r="C24" s="637"/>
      <c r="D24" s="638" t="s">
        <v>14</v>
      </c>
      <c r="E24" s="639"/>
      <c r="F24" s="666" t="s">
        <v>445</v>
      </c>
      <c r="G24" s="667"/>
      <c r="H24" s="667"/>
      <c r="I24" s="667"/>
      <c r="J24" s="14">
        <v>2000</v>
      </c>
      <c r="K24" s="14">
        <v>2</v>
      </c>
      <c r="L24" s="108"/>
      <c r="M24" s="8" t="e">
        <f>ROUNDUP(#REF!/(J24*K24),0)</f>
        <v>#REF!</v>
      </c>
      <c r="N24" s="8" t="e">
        <f t="shared" si="1"/>
        <v>#REF!</v>
      </c>
      <c r="O24" s="1217" t="s">
        <v>451</v>
      </c>
      <c r="P24" s="89" t="e">
        <f>ROUNDUP((M24+N24-O24)/10,0)</f>
        <v>#REF!</v>
      </c>
      <c r="Q24" s="90" t="e">
        <f>IF((M24+N24-O24)&lt;=0,0,P24)</f>
        <v>#REF!</v>
      </c>
      <c r="R24" s="738" t="s">
        <v>452</v>
      </c>
      <c r="S24" s="631" t="s">
        <v>453</v>
      </c>
      <c r="T24" s="632"/>
      <c r="U24" s="633"/>
    </row>
    <row r="25" spans="1:21" ht="15" customHeight="1">
      <c r="A25" s="664"/>
      <c r="B25" s="637" t="s">
        <v>81</v>
      </c>
      <c r="C25" s="637"/>
      <c r="D25" s="638" t="s">
        <v>14</v>
      </c>
      <c r="E25" s="639"/>
      <c r="F25" s="662" t="s">
        <v>361</v>
      </c>
      <c r="G25" s="663"/>
      <c r="H25" s="663"/>
      <c r="I25" s="663"/>
      <c r="J25" s="14"/>
      <c r="K25" s="14"/>
      <c r="L25" s="108"/>
      <c r="M25" s="8"/>
      <c r="N25" s="8"/>
      <c r="O25" s="1453"/>
      <c r="P25" s="53"/>
      <c r="Q25" s="107"/>
      <c r="R25" s="672"/>
      <c r="S25" s="631"/>
      <c r="T25" s="632"/>
      <c r="U25" s="633"/>
    </row>
    <row r="26" spans="1:21" ht="15" customHeight="1">
      <c r="A26" s="665"/>
      <c r="B26" s="637" t="s">
        <v>83</v>
      </c>
      <c r="C26" s="637"/>
      <c r="D26" s="638" t="s">
        <v>14</v>
      </c>
      <c r="E26" s="639"/>
      <c r="F26" s="659" t="s">
        <v>454</v>
      </c>
      <c r="G26" s="659"/>
      <c r="H26" s="659"/>
      <c r="I26" s="659"/>
      <c r="J26" s="14"/>
      <c r="K26" s="14"/>
      <c r="L26" s="108"/>
      <c r="M26" s="8"/>
      <c r="N26" s="8"/>
      <c r="O26" s="1218"/>
      <c r="P26" s="51"/>
      <c r="Q26" s="92"/>
      <c r="R26" s="673"/>
      <c r="S26" s="634"/>
      <c r="T26" s="635"/>
      <c r="U26" s="636"/>
    </row>
    <row r="27" spans="1:21" ht="15" customHeight="1">
      <c r="A27" s="59" t="s">
        <v>455</v>
      </c>
      <c r="B27" s="650" t="s">
        <v>178</v>
      </c>
      <c r="C27" s="650"/>
      <c r="D27" s="650" t="s">
        <v>179</v>
      </c>
      <c r="E27" s="650"/>
      <c r="F27" s="651" t="s">
        <v>456</v>
      </c>
      <c r="G27" s="651"/>
      <c r="H27" s="651"/>
      <c r="I27" s="651"/>
      <c r="J27" s="15">
        <v>5000</v>
      </c>
      <c r="K27" s="15">
        <v>1</v>
      </c>
      <c r="L27" s="97" t="s">
        <v>436</v>
      </c>
      <c r="M27" s="25" t="e">
        <f>ROUNDUP(#REF!/(J27*K27),0)</f>
        <v>#REF!</v>
      </c>
      <c r="N27" s="25" t="e">
        <f>ROUNDUP(M27*0.2,0)</f>
        <v>#REF!</v>
      </c>
      <c r="O27" s="66" t="s">
        <v>451</v>
      </c>
      <c r="P27" s="94" t="e">
        <f>M27+N27-O27</f>
        <v>#REF!</v>
      </c>
      <c r="Q27" s="95" t="e">
        <f t="shared" ref="Q27:Q33" si="3">IF((M27+N27-O27)&lt;=0,0,P27)</f>
        <v>#REF!</v>
      </c>
      <c r="R27" s="109" t="s">
        <v>457</v>
      </c>
      <c r="S27" s="660" t="s">
        <v>458</v>
      </c>
      <c r="T27" s="660"/>
      <c r="U27" s="660"/>
    </row>
    <row r="28" spans="1:21" ht="15" customHeight="1">
      <c r="A28" s="614" t="s">
        <v>459</v>
      </c>
      <c r="B28" s="650" t="s">
        <v>81</v>
      </c>
      <c r="C28" s="650"/>
      <c r="D28" s="650" t="s">
        <v>11</v>
      </c>
      <c r="E28" s="650"/>
      <c r="F28" s="651" t="s">
        <v>460</v>
      </c>
      <c r="G28" s="651"/>
      <c r="H28" s="651"/>
      <c r="I28" s="651"/>
      <c r="J28" s="25">
        <v>5000</v>
      </c>
      <c r="K28" s="25">
        <v>1</v>
      </c>
      <c r="L28" s="110"/>
      <c r="M28" s="25" t="e">
        <f>ROUNDUP(#REF!/(J28*K28),0)</f>
        <v>#REF!</v>
      </c>
      <c r="N28" s="25" t="e">
        <f>ROUNDUP(M28*0.3,0)+2</f>
        <v>#REF!</v>
      </c>
      <c r="O28" s="1407" t="s">
        <v>461</v>
      </c>
      <c r="P28" s="111" t="e">
        <f t="shared" ref="P28" si="4">M28+N28-O28</f>
        <v>#REF!</v>
      </c>
      <c r="Q28" s="90" t="e">
        <f t="shared" si="3"/>
        <v>#REF!</v>
      </c>
      <c r="R28" s="703"/>
      <c r="S28" s="656" t="s">
        <v>462</v>
      </c>
      <c r="T28" s="657"/>
      <c r="U28" s="658"/>
    </row>
    <row r="29" spans="1:21" ht="15" customHeight="1">
      <c r="A29" s="616"/>
      <c r="B29" s="650" t="s">
        <v>83</v>
      </c>
      <c r="C29" s="650"/>
      <c r="D29" s="650" t="s">
        <v>11</v>
      </c>
      <c r="E29" s="650"/>
      <c r="F29" s="651" t="s">
        <v>463</v>
      </c>
      <c r="G29" s="651"/>
      <c r="H29" s="651"/>
      <c r="I29" s="651"/>
      <c r="J29" s="25"/>
      <c r="K29" s="25"/>
      <c r="L29" s="110"/>
      <c r="M29" s="25"/>
      <c r="N29" s="25"/>
      <c r="O29" s="1408"/>
      <c r="P29" s="112"/>
      <c r="Q29" s="92">
        <f t="shared" si="3"/>
        <v>0</v>
      </c>
      <c r="R29" s="673"/>
      <c r="S29" s="634"/>
      <c r="T29" s="635"/>
      <c r="U29" s="636"/>
    </row>
    <row r="30" spans="1:21" ht="15" customHeight="1">
      <c r="A30" s="73" t="s">
        <v>464</v>
      </c>
      <c r="B30" s="650" t="s">
        <v>211</v>
      </c>
      <c r="C30" s="650"/>
      <c r="D30" s="650" t="s">
        <v>72</v>
      </c>
      <c r="E30" s="650"/>
      <c r="F30" s="651" t="s">
        <v>465</v>
      </c>
      <c r="G30" s="651"/>
      <c r="H30" s="651"/>
      <c r="I30" s="651"/>
      <c r="J30" s="25">
        <v>5000</v>
      </c>
      <c r="K30" s="25">
        <v>1</v>
      </c>
      <c r="L30" s="97" t="s">
        <v>436</v>
      </c>
      <c r="M30" s="25" t="e">
        <f>ROUNDUP(#REF!/(J30*K30),0)</f>
        <v>#REF!</v>
      </c>
      <c r="N30" s="25" t="e">
        <f>ROUNDUP(M30*0.2,0)+1</f>
        <v>#REF!</v>
      </c>
      <c r="O30" s="66"/>
      <c r="P30" s="94" t="e">
        <f t="shared" ref="P30:P31" si="5">M30+N30-O30</f>
        <v>#REF!</v>
      </c>
      <c r="Q30" s="95" t="e">
        <f t="shared" si="3"/>
        <v>#REF!</v>
      </c>
      <c r="R30" s="109"/>
      <c r="S30" s="660" t="s">
        <v>466</v>
      </c>
      <c r="T30" s="660"/>
      <c r="U30" s="660"/>
    </row>
    <row r="31" spans="1:21" ht="15" customHeight="1">
      <c r="A31" s="73" t="s">
        <v>467</v>
      </c>
      <c r="B31" s="650" t="s">
        <v>440</v>
      </c>
      <c r="C31" s="650"/>
      <c r="D31" s="650" t="s">
        <v>468</v>
      </c>
      <c r="E31" s="650"/>
      <c r="F31" s="651" t="s">
        <v>469</v>
      </c>
      <c r="G31" s="651"/>
      <c r="H31" s="651"/>
      <c r="I31" s="651"/>
      <c r="J31" s="25">
        <v>1000</v>
      </c>
      <c r="K31" s="25">
        <v>5</v>
      </c>
      <c r="L31" s="97" t="s">
        <v>470</v>
      </c>
      <c r="M31" s="25" t="e">
        <f>ROUNDUP(#REF!/(J31*K31),0)</f>
        <v>#REF!</v>
      </c>
      <c r="N31" s="25" t="e">
        <f t="shared" si="1"/>
        <v>#REF!</v>
      </c>
      <c r="O31" s="66" t="s">
        <v>461</v>
      </c>
      <c r="P31" s="94" t="e">
        <f t="shared" si="5"/>
        <v>#REF!</v>
      </c>
      <c r="Q31" s="95" t="e">
        <f t="shared" si="3"/>
        <v>#REF!</v>
      </c>
      <c r="R31" s="109" t="s">
        <v>471</v>
      </c>
      <c r="S31" s="652" t="s">
        <v>472</v>
      </c>
      <c r="T31" s="623"/>
      <c r="U31" s="624"/>
    </row>
    <row r="32" spans="1:21" ht="15" customHeight="1">
      <c r="A32" s="59" t="s">
        <v>473</v>
      </c>
      <c r="B32" s="650" t="s">
        <v>211</v>
      </c>
      <c r="C32" s="650"/>
      <c r="D32" s="650" t="s">
        <v>72</v>
      </c>
      <c r="E32" s="650"/>
      <c r="F32" s="651" t="s">
        <v>474</v>
      </c>
      <c r="G32" s="651"/>
      <c r="H32" s="651"/>
      <c r="I32" s="651"/>
      <c r="J32" s="25">
        <v>20000</v>
      </c>
      <c r="K32" s="25">
        <v>1</v>
      </c>
      <c r="L32" s="97" t="s">
        <v>436</v>
      </c>
      <c r="M32" s="25" t="e">
        <f>ROUNDUP(#REF!/(J32*K32),0)</f>
        <v>#REF!</v>
      </c>
      <c r="N32" s="25" t="e">
        <f t="shared" si="1"/>
        <v>#REF!</v>
      </c>
      <c r="O32" s="66"/>
      <c r="P32" s="94" t="e">
        <f>M32+N32-O32</f>
        <v>#REF!</v>
      </c>
      <c r="Q32" s="95" t="e">
        <f t="shared" si="3"/>
        <v>#REF!</v>
      </c>
      <c r="R32" s="109"/>
      <c r="S32" s="652" t="s">
        <v>475</v>
      </c>
      <c r="T32" s="623"/>
      <c r="U32" s="624"/>
    </row>
    <row r="33" spans="1:21" ht="15" customHeight="1">
      <c r="A33" s="59" t="s">
        <v>476</v>
      </c>
      <c r="B33" s="650" t="s">
        <v>178</v>
      </c>
      <c r="C33" s="650"/>
      <c r="D33" s="650" t="s">
        <v>179</v>
      </c>
      <c r="E33" s="650"/>
      <c r="F33" s="651" t="s">
        <v>477</v>
      </c>
      <c r="G33" s="651"/>
      <c r="H33" s="651"/>
      <c r="I33" s="651"/>
      <c r="J33" s="25">
        <v>6000</v>
      </c>
      <c r="K33" s="25">
        <v>1</v>
      </c>
      <c r="L33" s="113" t="s">
        <v>425</v>
      </c>
      <c r="M33" s="25" t="e">
        <f>ROUNDUP(#REF!/(J33*K33),0)</f>
        <v>#REF!</v>
      </c>
      <c r="N33" s="25" t="e">
        <f>ROUNDUP(M33*0.2,0)+2</f>
        <v>#REF!</v>
      </c>
      <c r="O33" s="66" t="s">
        <v>478</v>
      </c>
      <c r="P33" s="94" t="e">
        <f>M33+N33-O33</f>
        <v>#REF!</v>
      </c>
      <c r="Q33" s="95" t="e">
        <f t="shared" si="3"/>
        <v>#REF!</v>
      </c>
      <c r="R33" s="109" t="s">
        <v>710</v>
      </c>
      <c r="S33" s="652" t="s">
        <v>479</v>
      </c>
      <c r="T33" s="623"/>
      <c r="U33" s="624"/>
    </row>
    <row r="34" spans="1:21" ht="15" customHeight="1">
      <c r="A34" s="739" t="s">
        <v>480</v>
      </c>
      <c r="B34" s="661" t="s">
        <v>10</v>
      </c>
      <c r="C34" s="661"/>
      <c r="D34" s="661" t="s">
        <v>43</v>
      </c>
      <c r="E34" s="661"/>
      <c r="F34" s="659" t="s">
        <v>185</v>
      </c>
      <c r="G34" s="659"/>
      <c r="H34" s="659"/>
      <c r="I34" s="659"/>
      <c r="J34" s="8">
        <v>8000</v>
      </c>
      <c r="K34" s="8">
        <v>4</v>
      </c>
      <c r="L34" s="88"/>
      <c r="M34" s="8" t="e">
        <f>ROUNDUP(#REF!/(J34*K34),0)</f>
        <v>#REF!</v>
      </c>
      <c r="N34" s="8" t="e">
        <f t="shared" si="1"/>
        <v>#REF!</v>
      </c>
      <c r="O34" s="1217" t="s">
        <v>481</v>
      </c>
      <c r="P34" s="89" t="e">
        <f>ROUNDUP((M34+N34-O34)/10,0)</f>
        <v>#REF!</v>
      </c>
      <c r="Q34" s="90" t="e">
        <f>IF((M34+N34-O34)&lt;=0,0,P34)</f>
        <v>#REF!</v>
      </c>
      <c r="R34" s="1020" t="s">
        <v>482</v>
      </c>
      <c r="S34" s="660" t="s">
        <v>483</v>
      </c>
      <c r="T34" s="660"/>
      <c r="U34" s="660"/>
    </row>
    <row r="35" spans="1:21" ht="15" customHeight="1">
      <c r="A35" s="739"/>
      <c r="B35" s="661" t="s">
        <v>13</v>
      </c>
      <c r="C35" s="661"/>
      <c r="D35" s="661" t="s">
        <v>49</v>
      </c>
      <c r="E35" s="661"/>
      <c r="F35" s="659" t="s">
        <v>69</v>
      </c>
      <c r="G35" s="659"/>
      <c r="H35" s="659"/>
      <c r="I35" s="659"/>
      <c r="J35" s="8"/>
      <c r="K35" s="8"/>
      <c r="L35" s="88"/>
      <c r="M35" s="8"/>
      <c r="N35" s="8"/>
      <c r="O35" s="1218"/>
      <c r="P35" s="51"/>
      <c r="Q35" s="92"/>
      <c r="R35" s="673"/>
      <c r="S35" s="660"/>
      <c r="T35" s="660"/>
      <c r="U35" s="660"/>
    </row>
    <row r="36" spans="1:21" ht="15" customHeight="1">
      <c r="A36" s="59" t="s">
        <v>484</v>
      </c>
      <c r="B36" s="650" t="s">
        <v>485</v>
      </c>
      <c r="C36" s="650"/>
      <c r="D36" s="650" t="s">
        <v>468</v>
      </c>
      <c r="E36" s="650"/>
      <c r="F36" s="651" t="s">
        <v>486</v>
      </c>
      <c r="G36" s="651"/>
      <c r="H36" s="651"/>
      <c r="I36" s="651"/>
      <c r="J36" s="25">
        <v>5000</v>
      </c>
      <c r="K36" s="25">
        <v>1</v>
      </c>
      <c r="L36" s="113" t="s">
        <v>425</v>
      </c>
      <c r="M36" s="25" t="e">
        <f>ROUNDUP(#REF!/(J36*K36),0)</f>
        <v>#REF!</v>
      </c>
      <c r="N36" s="25" t="e">
        <f>ROUNDUP(M36*0.3,0)+2</f>
        <v>#REF!</v>
      </c>
      <c r="O36" s="66"/>
      <c r="P36" s="94" t="e">
        <f>M36+N36-O36</f>
        <v>#REF!</v>
      </c>
      <c r="Q36" s="95" t="e">
        <f t="shared" ref="Q36" si="6">IF((M36+N36-O36)&lt;=0,0,P36)</f>
        <v>#REF!</v>
      </c>
      <c r="R36" s="114"/>
      <c r="S36" s="652" t="s">
        <v>487</v>
      </c>
      <c r="T36" s="623"/>
      <c r="U36" s="624"/>
    </row>
    <row r="37" spans="1:21" ht="6" customHeight="1">
      <c r="R37" s="115"/>
    </row>
    <row r="38" spans="1:21" ht="15" customHeight="1">
      <c r="A38" s="116" t="s">
        <v>488</v>
      </c>
    </row>
    <row r="41" spans="1:21" ht="3.75" customHeight="1"/>
    <row r="42" spans="1:21" ht="13.5" customHeight="1"/>
    <row r="43" spans="1:21" ht="13.5" customHeight="1"/>
  </sheetData>
  <mergeCells count="153">
    <mergeCell ref="S34:U35"/>
    <mergeCell ref="B35:C35"/>
    <mergeCell ref="D35:E35"/>
    <mergeCell ref="F35:I35"/>
    <mergeCell ref="B36:C36"/>
    <mergeCell ref="D36:E36"/>
    <mergeCell ref="F36:I36"/>
    <mergeCell ref="S36:U36"/>
    <mergeCell ref="B33:C33"/>
    <mergeCell ref="D33:E33"/>
    <mergeCell ref="F33:I33"/>
    <mergeCell ref="S33:U33"/>
    <mergeCell ref="A34:A35"/>
    <mergeCell ref="B34:C34"/>
    <mergeCell ref="D34:E34"/>
    <mergeCell ref="F34:I34"/>
    <mergeCell ref="O34:O35"/>
    <mergeCell ref="R34:R35"/>
    <mergeCell ref="B31:C31"/>
    <mergeCell ref="D31:E31"/>
    <mergeCell ref="F31:I31"/>
    <mergeCell ref="S31:U31"/>
    <mergeCell ref="B32:C32"/>
    <mergeCell ref="D32:E32"/>
    <mergeCell ref="F32:I32"/>
    <mergeCell ref="S32:U32"/>
    <mergeCell ref="S28:U29"/>
    <mergeCell ref="B29:C29"/>
    <mergeCell ref="D29:E29"/>
    <mergeCell ref="F29:I29"/>
    <mergeCell ref="B30:C30"/>
    <mergeCell ref="D30:E30"/>
    <mergeCell ref="F30:I30"/>
    <mergeCell ref="S30:U30"/>
    <mergeCell ref="B27:C27"/>
    <mergeCell ref="D27:E27"/>
    <mergeCell ref="F27:I27"/>
    <mergeCell ref="S27:U27"/>
    <mergeCell ref="A28:A29"/>
    <mergeCell ref="B28:C28"/>
    <mergeCell ref="D28:E28"/>
    <mergeCell ref="F28:I28"/>
    <mergeCell ref="O28:O29"/>
    <mergeCell ref="R28:R29"/>
    <mergeCell ref="S24:U26"/>
    <mergeCell ref="B25:C25"/>
    <mergeCell ref="D25:E25"/>
    <mergeCell ref="F25:I25"/>
    <mergeCell ref="B26:C26"/>
    <mergeCell ref="D26:E26"/>
    <mergeCell ref="F26:I26"/>
    <mergeCell ref="A24:A26"/>
    <mergeCell ref="B24:C24"/>
    <mergeCell ref="D24:E24"/>
    <mergeCell ref="F24:I24"/>
    <mergeCell ref="O24:O26"/>
    <mergeCell ref="R24:R26"/>
    <mergeCell ref="S21:U23"/>
    <mergeCell ref="B22:C22"/>
    <mergeCell ref="D22:E22"/>
    <mergeCell ref="F22:I22"/>
    <mergeCell ref="B23:C23"/>
    <mergeCell ref="D23:E23"/>
    <mergeCell ref="F23:I23"/>
    <mergeCell ref="A21:A23"/>
    <mergeCell ref="B21:C21"/>
    <mergeCell ref="D21:E21"/>
    <mergeCell ref="F21:I21"/>
    <mergeCell ref="O21:O23"/>
    <mergeCell ref="R21:R23"/>
    <mergeCell ref="B16:C16"/>
    <mergeCell ref="D16:E16"/>
    <mergeCell ref="F16:I16"/>
    <mergeCell ref="S16:U16"/>
    <mergeCell ref="B19:C19"/>
    <mergeCell ref="D19:E19"/>
    <mergeCell ref="F19:I19"/>
    <mergeCell ref="S19:U19"/>
    <mergeCell ref="B20:C20"/>
    <mergeCell ref="D20:E20"/>
    <mergeCell ref="F20:I20"/>
    <mergeCell ref="S20:U20"/>
    <mergeCell ref="B17:C17"/>
    <mergeCell ref="D17:E17"/>
    <mergeCell ref="F17:I17"/>
    <mergeCell ref="S17:U17"/>
    <mergeCell ref="B18:C18"/>
    <mergeCell ref="D18:E18"/>
    <mergeCell ref="F18:I18"/>
    <mergeCell ref="S18:U18"/>
    <mergeCell ref="A14:A15"/>
    <mergeCell ref="B14:C14"/>
    <mergeCell ref="D14:E14"/>
    <mergeCell ref="F14:I14"/>
    <mergeCell ref="O14:O15"/>
    <mergeCell ref="R14:R15"/>
    <mergeCell ref="S14:U15"/>
    <mergeCell ref="B15:C15"/>
    <mergeCell ref="D15:E15"/>
    <mergeCell ref="F15:I15"/>
    <mergeCell ref="A12:A13"/>
    <mergeCell ref="B12:C12"/>
    <mergeCell ref="D12:E12"/>
    <mergeCell ref="F12:I12"/>
    <mergeCell ref="O12:O13"/>
    <mergeCell ref="R12:R13"/>
    <mergeCell ref="S12:U13"/>
    <mergeCell ref="B13:C13"/>
    <mergeCell ref="D13:E13"/>
    <mergeCell ref="F13:I13"/>
    <mergeCell ref="A10:A11"/>
    <mergeCell ref="B10:C10"/>
    <mergeCell ref="D10:E10"/>
    <mergeCell ref="F10:I10"/>
    <mergeCell ref="O10:O11"/>
    <mergeCell ref="R10:R11"/>
    <mergeCell ref="S10:U11"/>
    <mergeCell ref="B11:C11"/>
    <mergeCell ref="D11:E11"/>
    <mergeCell ref="F11:I11"/>
    <mergeCell ref="O8:O9"/>
    <mergeCell ref="S4:U5"/>
    <mergeCell ref="A6:A7"/>
    <mergeCell ref="B6:C6"/>
    <mergeCell ref="D6:E6"/>
    <mergeCell ref="F6:I6"/>
    <mergeCell ref="O6:O7"/>
    <mergeCell ref="R6:R7"/>
    <mergeCell ref="S6:U7"/>
    <mergeCell ref="B7:C7"/>
    <mergeCell ref="D7:E7"/>
    <mergeCell ref="M4:M5"/>
    <mergeCell ref="N4:N5"/>
    <mergeCell ref="O4:O5"/>
    <mergeCell ref="P4:P5"/>
    <mergeCell ref="Q4:Q5"/>
    <mergeCell ref="R4:R5"/>
    <mergeCell ref="A4:A5"/>
    <mergeCell ref="B4:C5"/>
    <mergeCell ref="R8:R9"/>
    <mergeCell ref="S8:U9"/>
    <mergeCell ref="B9:C9"/>
    <mergeCell ref="D9:E9"/>
    <mergeCell ref="F9:I9"/>
    <mergeCell ref="D4:E5"/>
    <mergeCell ref="F4:I5"/>
    <mergeCell ref="J4:J5"/>
    <mergeCell ref="K4:K5"/>
    <mergeCell ref="F7:I7"/>
    <mergeCell ref="A8:A9"/>
    <mergeCell ref="B8:C8"/>
    <mergeCell ref="D8:E8"/>
    <mergeCell ref="F8:I8"/>
  </mergeCells>
  <phoneticPr fontId="11"/>
  <pageMargins left="0.70866141732283472" right="0.70866141732283472" top="0.74803149606299213" bottom="0.74803149606299213" header="0.31496062992125984" footer="0.31496062992125984"/>
  <pageSetup paperSize="9" scale="83" fitToWidth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F529-8CE7-4EC7-87A8-88CB0D57ACEA}">
  <sheetPr>
    <pageSetUpPr fitToPage="1"/>
  </sheetPr>
  <dimension ref="A1:P43"/>
  <sheetViews>
    <sheetView workbookViewId="0">
      <selection activeCell="D11" sqref="D11:I11"/>
    </sheetView>
  </sheetViews>
  <sheetFormatPr defaultColWidth="9" defaultRowHeight="18"/>
  <cols>
    <col min="1" max="1" width="6.59765625" style="1" customWidth="1"/>
    <col min="2" max="4" width="7.59765625" style="1" customWidth="1"/>
    <col min="5" max="5" width="3.5" style="1" customWidth="1"/>
    <col min="6" max="8" width="7.59765625" style="1" customWidth="1"/>
    <col min="9" max="9" width="4.8984375" style="1" customWidth="1"/>
    <col min="10" max="10" width="0" style="1" hidden="1" customWidth="1"/>
    <col min="11" max="11" width="20.59765625" style="1" customWidth="1"/>
    <col min="12" max="12" width="0" style="1" hidden="1" customWidth="1"/>
    <col min="13" max="13" width="20.59765625" style="1" customWidth="1"/>
    <col min="14" max="16" width="7.59765625" style="1" customWidth="1"/>
    <col min="17" max="16384" width="9" style="1"/>
  </cols>
  <sheetData>
    <row r="1" spans="1:16" ht="18.75" customHeight="1">
      <c r="A1" s="125" t="s">
        <v>724</v>
      </c>
      <c r="N1" s="7"/>
    </row>
    <row r="2" spans="1:16" ht="18.75" customHeight="1">
      <c r="A2" s="166" t="s">
        <v>725</v>
      </c>
    </row>
    <row r="3" spans="1:16" ht="15" customHeight="1">
      <c r="A3" s="49" t="s">
        <v>366</v>
      </c>
    </row>
    <row r="4" spans="1:16" ht="15" customHeight="1">
      <c r="A4" s="710" t="s">
        <v>2</v>
      </c>
      <c r="B4" s="712" t="s">
        <v>3</v>
      </c>
      <c r="C4" s="712"/>
      <c r="D4" s="650" t="s">
        <v>4</v>
      </c>
      <c r="E4" s="650"/>
      <c r="F4" s="712" t="s">
        <v>5</v>
      </c>
      <c r="G4" s="712"/>
      <c r="H4" s="712"/>
      <c r="I4" s="712"/>
      <c r="J4" s="650" t="s">
        <v>103</v>
      </c>
      <c r="K4" s="1261" t="s">
        <v>6</v>
      </c>
      <c r="L4" s="1454" t="s">
        <v>104</v>
      </c>
      <c r="M4" s="1282" t="s">
        <v>105</v>
      </c>
      <c r="N4" s="1430" t="s">
        <v>8</v>
      </c>
      <c r="O4" s="1431"/>
      <c r="P4" s="1432"/>
    </row>
    <row r="5" spans="1:16" ht="15" customHeight="1">
      <c r="A5" s="711"/>
      <c r="B5" s="712"/>
      <c r="C5" s="712"/>
      <c r="D5" s="650"/>
      <c r="E5" s="650"/>
      <c r="F5" s="712"/>
      <c r="G5" s="712"/>
      <c r="H5" s="712"/>
      <c r="I5" s="712"/>
      <c r="J5" s="650"/>
      <c r="K5" s="1261"/>
      <c r="L5" s="1454"/>
      <c r="M5" s="1283"/>
      <c r="N5" s="1430"/>
      <c r="O5" s="1431"/>
      <c r="P5" s="1432"/>
    </row>
    <row r="6" spans="1:16" ht="15" customHeight="1">
      <c r="A6" s="718" t="s">
        <v>233</v>
      </c>
      <c r="B6" s="661" t="s">
        <v>10</v>
      </c>
      <c r="C6" s="661"/>
      <c r="D6" s="661" t="s">
        <v>43</v>
      </c>
      <c r="E6" s="661"/>
      <c r="F6" s="659" t="s">
        <v>185</v>
      </c>
      <c r="G6" s="659"/>
      <c r="H6" s="659"/>
      <c r="I6" s="659"/>
      <c r="J6" s="8"/>
      <c r="K6" s="1455"/>
      <c r="L6" s="167"/>
      <c r="M6" s="1457"/>
      <c r="N6" s="656" t="s">
        <v>726</v>
      </c>
      <c r="O6" s="657"/>
      <c r="P6" s="658"/>
    </row>
    <row r="7" spans="1:16" ht="15" customHeight="1">
      <c r="A7" s="665"/>
      <c r="B7" s="661" t="s">
        <v>13</v>
      </c>
      <c r="C7" s="661"/>
      <c r="D7" s="661" t="s">
        <v>49</v>
      </c>
      <c r="E7" s="661"/>
      <c r="F7" s="659" t="s">
        <v>69</v>
      </c>
      <c r="G7" s="659"/>
      <c r="H7" s="659"/>
      <c r="I7" s="659"/>
      <c r="J7" s="8">
        <v>1000</v>
      </c>
      <c r="K7" s="1456"/>
      <c r="L7" s="167"/>
      <c r="M7" s="1458"/>
      <c r="N7" s="634"/>
      <c r="O7" s="635"/>
      <c r="P7" s="636"/>
    </row>
    <row r="8" spans="1:16" ht="15" customHeight="1">
      <c r="A8" s="1135" t="s">
        <v>298</v>
      </c>
      <c r="B8" s="700" t="s">
        <v>10</v>
      </c>
      <c r="C8" s="701"/>
      <c r="D8" s="661" t="s">
        <v>43</v>
      </c>
      <c r="E8" s="661"/>
      <c r="F8" s="659" t="s">
        <v>727</v>
      </c>
      <c r="G8" s="659"/>
      <c r="H8" s="659"/>
      <c r="I8" s="659"/>
      <c r="J8" s="8">
        <v>401</v>
      </c>
      <c r="K8" s="1455" t="s">
        <v>728</v>
      </c>
      <c r="L8" s="167"/>
      <c r="M8" s="1457"/>
      <c r="N8" s="656" t="s">
        <v>68</v>
      </c>
      <c r="O8" s="657"/>
      <c r="P8" s="658"/>
    </row>
    <row r="9" spans="1:16" ht="15" customHeight="1">
      <c r="A9" s="1137"/>
      <c r="B9" s="661" t="s">
        <v>13</v>
      </c>
      <c r="C9" s="661"/>
      <c r="D9" s="661" t="s">
        <v>11</v>
      </c>
      <c r="E9" s="661"/>
      <c r="F9" s="659" t="s">
        <v>328</v>
      </c>
      <c r="G9" s="659"/>
      <c r="H9" s="659"/>
      <c r="I9" s="659"/>
      <c r="J9" s="8">
        <v>2999</v>
      </c>
      <c r="K9" s="1456"/>
      <c r="L9" s="168"/>
      <c r="M9" s="1458"/>
      <c r="N9" s="634"/>
      <c r="O9" s="635"/>
      <c r="P9" s="636"/>
    </row>
    <row r="10" spans="1:16" ht="15" customHeight="1">
      <c r="A10" s="718" t="s">
        <v>242</v>
      </c>
      <c r="B10" s="661" t="s">
        <v>35</v>
      </c>
      <c r="C10" s="661"/>
      <c r="D10" s="661" t="s">
        <v>11</v>
      </c>
      <c r="E10" s="661"/>
      <c r="F10" s="659" t="s">
        <v>118</v>
      </c>
      <c r="G10" s="659"/>
      <c r="H10" s="659"/>
      <c r="I10" s="659"/>
      <c r="J10" s="8"/>
      <c r="K10" s="1455"/>
      <c r="L10" s="169"/>
      <c r="M10" s="1461"/>
      <c r="N10" s="656" t="s">
        <v>38</v>
      </c>
      <c r="O10" s="657"/>
      <c r="P10" s="658"/>
    </row>
    <row r="11" spans="1:16" ht="15" customHeight="1">
      <c r="A11" s="665"/>
      <c r="B11" s="661" t="s">
        <v>119</v>
      </c>
      <c r="C11" s="661"/>
      <c r="D11" s="661" t="s">
        <v>11</v>
      </c>
      <c r="E11" s="661"/>
      <c r="F11" s="659" t="s">
        <v>120</v>
      </c>
      <c r="G11" s="659"/>
      <c r="H11" s="659"/>
      <c r="I11" s="659"/>
      <c r="J11" s="8">
        <v>3000</v>
      </c>
      <c r="K11" s="1456"/>
      <c r="L11" s="168"/>
      <c r="M11" s="1462"/>
      <c r="N11" s="634"/>
      <c r="O11" s="635"/>
      <c r="P11" s="636"/>
    </row>
    <row r="12" spans="1:16" ht="15" customHeight="1">
      <c r="A12" s="60" t="s">
        <v>423</v>
      </c>
      <c r="B12" s="1459" t="s">
        <v>729</v>
      </c>
      <c r="C12" s="1459"/>
      <c r="D12" s="1459" t="s">
        <v>63</v>
      </c>
      <c r="E12" s="1459"/>
      <c r="F12" s="1460" t="s">
        <v>353</v>
      </c>
      <c r="G12" s="1460"/>
      <c r="H12" s="1460"/>
      <c r="I12" s="1460"/>
      <c r="J12" s="170"/>
      <c r="K12" s="171"/>
      <c r="L12" s="169"/>
      <c r="M12" s="171"/>
      <c r="N12" s="652" t="s">
        <v>730</v>
      </c>
      <c r="O12" s="623"/>
      <c r="P12" s="624"/>
    </row>
    <row r="13" spans="1:16" ht="15" customHeight="1">
      <c r="A13" s="60" t="s">
        <v>41</v>
      </c>
      <c r="B13" s="1459" t="s">
        <v>211</v>
      </c>
      <c r="C13" s="1459"/>
      <c r="D13" s="1459" t="s">
        <v>72</v>
      </c>
      <c r="E13" s="1459"/>
      <c r="F13" s="1463" t="s">
        <v>234</v>
      </c>
      <c r="G13" s="1463"/>
      <c r="H13" s="1463"/>
      <c r="I13" s="1463"/>
      <c r="J13" s="170">
        <v>900</v>
      </c>
      <c r="K13" s="172"/>
      <c r="L13" s="168"/>
      <c r="M13" s="172"/>
      <c r="N13" s="652" t="s">
        <v>731</v>
      </c>
      <c r="O13" s="623"/>
      <c r="P13" s="624"/>
    </row>
    <row r="14" spans="1:16" ht="15" customHeight="1">
      <c r="A14" s="60" t="s">
        <v>732</v>
      </c>
      <c r="B14" s="1459" t="s">
        <v>178</v>
      </c>
      <c r="C14" s="1459"/>
      <c r="D14" s="1459" t="s">
        <v>240</v>
      </c>
      <c r="E14" s="1459"/>
      <c r="F14" s="1463" t="s">
        <v>733</v>
      </c>
      <c r="G14" s="1463"/>
      <c r="H14" s="1463"/>
      <c r="I14" s="1463"/>
      <c r="J14" s="170"/>
      <c r="K14" s="171" t="s">
        <v>734</v>
      </c>
      <c r="L14" s="169"/>
      <c r="M14" s="171"/>
      <c r="N14" s="652" t="s">
        <v>735</v>
      </c>
      <c r="O14" s="623"/>
      <c r="P14" s="624"/>
    </row>
    <row r="15" spans="1:16" ht="15" customHeight="1">
      <c r="A15" s="60" t="s">
        <v>434</v>
      </c>
      <c r="B15" s="1459" t="s">
        <v>178</v>
      </c>
      <c r="C15" s="1459"/>
      <c r="D15" s="1459" t="s">
        <v>468</v>
      </c>
      <c r="E15" s="1459"/>
      <c r="F15" s="1460" t="s">
        <v>736</v>
      </c>
      <c r="G15" s="1460"/>
      <c r="H15" s="1460"/>
      <c r="I15" s="1460"/>
      <c r="J15" s="170">
        <v>7000</v>
      </c>
      <c r="K15" s="172" t="s">
        <v>612</v>
      </c>
      <c r="L15" s="167"/>
      <c r="M15" s="172"/>
      <c r="N15" s="660" t="s">
        <v>737</v>
      </c>
      <c r="O15" s="660"/>
      <c r="P15" s="660"/>
    </row>
    <row r="16" spans="1:16" ht="15" customHeight="1">
      <c r="A16" s="60" t="s">
        <v>309</v>
      </c>
      <c r="B16" s="1459" t="s">
        <v>310</v>
      </c>
      <c r="C16" s="1459"/>
      <c r="D16" s="1459" t="s">
        <v>179</v>
      </c>
      <c r="E16" s="1459"/>
      <c r="F16" s="1460" t="s">
        <v>738</v>
      </c>
      <c r="G16" s="1460"/>
      <c r="H16" s="1460"/>
      <c r="I16" s="1460"/>
      <c r="J16" s="170">
        <v>1200</v>
      </c>
      <c r="K16" s="172"/>
      <c r="L16" s="168"/>
      <c r="M16" s="172"/>
      <c r="N16" s="652" t="s">
        <v>739</v>
      </c>
      <c r="O16" s="623"/>
      <c r="P16" s="624"/>
    </row>
    <row r="17" spans="1:16" ht="15" customHeight="1">
      <c r="A17" s="718" t="s">
        <v>740</v>
      </c>
      <c r="B17" s="700" t="s">
        <v>260</v>
      </c>
      <c r="C17" s="701"/>
      <c r="D17" s="661" t="s">
        <v>14</v>
      </c>
      <c r="E17" s="661"/>
      <c r="F17" s="769" t="s">
        <v>741</v>
      </c>
      <c r="G17" s="770"/>
      <c r="H17" s="770"/>
      <c r="I17" s="771"/>
      <c r="J17" s="8">
        <v>1200</v>
      </c>
      <c r="K17" s="1455"/>
      <c r="L17" s="173"/>
      <c r="M17" s="1467"/>
      <c r="N17" s="631" t="s">
        <v>742</v>
      </c>
      <c r="O17" s="632"/>
      <c r="P17" s="633"/>
    </row>
    <row r="18" spans="1:16" ht="15" customHeight="1">
      <c r="A18" s="665"/>
      <c r="B18" s="700" t="s">
        <v>743</v>
      </c>
      <c r="C18" s="701"/>
      <c r="D18" s="661" t="s">
        <v>14</v>
      </c>
      <c r="E18" s="661"/>
      <c r="F18" s="769" t="s">
        <v>744</v>
      </c>
      <c r="G18" s="770"/>
      <c r="H18" s="770"/>
      <c r="I18" s="771"/>
      <c r="J18" s="8">
        <v>1201</v>
      </c>
      <c r="K18" s="1456"/>
      <c r="L18" s="169"/>
      <c r="M18" s="1470"/>
      <c r="N18" s="634"/>
      <c r="O18" s="635"/>
      <c r="P18" s="636"/>
    </row>
    <row r="19" spans="1:16" ht="15" customHeight="1">
      <c r="A19" s="1135" t="s">
        <v>57</v>
      </c>
      <c r="B19" s="637" t="s">
        <v>10</v>
      </c>
      <c r="C19" s="637"/>
      <c r="D19" s="661" t="s">
        <v>11</v>
      </c>
      <c r="E19" s="661"/>
      <c r="F19" s="659" t="s">
        <v>745</v>
      </c>
      <c r="G19" s="659"/>
      <c r="H19" s="659"/>
      <c r="I19" s="659"/>
      <c r="J19" s="8">
        <v>1200</v>
      </c>
      <c r="K19" s="1455" t="s">
        <v>746</v>
      </c>
      <c r="L19" s="167"/>
      <c r="M19" s="1467"/>
      <c r="N19" s="656" t="s">
        <v>747</v>
      </c>
      <c r="O19" s="657"/>
      <c r="P19" s="658"/>
    </row>
    <row r="20" spans="1:16" ht="15" customHeight="1">
      <c r="A20" s="1136"/>
      <c r="B20" s="637" t="s">
        <v>81</v>
      </c>
      <c r="C20" s="637"/>
      <c r="D20" s="661" t="s">
        <v>11</v>
      </c>
      <c r="E20" s="661"/>
      <c r="F20" s="653" t="s">
        <v>748</v>
      </c>
      <c r="G20" s="653"/>
      <c r="H20" s="653"/>
      <c r="I20" s="653"/>
      <c r="J20" s="14">
        <v>7002</v>
      </c>
      <c r="K20" s="1465"/>
      <c r="L20" s="168"/>
      <c r="M20" s="1468"/>
      <c r="N20" s="631"/>
      <c r="O20" s="632"/>
      <c r="P20" s="633"/>
    </row>
    <row r="21" spans="1:16" ht="15" customHeight="1" thickBot="1">
      <c r="A21" s="1464"/>
      <c r="B21" s="661" t="s">
        <v>131</v>
      </c>
      <c r="C21" s="661"/>
      <c r="D21" s="661" t="s">
        <v>11</v>
      </c>
      <c r="E21" s="661"/>
      <c r="F21" s="695" t="s">
        <v>749</v>
      </c>
      <c r="G21" s="695"/>
      <c r="H21" s="695"/>
      <c r="I21" s="695"/>
      <c r="J21" s="24">
        <v>7001</v>
      </c>
      <c r="K21" s="1466"/>
      <c r="L21" s="174"/>
      <c r="M21" s="1469"/>
      <c r="N21" s="780"/>
      <c r="O21" s="781"/>
      <c r="P21" s="782"/>
    </row>
    <row r="22" spans="1:16" ht="15" customHeight="1" thickTop="1">
      <c r="A22" s="175" t="s">
        <v>95</v>
      </c>
      <c r="B22" s="1471" t="s">
        <v>164</v>
      </c>
      <c r="C22" s="1471"/>
      <c r="D22" s="1471" t="s">
        <v>63</v>
      </c>
      <c r="E22" s="1471"/>
      <c r="F22" s="1472" t="s">
        <v>750</v>
      </c>
      <c r="G22" s="1472"/>
      <c r="H22" s="1472"/>
      <c r="I22" s="1472"/>
      <c r="J22" s="176"/>
      <c r="K22" s="177"/>
      <c r="L22" s="178"/>
      <c r="M22" s="177"/>
      <c r="N22" s="815" t="s">
        <v>751</v>
      </c>
      <c r="O22" s="816"/>
      <c r="P22" s="817"/>
    </row>
    <row r="23" spans="1:16" ht="15" customHeight="1">
      <c r="A23" s="718" t="s">
        <v>752</v>
      </c>
      <c r="B23" s="661" t="s">
        <v>134</v>
      </c>
      <c r="C23" s="661"/>
      <c r="D23" s="661" t="s">
        <v>11</v>
      </c>
      <c r="E23" s="661"/>
      <c r="F23" s="659" t="s">
        <v>135</v>
      </c>
      <c r="G23" s="659"/>
      <c r="H23" s="659"/>
      <c r="I23" s="659"/>
      <c r="J23" s="8"/>
      <c r="K23" s="1455" t="s">
        <v>753</v>
      </c>
      <c r="L23" s="179"/>
      <c r="M23" s="1467"/>
      <c r="N23" s="656" t="s">
        <v>754</v>
      </c>
      <c r="O23" s="657"/>
      <c r="P23" s="658"/>
    </row>
    <row r="24" spans="1:16" ht="15" customHeight="1">
      <c r="A24" s="664"/>
      <c r="B24" s="637" t="s">
        <v>137</v>
      </c>
      <c r="C24" s="637"/>
      <c r="D24" s="637" t="s">
        <v>11</v>
      </c>
      <c r="E24" s="637"/>
      <c r="F24" s="666" t="s">
        <v>755</v>
      </c>
      <c r="G24" s="667"/>
      <c r="H24" s="667"/>
      <c r="I24" s="667"/>
      <c r="J24" s="13"/>
      <c r="K24" s="1465"/>
      <c r="L24" s="173"/>
      <c r="M24" s="1468"/>
      <c r="N24" s="631"/>
      <c r="O24" s="632"/>
      <c r="P24" s="633"/>
    </row>
    <row r="25" spans="1:16" ht="15" customHeight="1">
      <c r="A25" s="665"/>
      <c r="B25" s="637" t="s">
        <v>83</v>
      </c>
      <c r="C25" s="637"/>
      <c r="D25" s="661" t="s">
        <v>11</v>
      </c>
      <c r="E25" s="661"/>
      <c r="F25" s="662" t="s">
        <v>756</v>
      </c>
      <c r="G25" s="663"/>
      <c r="H25" s="663"/>
      <c r="I25" s="663"/>
      <c r="J25" s="13"/>
      <c r="K25" s="1456"/>
      <c r="L25" s="169"/>
      <c r="M25" s="1470"/>
      <c r="N25" s="634"/>
      <c r="O25" s="635"/>
      <c r="P25" s="636"/>
    </row>
    <row r="26" spans="1:16" ht="15" customHeight="1">
      <c r="A26" s="718" t="s">
        <v>525</v>
      </c>
      <c r="B26" s="637" t="s">
        <v>10</v>
      </c>
      <c r="C26" s="637"/>
      <c r="D26" s="661" t="s">
        <v>11</v>
      </c>
      <c r="E26" s="661"/>
      <c r="F26" s="699" t="s">
        <v>757</v>
      </c>
      <c r="G26" s="699"/>
      <c r="H26" s="699"/>
      <c r="I26" s="699"/>
      <c r="J26" s="13"/>
      <c r="K26" s="1455" t="s">
        <v>758</v>
      </c>
      <c r="L26" s="169"/>
      <c r="M26" s="1473"/>
      <c r="N26" s="656" t="s">
        <v>759</v>
      </c>
      <c r="O26" s="657"/>
      <c r="P26" s="658"/>
    </row>
    <row r="27" spans="1:16" ht="15" customHeight="1">
      <c r="A27" s="664"/>
      <c r="B27" s="637" t="s">
        <v>81</v>
      </c>
      <c r="C27" s="637"/>
      <c r="D27" s="637" t="s">
        <v>11</v>
      </c>
      <c r="E27" s="637"/>
      <c r="F27" s="662" t="s">
        <v>748</v>
      </c>
      <c r="G27" s="663"/>
      <c r="H27" s="663"/>
      <c r="I27" s="663"/>
      <c r="J27" s="13"/>
      <c r="K27" s="1465"/>
      <c r="L27" s="168"/>
      <c r="M27" s="1474"/>
      <c r="N27" s="631"/>
      <c r="O27" s="632"/>
      <c r="P27" s="633"/>
    </row>
    <row r="28" spans="1:16" ht="15" customHeight="1">
      <c r="A28" s="665"/>
      <c r="B28" s="661" t="s">
        <v>131</v>
      </c>
      <c r="C28" s="661"/>
      <c r="D28" s="661" t="s">
        <v>11</v>
      </c>
      <c r="E28" s="661"/>
      <c r="F28" s="662" t="s">
        <v>749</v>
      </c>
      <c r="G28" s="663"/>
      <c r="H28" s="663"/>
      <c r="I28" s="663"/>
      <c r="J28" s="13"/>
      <c r="K28" s="1456"/>
      <c r="L28" s="169"/>
      <c r="M28" s="1475"/>
      <c r="N28" s="634"/>
      <c r="O28" s="635"/>
      <c r="P28" s="636"/>
    </row>
    <row r="29" spans="1:16" ht="15" customHeight="1">
      <c r="A29" s="164" t="s">
        <v>473</v>
      </c>
      <c r="B29" s="1459" t="s">
        <v>211</v>
      </c>
      <c r="C29" s="1459"/>
      <c r="D29" s="1459" t="s">
        <v>72</v>
      </c>
      <c r="E29" s="1459"/>
      <c r="F29" s="1463" t="s">
        <v>234</v>
      </c>
      <c r="G29" s="1463"/>
      <c r="H29" s="1463"/>
      <c r="I29" s="1463"/>
      <c r="J29" s="180"/>
      <c r="K29" s="171"/>
      <c r="L29" s="169"/>
      <c r="M29" s="181"/>
      <c r="N29" s="652" t="s">
        <v>153</v>
      </c>
      <c r="O29" s="623"/>
      <c r="P29" s="624"/>
    </row>
    <row r="30" spans="1:16" ht="15" customHeight="1">
      <c r="A30" s="1135" t="s">
        <v>760</v>
      </c>
      <c r="B30" s="700" t="s">
        <v>10</v>
      </c>
      <c r="C30" s="701"/>
      <c r="D30" s="637" t="s">
        <v>43</v>
      </c>
      <c r="E30" s="637"/>
      <c r="F30" s="653" t="s">
        <v>761</v>
      </c>
      <c r="G30" s="653"/>
      <c r="H30" s="653"/>
      <c r="I30" s="653"/>
      <c r="J30" s="14">
        <v>1000</v>
      </c>
      <c r="K30" s="1455" t="s">
        <v>762</v>
      </c>
      <c r="L30" s="173"/>
      <c r="M30" s="1467"/>
      <c r="N30" s="656" t="s">
        <v>187</v>
      </c>
      <c r="O30" s="657"/>
      <c r="P30" s="658"/>
    </row>
    <row r="31" spans="1:16" ht="15" customHeight="1">
      <c r="A31" s="1137"/>
      <c r="B31" s="661" t="s">
        <v>13</v>
      </c>
      <c r="C31" s="661"/>
      <c r="D31" s="661" t="s">
        <v>11</v>
      </c>
      <c r="E31" s="661"/>
      <c r="F31" s="659" t="s">
        <v>763</v>
      </c>
      <c r="G31" s="659"/>
      <c r="H31" s="659"/>
      <c r="I31" s="659"/>
      <c r="J31" s="8"/>
      <c r="K31" s="1456"/>
      <c r="L31" s="169"/>
      <c r="M31" s="1470"/>
      <c r="N31" s="634"/>
      <c r="O31" s="635"/>
      <c r="P31" s="636"/>
    </row>
    <row r="32" spans="1:16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9" customHeight="1"/>
    <row r="42" ht="15" customHeight="1"/>
    <row r="43" ht="3.75" customHeight="1"/>
  </sheetData>
  <mergeCells count="126">
    <mergeCell ref="N30:P31"/>
    <mergeCell ref="B31:C31"/>
    <mergeCell ref="D31:E31"/>
    <mergeCell ref="F31:I31"/>
    <mergeCell ref="B29:C29"/>
    <mergeCell ref="D29:E29"/>
    <mergeCell ref="F29:I29"/>
    <mergeCell ref="N29:P29"/>
    <mergeCell ref="A30:A31"/>
    <mergeCell ref="B30:C30"/>
    <mergeCell ref="D30:E30"/>
    <mergeCell ref="F30:I30"/>
    <mergeCell ref="K30:K31"/>
    <mergeCell ref="M30:M31"/>
    <mergeCell ref="N26:P28"/>
    <mergeCell ref="B27:C27"/>
    <mergeCell ref="D27:E27"/>
    <mergeCell ref="F27:I27"/>
    <mergeCell ref="B28:C28"/>
    <mergeCell ref="D28:E28"/>
    <mergeCell ref="F28:I28"/>
    <mergeCell ref="A26:A28"/>
    <mergeCell ref="B26:C26"/>
    <mergeCell ref="D26:E26"/>
    <mergeCell ref="F26:I26"/>
    <mergeCell ref="K26:K28"/>
    <mergeCell ref="M26:M28"/>
    <mergeCell ref="A23:A25"/>
    <mergeCell ref="B23:C23"/>
    <mergeCell ref="D23:E23"/>
    <mergeCell ref="F23:I23"/>
    <mergeCell ref="K23:K25"/>
    <mergeCell ref="M23:M25"/>
    <mergeCell ref="N19:P21"/>
    <mergeCell ref="B20:C20"/>
    <mergeCell ref="D20:E20"/>
    <mergeCell ref="F20:I20"/>
    <mergeCell ref="B21:C21"/>
    <mergeCell ref="D21:E21"/>
    <mergeCell ref="F21:I21"/>
    <mergeCell ref="N23:P25"/>
    <mergeCell ref="B24:C24"/>
    <mergeCell ref="D24:E24"/>
    <mergeCell ref="F24:I24"/>
    <mergeCell ref="B25:C25"/>
    <mergeCell ref="D25:E25"/>
    <mergeCell ref="F25:I25"/>
    <mergeCell ref="B22:C22"/>
    <mergeCell ref="D22:E22"/>
    <mergeCell ref="F22:I22"/>
    <mergeCell ref="N22:P22"/>
    <mergeCell ref="N17:P18"/>
    <mergeCell ref="B18:C18"/>
    <mergeCell ref="D18:E18"/>
    <mergeCell ref="F18:I18"/>
    <mergeCell ref="A19:A21"/>
    <mergeCell ref="B19:C19"/>
    <mergeCell ref="D19:E19"/>
    <mergeCell ref="F19:I19"/>
    <mergeCell ref="K19:K21"/>
    <mergeCell ref="M19:M21"/>
    <mergeCell ref="A17:A18"/>
    <mergeCell ref="B17:C17"/>
    <mergeCell ref="D17:E17"/>
    <mergeCell ref="F17:I17"/>
    <mergeCell ref="K17:K18"/>
    <mergeCell ref="M17:M18"/>
    <mergeCell ref="B15:C15"/>
    <mergeCell ref="D15:E15"/>
    <mergeCell ref="F15:I15"/>
    <mergeCell ref="N15:P15"/>
    <mergeCell ref="B16:C16"/>
    <mergeCell ref="D16:E16"/>
    <mergeCell ref="F16:I16"/>
    <mergeCell ref="N16:P16"/>
    <mergeCell ref="B13:C13"/>
    <mergeCell ref="D13:E13"/>
    <mergeCell ref="F13:I13"/>
    <mergeCell ref="N13:P13"/>
    <mergeCell ref="B14:C14"/>
    <mergeCell ref="D14:E14"/>
    <mergeCell ref="F14:I14"/>
    <mergeCell ref="N14:P14"/>
    <mergeCell ref="B12:C12"/>
    <mergeCell ref="D12:E12"/>
    <mergeCell ref="F12:I12"/>
    <mergeCell ref="N12:P12"/>
    <mergeCell ref="A10:A11"/>
    <mergeCell ref="B10:C10"/>
    <mergeCell ref="D10:E10"/>
    <mergeCell ref="F10:I10"/>
    <mergeCell ref="K10:K11"/>
    <mergeCell ref="M10:M11"/>
    <mergeCell ref="D9:E9"/>
    <mergeCell ref="F9:I9"/>
    <mergeCell ref="B7:C7"/>
    <mergeCell ref="D7:E7"/>
    <mergeCell ref="F7:I7"/>
    <mergeCell ref="N10:P11"/>
    <mergeCell ref="B11:C11"/>
    <mergeCell ref="D11:E11"/>
    <mergeCell ref="F11:I11"/>
    <mergeCell ref="A8:A9"/>
    <mergeCell ref="B8:C8"/>
    <mergeCell ref="D8:E8"/>
    <mergeCell ref="F8:I8"/>
    <mergeCell ref="L4:L5"/>
    <mergeCell ref="M4:M5"/>
    <mergeCell ref="N4:P5"/>
    <mergeCell ref="A6:A7"/>
    <mergeCell ref="B6:C6"/>
    <mergeCell ref="D6:E6"/>
    <mergeCell ref="F6:I6"/>
    <mergeCell ref="K6:K7"/>
    <mergeCell ref="M6:M7"/>
    <mergeCell ref="N6:P7"/>
    <mergeCell ref="A4:A5"/>
    <mergeCell ref="B4:C5"/>
    <mergeCell ref="D4:E5"/>
    <mergeCell ref="F4:I5"/>
    <mergeCell ref="J4:J5"/>
    <mergeCell ref="K4:K5"/>
    <mergeCell ref="K8:K9"/>
    <mergeCell ref="M8:M9"/>
    <mergeCell ref="N8:P9"/>
    <mergeCell ref="B9:C9"/>
  </mergeCells>
  <phoneticPr fontId="11"/>
  <pageMargins left="0.70866141732283472" right="0.70866141732283472" top="0.55118110236220474" bottom="0.55118110236220474" header="0.31496062992125984" footer="0.31496062992125984"/>
  <pageSetup paperSize="9" scale="96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C1D7-A061-491C-B228-ABEACF9D9C4A}">
  <dimension ref="A1:P115"/>
  <sheetViews>
    <sheetView view="pageBreakPreview" zoomScaleNormal="100" zoomScaleSheetLayoutView="100" workbookViewId="0">
      <selection activeCell="M21" sqref="M21"/>
    </sheetView>
  </sheetViews>
  <sheetFormatPr defaultColWidth="9" defaultRowHeight="18"/>
  <cols>
    <col min="1" max="1" width="6.59765625" style="1" customWidth="1"/>
    <col min="2" max="3" width="7.59765625" style="1" customWidth="1"/>
    <col min="4" max="5" width="5.5" style="1" customWidth="1"/>
    <col min="6" max="8" width="7.59765625" style="1" customWidth="1"/>
    <col min="9" max="9" width="2.5" style="1" customWidth="1"/>
    <col min="10" max="10" width="0" style="1" hidden="1" customWidth="1"/>
    <col min="11" max="12" width="20.59765625" style="1" customWidth="1"/>
    <col min="13" max="16" width="7.59765625" style="1" customWidth="1"/>
    <col min="17" max="16384" width="9" style="1"/>
  </cols>
  <sheetData>
    <row r="1" spans="1:16" ht="18.75" customHeight="1">
      <c r="A1" s="31" t="s">
        <v>290</v>
      </c>
    </row>
    <row r="2" spans="1:16" ht="18.75" customHeight="1">
      <c r="A2" s="65" t="s">
        <v>291</v>
      </c>
    </row>
    <row r="3" spans="1:16" ht="15" customHeight="1">
      <c r="A3" s="49" t="s">
        <v>366</v>
      </c>
    </row>
    <row r="4" spans="1:16" ht="15" customHeight="1">
      <c r="A4" s="710" t="s">
        <v>2</v>
      </c>
      <c r="B4" s="1377" t="s">
        <v>3</v>
      </c>
      <c r="C4" s="1377"/>
      <c r="D4" s="711" t="s">
        <v>4</v>
      </c>
      <c r="E4" s="711"/>
      <c r="F4" s="1377" t="s">
        <v>5</v>
      </c>
      <c r="G4" s="1377"/>
      <c r="H4" s="1377"/>
      <c r="I4" s="1377"/>
      <c r="J4" s="711" t="s">
        <v>103</v>
      </c>
      <c r="K4" s="715" t="s">
        <v>6</v>
      </c>
      <c r="L4" s="1376" t="s">
        <v>7</v>
      </c>
      <c r="M4" s="185" t="s">
        <v>407</v>
      </c>
      <c r="N4" s="861" t="s">
        <v>8</v>
      </c>
      <c r="O4" s="1374"/>
      <c r="P4" s="862"/>
    </row>
    <row r="5" spans="1:16" ht="15" customHeight="1">
      <c r="A5" s="711"/>
      <c r="B5" s="1377"/>
      <c r="C5" s="1377"/>
      <c r="D5" s="711"/>
      <c r="E5" s="711"/>
      <c r="F5" s="1377"/>
      <c r="G5" s="1377"/>
      <c r="H5" s="1377"/>
      <c r="I5" s="1377"/>
      <c r="J5" s="711"/>
      <c r="K5" s="715"/>
      <c r="L5" s="1376"/>
      <c r="M5" s="186" t="s">
        <v>410</v>
      </c>
      <c r="N5" s="861"/>
      <c r="O5" s="1374"/>
      <c r="P5" s="862"/>
    </row>
    <row r="6" spans="1:16" ht="15" customHeight="1">
      <c r="A6" s="59" t="s">
        <v>106</v>
      </c>
      <c r="B6" s="650" t="s">
        <v>164</v>
      </c>
      <c r="C6" s="650"/>
      <c r="D6" s="650" t="s">
        <v>63</v>
      </c>
      <c r="E6" s="650"/>
      <c r="F6" s="651" t="s">
        <v>292</v>
      </c>
      <c r="G6" s="651"/>
      <c r="H6" s="651"/>
      <c r="I6" s="651"/>
      <c r="J6" s="15">
        <v>1000</v>
      </c>
      <c r="K6" s="66" t="s">
        <v>293</v>
      </c>
      <c r="L6" s="36"/>
      <c r="M6" s="221" t="s">
        <v>425</v>
      </c>
      <c r="N6" s="660" t="s">
        <v>294</v>
      </c>
      <c r="O6" s="660"/>
      <c r="P6" s="660"/>
    </row>
    <row r="7" spans="1:16" ht="15" customHeight="1">
      <c r="A7" s="59" t="s">
        <v>295</v>
      </c>
      <c r="B7" s="650" t="s">
        <v>147</v>
      </c>
      <c r="C7" s="650"/>
      <c r="D7" s="650" t="s">
        <v>179</v>
      </c>
      <c r="E7" s="650"/>
      <c r="F7" s="651" t="s">
        <v>296</v>
      </c>
      <c r="G7" s="651"/>
      <c r="H7" s="651"/>
      <c r="I7" s="651"/>
      <c r="J7" s="15">
        <v>1000</v>
      </c>
      <c r="K7" s="66" t="s">
        <v>777</v>
      </c>
      <c r="L7" s="36" t="s">
        <v>778</v>
      </c>
      <c r="M7" s="221" t="s">
        <v>425</v>
      </c>
      <c r="N7" s="660" t="s">
        <v>297</v>
      </c>
      <c r="O7" s="660"/>
      <c r="P7" s="660"/>
    </row>
    <row r="8" spans="1:16" ht="15" customHeight="1">
      <c r="A8" s="59" t="s">
        <v>298</v>
      </c>
      <c r="B8" s="650" t="s">
        <v>42</v>
      </c>
      <c r="C8" s="650"/>
      <c r="D8" s="650" t="s">
        <v>299</v>
      </c>
      <c r="E8" s="650"/>
      <c r="F8" s="651" t="s">
        <v>300</v>
      </c>
      <c r="G8" s="651"/>
      <c r="H8" s="651"/>
      <c r="I8" s="651"/>
      <c r="J8" s="15"/>
      <c r="K8" s="66" t="s">
        <v>301</v>
      </c>
      <c r="L8" s="36"/>
      <c r="M8" s="221" t="s">
        <v>425</v>
      </c>
      <c r="N8" s="660" t="s">
        <v>302</v>
      </c>
      <c r="O8" s="660"/>
      <c r="P8" s="660"/>
    </row>
    <row r="9" spans="1:16" ht="15" customHeight="1">
      <c r="A9" s="614" t="s">
        <v>117</v>
      </c>
      <c r="B9" s="661" t="s">
        <v>35</v>
      </c>
      <c r="C9" s="661"/>
      <c r="D9" s="661" t="s">
        <v>11</v>
      </c>
      <c r="E9" s="661"/>
      <c r="F9" s="699" t="s">
        <v>303</v>
      </c>
      <c r="G9" s="699"/>
      <c r="H9" s="699"/>
      <c r="I9" s="699"/>
      <c r="J9" s="8">
        <v>900</v>
      </c>
      <c r="K9" s="1217"/>
      <c r="L9" s="802"/>
      <c r="M9" s="1114"/>
      <c r="N9" s="660" t="s">
        <v>38</v>
      </c>
      <c r="O9" s="660"/>
      <c r="P9" s="660"/>
    </row>
    <row r="10" spans="1:16" ht="15" customHeight="1">
      <c r="A10" s="616"/>
      <c r="B10" s="661" t="s">
        <v>304</v>
      </c>
      <c r="C10" s="661"/>
      <c r="D10" s="661" t="s">
        <v>11</v>
      </c>
      <c r="E10" s="661"/>
      <c r="F10" s="699" t="s">
        <v>120</v>
      </c>
      <c r="G10" s="699"/>
      <c r="H10" s="699"/>
      <c r="I10" s="699"/>
      <c r="J10" s="8">
        <v>900</v>
      </c>
      <c r="K10" s="1218"/>
      <c r="L10" s="803"/>
      <c r="M10" s="1115"/>
      <c r="N10" s="660"/>
      <c r="O10" s="660"/>
      <c r="P10" s="660"/>
    </row>
    <row r="11" spans="1:16" ht="15" customHeight="1">
      <c r="A11" s="59" t="s">
        <v>41</v>
      </c>
      <c r="B11" s="650" t="s">
        <v>305</v>
      </c>
      <c r="C11" s="650"/>
      <c r="D11" s="650" t="s">
        <v>306</v>
      </c>
      <c r="E11" s="650"/>
      <c r="F11" s="651" t="s">
        <v>307</v>
      </c>
      <c r="G11" s="651"/>
      <c r="H11" s="651"/>
      <c r="I11" s="651"/>
      <c r="J11" s="15"/>
      <c r="K11" s="66"/>
      <c r="L11" s="36"/>
      <c r="M11" s="97" t="s">
        <v>436</v>
      </c>
      <c r="N11" s="660" t="s">
        <v>308</v>
      </c>
      <c r="O11" s="660"/>
      <c r="P11" s="660"/>
    </row>
    <row r="12" spans="1:16" ht="15" customHeight="1">
      <c r="A12" s="59" t="s">
        <v>309</v>
      </c>
      <c r="B12" s="650" t="s">
        <v>310</v>
      </c>
      <c r="C12" s="650"/>
      <c r="D12" s="650" t="s">
        <v>311</v>
      </c>
      <c r="E12" s="650"/>
      <c r="F12" s="651" t="s">
        <v>312</v>
      </c>
      <c r="G12" s="651"/>
      <c r="H12" s="651"/>
      <c r="I12" s="651"/>
      <c r="J12" s="15"/>
      <c r="K12" s="66"/>
      <c r="L12" s="36"/>
      <c r="M12" s="221" t="s">
        <v>425</v>
      </c>
      <c r="N12" s="660" t="s">
        <v>313</v>
      </c>
      <c r="O12" s="660"/>
      <c r="P12" s="660"/>
    </row>
    <row r="13" spans="1:16" ht="15" customHeight="1">
      <c r="A13" s="59" t="s">
        <v>57</v>
      </c>
      <c r="B13" s="650" t="s">
        <v>164</v>
      </c>
      <c r="C13" s="650"/>
      <c r="D13" s="650" t="s">
        <v>63</v>
      </c>
      <c r="E13" s="650"/>
      <c r="F13" s="651" t="s">
        <v>292</v>
      </c>
      <c r="G13" s="651"/>
      <c r="H13" s="651"/>
      <c r="I13" s="651"/>
      <c r="J13" s="15">
        <v>1000</v>
      </c>
      <c r="K13" s="66"/>
      <c r="L13" s="36"/>
      <c r="M13" s="97" t="s">
        <v>470</v>
      </c>
      <c r="N13" s="660" t="s">
        <v>287</v>
      </c>
      <c r="O13" s="660"/>
      <c r="P13" s="660"/>
    </row>
    <row r="14" spans="1:16" ht="15" customHeight="1">
      <c r="A14" s="59" t="s">
        <v>314</v>
      </c>
      <c r="B14" s="650" t="s">
        <v>147</v>
      </c>
      <c r="C14" s="650"/>
      <c r="D14" s="650" t="s">
        <v>311</v>
      </c>
      <c r="E14" s="650"/>
      <c r="F14" s="651" t="s">
        <v>315</v>
      </c>
      <c r="G14" s="651"/>
      <c r="H14" s="651"/>
      <c r="I14" s="651"/>
      <c r="J14" s="15"/>
      <c r="K14" s="66" t="s">
        <v>316</v>
      </c>
      <c r="L14" s="36"/>
      <c r="M14" s="221" t="s">
        <v>425</v>
      </c>
      <c r="N14" s="660" t="s">
        <v>317</v>
      </c>
      <c r="O14" s="660"/>
      <c r="P14" s="660"/>
    </row>
    <row r="15" spans="1:16" ht="15" customHeight="1">
      <c r="A15" s="59" t="s">
        <v>259</v>
      </c>
      <c r="B15" s="650" t="s">
        <v>147</v>
      </c>
      <c r="C15" s="650"/>
      <c r="D15" s="650" t="s">
        <v>311</v>
      </c>
      <c r="E15" s="650"/>
      <c r="F15" s="651" t="s">
        <v>318</v>
      </c>
      <c r="G15" s="651"/>
      <c r="H15" s="651"/>
      <c r="I15" s="651"/>
      <c r="J15" s="15"/>
      <c r="K15" s="66" t="s">
        <v>319</v>
      </c>
      <c r="L15" s="36"/>
      <c r="M15" s="97" t="s">
        <v>704</v>
      </c>
      <c r="N15" s="660" t="s">
        <v>320</v>
      </c>
      <c r="O15" s="660"/>
      <c r="P15" s="660"/>
    </row>
    <row r="16" spans="1:16" ht="15" customHeight="1">
      <c r="A16" s="614" t="s">
        <v>321</v>
      </c>
      <c r="B16" s="661" t="s">
        <v>199</v>
      </c>
      <c r="C16" s="661"/>
      <c r="D16" s="661" t="s">
        <v>11</v>
      </c>
      <c r="E16" s="661"/>
      <c r="F16" s="659" t="s">
        <v>322</v>
      </c>
      <c r="G16" s="659"/>
      <c r="H16" s="659"/>
      <c r="I16" s="659"/>
      <c r="J16" s="8">
        <v>3000</v>
      </c>
      <c r="K16" s="1217"/>
      <c r="L16" s="802"/>
      <c r="M16" s="1114"/>
      <c r="N16" s="660" t="s">
        <v>323</v>
      </c>
      <c r="O16" s="660"/>
      <c r="P16" s="660"/>
    </row>
    <row r="17" spans="1:16" ht="15" customHeight="1">
      <c r="A17" s="616"/>
      <c r="B17" s="661" t="s">
        <v>202</v>
      </c>
      <c r="C17" s="661"/>
      <c r="D17" s="661" t="s">
        <v>11</v>
      </c>
      <c r="E17" s="661"/>
      <c r="F17" s="659" t="s">
        <v>324</v>
      </c>
      <c r="G17" s="659"/>
      <c r="H17" s="659"/>
      <c r="I17" s="659"/>
      <c r="J17" s="8">
        <v>3000</v>
      </c>
      <c r="K17" s="1218"/>
      <c r="L17" s="803"/>
      <c r="M17" s="1115"/>
      <c r="N17" s="660"/>
      <c r="O17" s="660"/>
      <c r="P17" s="660"/>
    </row>
    <row r="18" spans="1:16" ht="15" customHeight="1">
      <c r="A18" s="739" t="s">
        <v>325</v>
      </c>
      <c r="B18" s="661" t="s">
        <v>10</v>
      </c>
      <c r="C18" s="661"/>
      <c r="D18" s="661" t="s">
        <v>17</v>
      </c>
      <c r="E18" s="661"/>
      <c r="F18" s="659" t="s">
        <v>326</v>
      </c>
      <c r="G18" s="659"/>
      <c r="H18" s="659"/>
      <c r="I18" s="659"/>
      <c r="J18" s="8">
        <v>701</v>
      </c>
      <c r="K18" s="1217" t="s">
        <v>327</v>
      </c>
      <c r="L18" s="802"/>
      <c r="M18" s="1114"/>
      <c r="N18" s="660" t="s">
        <v>68</v>
      </c>
      <c r="O18" s="660"/>
      <c r="P18" s="660"/>
    </row>
    <row r="19" spans="1:16" ht="15" customHeight="1" thickBot="1">
      <c r="A19" s="1476"/>
      <c r="B19" s="693" t="s">
        <v>13</v>
      </c>
      <c r="C19" s="694"/>
      <c r="D19" s="693" t="s">
        <v>11</v>
      </c>
      <c r="E19" s="694"/>
      <c r="F19" s="695" t="s">
        <v>328</v>
      </c>
      <c r="G19" s="695"/>
      <c r="H19" s="695"/>
      <c r="I19" s="695"/>
      <c r="J19" s="24">
        <v>702</v>
      </c>
      <c r="K19" s="1477"/>
      <c r="L19" s="1221"/>
      <c r="M19" s="1129"/>
      <c r="N19" s="692"/>
      <c r="O19" s="692"/>
      <c r="P19" s="692"/>
    </row>
    <row r="20" spans="1:16" ht="15" customHeight="1" thickTop="1">
      <c r="A20" s="59" t="s">
        <v>329</v>
      </c>
      <c r="B20" s="706" t="s">
        <v>330</v>
      </c>
      <c r="C20" s="706"/>
      <c r="D20" s="706" t="s">
        <v>331</v>
      </c>
      <c r="E20" s="706"/>
      <c r="F20" s="707" t="s">
        <v>332</v>
      </c>
      <c r="G20" s="707"/>
      <c r="H20" s="707"/>
      <c r="I20" s="707"/>
      <c r="J20" s="15"/>
      <c r="K20" s="66"/>
      <c r="L20" s="36" t="s">
        <v>333</v>
      </c>
      <c r="M20" s="220" t="s">
        <v>425</v>
      </c>
      <c r="N20" s="708" t="s">
        <v>334</v>
      </c>
      <c r="O20" s="708"/>
      <c r="P20" s="708"/>
    </row>
    <row r="21" spans="1:16" ht="15" customHeight="1">
      <c r="A21" s="59" t="s">
        <v>335</v>
      </c>
      <c r="B21" s="650" t="s">
        <v>336</v>
      </c>
      <c r="C21" s="650"/>
      <c r="D21" s="650" t="s">
        <v>311</v>
      </c>
      <c r="E21" s="650"/>
      <c r="F21" s="651" t="s">
        <v>337</v>
      </c>
      <c r="G21" s="651"/>
      <c r="H21" s="651"/>
      <c r="I21" s="651"/>
      <c r="J21" s="15"/>
      <c r="K21" s="66"/>
      <c r="L21" s="36" t="s">
        <v>364</v>
      </c>
      <c r="M21" s="97" t="s">
        <v>436</v>
      </c>
      <c r="N21" s="660" t="s">
        <v>338</v>
      </c>
      <c r="O21" s="660"/>
      <c r="P21" s="660"/>
    </row>
    <row r="22" spans="1:16" ht="15" customHeight="1">
      <c r="A22" s="614" t="s">
        <v>133</v>
      </c>
      <c r="B22" s="650" t="s">
        <v>227</v>
      </c>
      <c r="C22" s="650"/>
      <c r="D22" s="650" t="s">
        <v>339</v>
      </c>
      <c r="E22" s="650"/>
      <c r="F22" s="651" t="s">
        <v>340</v>
      </c>
      <c r="G22" s="651"/>
      <c r="H22" s="651"/>
      <c r="I22" s="651"/>
      <c r="J22" s="15"/>
      <c r="K22" s="1407" t="s">
        <v>723</v>
      </c>
      <c r="L22" s="1023"/>
      <c r="M22" s="1478"/>
      <c r="N22" s="656" t="s">
        <v>341</v>
      </c>
      <c r="O22" s="657"/>
      <c r="P22" s="658"/>
    </row>
    <row r="23" spans="1:16" ht="15" customHeight="1">
      <c r="A23" s="616"/>
      <c r="B23" s="715" t="s">
        <v>131</v>
      </c>
      <c r="C23" s="715"/>
      <c r="D23" s="715" t="s">
        <v>339</v>
      </c>
      <c r="E23" s="715"/>
      <c r="F23" s="1481" t="s">
        <v>342</v>
      </c>
      <c r="G23" s="1481"/>
      <c r="H23" s="1481"/>
      <c r="I23" s="1481"/>
      <c r="J23" s="15"/>
      <c r="K23" s="1408"/>
      <c r="L23" s="1025"/>
      <c r="M23" s="1479"/>
      <c r="N23" s="634"/>
      <c r="O23" s="635"/>
      <c r="P23" s="636"/>
    </row>
    <row r="24" spans="1:16" ht="15" customHeight="1">
      <c r="A24" s="614" t="s">
        <v>99</v>
      </c>
      <c r="B24" s="637" t="s">
        <v>134</v>
      </c>
      <c r="C24" s="637"/>
      <c r="D24" s="661" t="s">
        <v>343</v>
      </c>
      <c r="E24" s="661"/>
      <c r="F24" s="653" t="s">
        <v>344</v>
      </c>
      <c r="G24" s="653"/>
      <c r="H24" s="653"/>
      <c r="I24" s="653"/>
      <c r="J24" s="14">
        <v>1002</v>
      </c>
      <c r="K24" s="1217" t="s">
        <v>345</v>
      </c>
      <c r="L24" s="802"/>
      <c r="M24" s="1114"/>
      <c r="N24" s="631" t="s">
        <v>346</v>
      </c>
      <c r="O24" s="632"/>
      <c r="P24" s="633"/>
    </row>
    <row r="25" spans="1:16" ht="15" customHeight="1">
      <c r="A25" s="615"/>
      <c r="B25" s="1480" t="s">
        <v>137</v>
      </c>
      <c r="C25" s="1480"/>
      <c r="D25" s="1480" t="s">
        <v>339</v>
      </c>
      <c r="E25" s="1480"/>
      <c r="F25" s="912" t="s">
        <v>347</v>
      </c>
      <c r="G25" s="912"/>
      <c r="H25" s="912"/>
      <c r="I25" s="912"/>
      <c r="J25" s="8">
        <v>1003</v>
      </c>
      <c r="K25" s="1453"/>
      <c r="L25" s="1117"/>
      <c r="M25" s="1118"/>
      <c r="N25" s="631"/>
      <c r="O25" s="632"/>
      <c r="P25" s="633"/>
    </row>
    <row r="26" spans="1:16" ht="15" customHeight="1">
      <c r="A26" s="616"/>
      <c r="B26" s="1480" t="s">
        <v>131</v>
      </c>
      <c r="C26" s="1480"/>
      <c r="D26" s="1480" t="s">
        <v>11</v>
      </c>
      <c r="E26" s="1480"/>
      <c r="F26" s="912" t="s">
        <v>348</v>
      </c>
      <c r="G26" s="912"/>
      <c r="H26" s="912"/>
      <c r="I26" s="912"/>
      <c r="J26" s="8">
        <v>1003</v>
      </c>
      <c r="K26" s="1218"/>
      <c r="L26" s="803"/>
      <c r="M26" s="1115"/>
      <c r="N26" s="634"/>
      <c r="O26" s="635"/>
      <c r="P26" s="636"/>
    </row>
    <row r="27" spans="1:16" ht="15" customHeight="1">
      <c r="A27" s="614" t="s">
        <v>141</v>
      </c>
      <c r="B27" s="661" t="s">
        <v>10</v>
      </c>
      <c r="C27" s="661"/>
      <c r="D27" s="661" t="s">
        <v>17</v>
      </c>
      <c r="E27" s="661"/>
      <c r="F27" s="659" t="s">
        <v>349</v>
      </c>
      <c r="G27" s="659"/>
      <c r="H27" s="659"/>
      <c r="I27" s="659"/>
      <c r="J27" s="67"/>
      <c r="K27" s="1217" t="s">
        <v>350</v>
      </c>
      <c r="L27" s="802"/>
      <c r="M27" s="1114"/>
      <c r="N27" s="656" t="s">
        <v>351</v>
      </c>
      <c r="O27" s="657"/>
      <c r="P27" s="658"/>
    </row>
    <row r="28" spans="1:16" ht="15" customHeight="1">
      <c r="A28" s="616"/>
      <c r="B28" s="661" t="s">
        <v>13</v>
      </c>
      <c r="C28" s="661"/>
      <c r="D28" s="700" t="s">
        <v>17</v>
      </c>
      <c r="E28" s="701"/>
      <c r="F28" s="659" t="s">
        <v>281</v>
      </c>
      <c r="G28" s="659"/>
      <c r="H28" s="659"/>
      <c r="I28" s="659"/>
      <c r="J28" s="67"/>
      <c r="K28" s="1218"/>
      <c r="L28" s="803"/>
      <c r="M28" s="1115"/>
      <c r="N28" s="634"/>
      <c r="O28" s="635"/>
      <c r="P28" s="636"/>
    </row>
    <row r="29" spans="1:16" ht="15" customHeight="1">
      <c r="A29" s="59" t="s">
        <v>352</v>
      </c>
      <c r="B29" s="650" t="s">
        <v>164</v>
      </c>
      <c r="C29" s="650"/>
      <c r="D29" s="650" t="s">
        <v>63</v>
      </c>
      <c r="E29" s="650"/>
      <c r="F29" s="651" t="s">
        <v>353</v>
      </c>
      <c r="G29" s="651"/>
      <c r="H29" s="651"/>
      <c r="I29" s="651"/>
      <c r="J29" s="25">
        <v>1001</v>
      </c>
      <c r="K29" s="66" t="s">
        <v>354</v>
      </c>
      <c r="L29" s="36"/>
      <c r="M29" s="221" t="s">
        <v>425</v>
      </c>
      <c r="N29" s="660" t="s">
        <v>355</v>
      </c>
      <c r="O29" s="660"/>
      <c r="P29" s="660"/>
    </row>
    <row r="30" spans="1:16" ht="15" customHeight="1">
      <c r="A30" s="615" t="s">
        <v>100</v>
      </c>
      <c r="B30" s="637" t="s">
        <v>134</v>
      </c>
      <c r="C30" s="637"/>
      <c r="D30" s="637" t="s">
        <v>343</v>
      </c>
      <c r="E30" s="637"/>
      <c r="F30" s="653" t="s">
        <v>344</v>
      </c>
      <c r="G30" s="653"/>
      <c r="H30" s="653"/>
      <c r="I30" s="653"/>
      <c r="J30" s="14">
        <v>1002</v>
      </c>
      <c r="K30" s="1217" t="s">
        <v>345</v>
      </c>
      <c r="L30" s="802"/>
      <c r="M30" s="1114"/>
      <c r="N30" s="631" t="s">
        <v>356</v>
      </c>
      <c r="O30" s="632"/>
      <c r="P30" s="633"/>
    </row>
    <row r="31" spans="1:16" ht="15" customHeight="1">
      <c r="A31" s="615"/>
      <c r="B31" s="1480" t="s">
        <v>137</v>
      </c>
      <c r="C31" s="1480"/>
      <c r="D31" s="1480" t="s">
        <v>339</v>
      </c>
      <c r="E31" s="1480"/>
      <c r="F31" s="912" t="s">
        <v>347</v>
      </c>
      <c r="G31" s="912"/>
      <c r="H31" s="912"/>
      <c r="I31" s="912"/>
      <c r="J31" s="8">
        <v>1003</v>
      </c>
      <c r="K31" s="1453"/>
      <c r="L31" s="1117"/>
      <c r="M31" s="1118"/>
      <c r="N31" s="631"/>
      <c r="O31" s="632"/>
      <c r="P31" s="633"/>
    </row>
    <row r="32" spans="1:16" ht="15" customHeight="1">
      <c r="A32" s="616"/>
      <c r="B32" s="1480" t="s">
        <v>131</v>
      </c>
      <c r="C32" s="1480"/>
      <c r="D32" s="1480" t="s">
        <v>11</v>
      </c>
      <c r="E32" s="1480"/>
      <c r="F32" s="912" t="s">
        <v>348</v>
      </c>
      <c r="G32" s="912"/>
      <c r="H32" s="912"/>
      <c r="I32" s="912"/>
      <c r="J32" s="8">
        <v>1003</v>
      </c>
      <c r="K32" s="1218"/>
      <c r="L32" s="803"/>
      <c r="M32" s="1115"/>
      <c r="N32" s="634"/>
      <c r="O32" s="635"/>
      <c r="P32" s="636"/>
    </row>
    <row r="33" spans="1:16" ht="15" customHeight="1">
      <c r="A33" s="614" t="s">
        <v>78</v>
      </c>
      <c r="B33" s="637" t="s">
        <v>79</v>
      </c>
      <c r="C33" s="637"/>
      <c r="D33" s="638" t="s">
        <v>14</v>
      </c>
      <c r="E33" s="639"/>
      <c r="F33" s="666" t="s">
        <v>357</v>
      </c>
      <c r="G33" s="667"/>
      <c r="H33" s="667"/>
      <c r="I33" s="667"/>
      <c r="J33" s="15"/>
      <c r="K33" s="1217" t="s">
        <v>358</v>
      </c>
      <c r="L33" s="1023" t="s">
        <v>359</v>
      </c>
      <c r="M33" s="1140"/>
      <c r="N33" s="656" t="s">
        <v>360</v>
      </c>
      <c r="O33" s="657"/>
      <c r="P33" s="658"/>
    </row>
    <row r="34" spans="1:16" ht="15" customHeight="1">
      <c r="A34" s="615"/>
      <c r="B34" s="637" t="s">
        <v>81</v>
      </c>
      <c r="C34" s="637"/>
      <c r="D34" s="638" t="s">
        <v>14</v>
      </c>
      <c r="E34" s="639"/>
      <c r="F34" s="662" t="s">
        <v>361</v>
      </c>
      <c r="G34" s="663"/>
      <c r="H34" s="663"/>
      <c r="I34" s="663"/>
      <c r="J34" s="15"/>
      <c r="K34" s="1453"/>
      <c r="L34" s="1024"/>
      <c r="M34" s="1482"/>
      <c r="N34" s="631"/>
      <c r="O34" s="632"/>
      <c r="P34" s="633"/>
    </row>
    <row r="35" spans="1:16" ht="15" customHeight="1">
      <c r="A35" s="616"/>
      <c r="B35" s="661" t="s">
        <v>131</v>
      </c>
      <c r="C35" s="661"/>
      <c r="D35" s="661" t="s">
        <v>11</v>
      </c>
      <c r="E35" s="661"/>
      <c r="F35" s="699" t="s">
        <v>362</v>
      </c>
      <c r="G35" s="699"/>
      <c r="H35" s="699"/>
      <c r="I35" s="699"/>
      <c r="J35" s="15"/>
      <c r="K35" s="1218"/>
      <c r="L35" s="1025"/>
      <c r="M35" s="1141"/>
      <c r="N35" s="634"/>
      <c r="O35" s="635"/>
      <c r="P35" s="636"/>
    </row>
    <row r="36" spans="1:16" ht="6" customHeight="1"/>
    <row r="37" spans="1:16" ht="15" customHeight="1">
      <c r="A37" s="40" t="s">
        <v>365</v>
      </c>
    </row>
    <row r="38" spans="1:16" hidden="1"/>
    <row r="39" spans="1:16" hidden="1"/>
    <row r="40" spans="1:16" hidden="1"/>
    <row r="41" spans="1:16" ht="3.75" hidden="1" customHeight="1"/>
    <row r="42" spans="1:16" ht="18.75" customHeight="1">
      <c r="A42" s="31" t="s">
        <v>290</v>
      </c>
    </row>
    <row r="43" spans="1:16" ht="18.75" customHeight="1">
      <c r="A43" s="65" t="s">
        <v>363</v>
      </c>
    </row>
    <row r="44" spans="1:16" ht="15" customHeight="1">
      <c r="A44" s="49" t="s">
        <v>366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15" customHeight="1">
      <c r="A45" s="710" t="s">
        <v>2</v>
      </c>
      <c r="B45" s="1377" t="s">
        <v>3</v>
      </c>
      <c r="C45" s="1377"/>
      <c r="D45" s="711" t="s">
        <v>4</v>
      </c>
      <c r="E45" s="711"/>
      <c r="F45" s="1377" t="s">
        <v>5</v>
      </c>
      <c r="G45" s="1377"/>
      <c r="H45" s="1377"/>
      <c r="I45" s="1377"/>
      <c r="J45" s="711" t="s">
        <v>103</v>
      </c>
      <c r="K45" s="715" t="s">
        <v>6</v>
      </c>
      <c r="L45" s="1376" t="s">
        <v>7</v>
      </c>
      <c r="M45" s="185" t="s">
        <v>407</v>
      </c>
      <c r="N45" s="861" t="s">
        <v>8</v>
      </c>
      <c r="O45" s="1374"/>
      <c r="P45" s="862"/>
    </row>
    <row r="46" spans="1:16" ht="15" customHeight="1">
      <c r="A46" s="711"/>
      <c r="B46" s="1377"/>
      <c r="C46" s="1377"/>
      <c r="D46" s="711"/>
      <c r="E46" s="711"/>
      <c r="F46" s="1377"/>
      <c r="G46" s="1377"/>
      <c r="H46" s="1377"/>
      <c r="I46" s="1377"/>
      <c r="J46" s="711"/>
      <c r="K46" s="715"/>
      <c r="L46" s="1376"/>
      <c r="M46" s="186" t="s">
        <v>410</v>
      </c>
      <c r="N46" s="861"/>
      <c r="O46" s="1374"/>
      <c r="P46" s="862"/>
    </row>
    <row r="47" spans="1:16" ht="15" customHeight="1">
      <c r="A47" s="59" t="s">
        <v>106</v>
      </c>
      <c r="B47" s="650" t="s">
        <v>164</v>
      </c>
      <c r="C47" s="650"/>
      <c r="D47" s="650" t="s">
        <v>63</v>
      </c>
      <c r="E47" s="650"/>
      <c r="F47" s="651" t="s">
        <v>292</v>
      </c>
      <c r="G47" s="651"/>
      <c r="H47" s="651"/>
      <c r="I47" s="651"/>
      <c r="J47" s="15">
        <v>1000</v>
      </c>
      <c r="K47" s="66" t="s">
        <v>293</v>
      </c>
      <c r="L47" s="36"/>
      <c r="M47" s="221" t="s">
        <v>425</v>
      </c>
      <c r="N47" s="660" t="s">
        <v>294</v>
      </c>
      <c r="O47" s="660"/>
      <c r="P47" s="660"/>
    </row>
    <row r="48" spans="1:16" ht="15" customHeight="1">
      <c r="A48" s="59" t="s">
        <v>295</v>
      </c>
      <c r="B48" s="650" t="s">
        <v>147</v>
      </c>
      <c r="C48" s="650"/>
      <c r="D48" s="650" t="s">
        <v>179</v>
      </c>
      <c r="E48" s="650"/>
      <c r="F48" s="651" t="s">
        <v>296</v>
      </c>
      <c r="G48" s="651"/>
      <c r="H48" s="651"/>
      <c r="I48" s="651"/>
      <c r="J48" s="15">
        <v>1000</v>
      </c>
      <c r="K48" s="66" t="s">
        <v>777</v>
      </c>
      <c r="L48" s="36" t="s">
        <v>778</v>
      </c>
      <c r="M48" s="221" t="s">
        <v>425</v>
      </c>
      <c r="N48" s="660" t="s">
        <v>297</v>
      </c>
      <c r="O48" s="660"/>
      <c r="P48" s="660"/>
    </row>
    <row r="49" spans="1:16" ht="15" customHeight="1">
      <c r="A49" s="59" t="s">
        <v>298</v>
      </c>
      <c r="B49" s="650" t="s">
        <v>42</v>
      </c>
      <c r="C49" s="650"/>
      <c r="D49" s="650" t="s">
        <v>299</v>
      </c>
      <c r="E49" s="650"/>
      <c r="F49" s="651" t="s">
        <v>300</v>
      </c>
      <c r="G49" s="651"/>
      <c r="H49" s="651"/>
      <c r="I49" s="651"/>
      <c r="J49" s="15"/>
      <c r="K49" s="66" t="s">
        <v>301</v>
      </c>
      <c r="L49" s="36"/>
      <c r="M49" s="221" t="s">
        <v>425</v>
      </c>
      <c r="N49" s="660" t="s">
        <v>302</v>
      </c>
      <c r="O49" s="660"/>
      <c r="P49" s="660"/>
    </row>
    <row r="50" spans="1:16" ht="15" customHeight="1">
      <c r="A50" s="614" t="s">
        <v>117</v>
      </c>
      <c r="B50" s="661" t="s">
        <v>35</v>
      </c>
      <c r="C50" s="661"/>
      <c r="D50" s="661" t="s">
        <v>11</v>
      </c>
      <c r="E50" s="661"/>
      <c r="F50" s="699" t="s">
        <v>303</v>
      </c>
      <c r="G50" s="699"/>
      <c r="H50" s="699"/>
      <c r="I50" s="699"/>
      <c r="J50" s="8">
        <v>900</v>
      </c>
      <c r="K50" s="1217"/>
      <c r="L50" s="802"/>
      <c r="M50" s="1114"/>
      <c r="N50" s="660" t="s">
        <v>38</v>
      </c>
      <c r="O50" s="660"/>
      <c r="P50" s="660"/>
    </row>
    <row r="51" spans="1:16" ht="15" customHeight="1">
      <c r="A51" s="616"/>
      <c r="B51" s="661" t="s">
        <v>304</v>
      </c>
      <c r="C51" s="661"/>
      <c r="D51" s="661" t="s">
        <v>11</v>
      </c>
      <c r="E51" s="661"/>
      <c r="F51" s="699" t="s">
        <v>120</v>
      </c>
      <c r="G51" s="699"/>
      <c r="H51" s="699"/>
      <c r="I51" s="699"/>
      <c r="J51" s="8">
        <v>900</v>
      </c>
      <c r="K51" s="1218"/>
      <c r="L51" s="803"/>
      <c r="M51" s="1115"/>
      <c r="N51" s="660"/>
      <c r="O51" s="660"/>
      <c r="P51" s="660"/>
    </row>
    <row r="52" spans="1:16" ht="15" customHeight="1">
      <c r="A52" s="59" t="s">
        <v>41</v>
      </c>
      <c r="B52" s="650" t="s">
        <v>305</v>
      </c>
      <c r="C52" s="650"/>
      <c r="D52" s="650" t="s">
        <v>306</v>
      </c>
      <c r="E52" s="650"/>
      <c r="F52" s="651" t="s">
        <v>307</v>
      </c>
      <c r="G52" s="651"/>
      <c r="H52" s="651"/>
      <c r="I52" s="651"/>
      <c r="J52" s="15"/>
      <c r="K52" s="66"/>
      <c r="L52" s="36"/>
      <c r="M52" s="97" t="s">
        <v>436</v>
      </c>
      <c r="N52" s="660" t="s">
        <v>308</v>
      </c>
      <c r="O52" s="660"/>
      <c r="P52" s="660"/>
    </row>
    <row r="53" spans="1:16" ht="15" customHeight="1">
      <c r="A53" s="59" t="s">
        <v>309</v>
      </c>
      <c r="B53" s="650" t="s">
        <v>310</v>
      </c>
      <c r="C53" s="650"/>
      <c r="D53" s="650" t="s">
        <v>311</v>
      </c>
      <c r="E53" s="650"/>
      <c r="F53" s="651" t="s">
        <v>312</v>
      </c>
      <c r="G53" s="651"/>
      <c r="H53" s="651"/>
      <c r="I53" s="651"/>
      <c r="J53" s="15"/>
      <c r="K53" s="66"/>
      <c r="L53" s="36"/>
      <c r="M53" s="221" t="s">
        <v>425</v>
      </c>
      <c r="N53" s="660" t="s">
        <v>313</v>
      </c>
      <c r="O53" s="660"/>
      <c r="P53" s="660"/>
    </row>
    <row r="54" spans="1:16" ht="15" customHeight="1">
      <c r="A54" s="59" t="s">
        <v>57</v>
      </c>
      <c r="B54" s="650" t="s">
        <v>164</v>
      </c>
      <c r="C54" s="650"/>
      <c r="D54" s="650" t="s">
        <v>63</v>
      </c>
      <c r="E54" s="650"/>
      <c r="F54" s="651" t="s">
        <v>292</v>
      </c>
      <c r="G54" s="651"/>
      <c r="H54" s="651"/>
      <c r="I54" s="651"/>
      <c r="J54" s="15">
        <v>1000</v>
      </c>
      <c r="K54" s="66"/>
      <c r="L54" s="36"/>
      <c r="M54" s="97" t="s">
        <v>470</v>
      </c>
      <c r="N54" s="660" t="s">
        <v>287</v>
      </c>
      <c r="O54" s="660"/>
      <c r="P54" s="660"/>
    </row>
    <row r="55" spans="1:16" ht="15" customHeight="1">
      <c r="A55" s="59" t="s">
        <v>314</v>
      </c>
      <c r="B55" s="650" t="s">
        <v>147</v>
      </c>
      <c r="C55" s="650"/>
      <c r="D55" s="650" t="s">
        <v>311</v>
      </c>
      <c r="E55" s="650"/>
      <c r="F55" s="651" t="s">
        <v>315</v>
      </c>
      <c r="G55" s="651"/>
      <c r="H55" s="651"/>
      <c r="I55" s="651"/>
      <c r="J55" s="15"/>
      <c r="K55" s="66" t="s">
        <v>316</v>
      </c>
      <c r="L55" s="36"/>
      <c r="M55" s="221" t="s">
        <v>425</v>
      </c>
      <c r="N55" s="660" t="s">
        <v>317</v>
      </c>
      <c r="O55" s="660"/>
      <c r="P55" s="660"/>
    </row>
    <row r="56" spans="1:16" ht="15" customHeight="1">
      <c r="A56" s="59" t="s">
        <v>259</v>
      </c>
      <c r="B56" s="650" t="s">
        <v>147</v>
      </c>
      <c r="C56" s="650"/>
      <c r="D56" s="650" t="s">
        <v>311</v>
      </c>
      <c r="E56" s="650"/>
      <c r="F56" s="651" t="s">
        <v>318</v>
      </c>
      <c r="G56" s="651"/>
      <c r="H56" s="651"/>
      <c r="I56" s="651"/>
      <c r="J56" s="15"/>
      <c r="K56" s="66" t="s">
        <v>319</v>
      </c>
      <c r="L56" s="36"/>
      <c r="M56" s="97" t="s">
        <v>704</v>
      </c>
      <c r="N56" s="660" t="s">
        <v>320</v>
      </c>
      <c r="O56" s="660"/>
      <c r="P56" s="660"/>
    </row>
    <row r="57" spans="1:16" ht="15" customHeight="1">
      <c r="A57" s="614" t="s">
        <v>321</v>
      </c>
      <c r="B57" s="661" t="s">
        <v>199</v>
      </c>
      <c r="C57" s="661"/>
      <c r="D57" s="661" t="s">
        <v>11</v>
      </c>
      <c r="E57" s="661"/>
      <c r="F57" s="659" t="s">
        <v>322</v>
      </c>
      <c r="G57" s="659"/>
      <c r="H57" s="659"/>
      <c r="I57" s="659"/>
      <c r="J57" s="8">
        <v>3000</v>
      </c>
      <c r="K57" s="1217"/>
      <c r="L57" s="802"/>
      <c r="M57" s="1114"/>
      <c r="N57" s="660" t="s">
        <v>323</v>
      </c>
      <c r="O57" s="660"/>
      <c r="P57" s="660"/>
    </row>
    <row r="58" spans="1:16" ht="15" customHeight="1">
      <c r="A58" s="616"/>
      <c r="B58" s="661" t="s">
        <v>202</v>
      </c>
      <c r="C58" s="661"/>
      <c r="D58" s="661" t="s">
        <v>11</v>
      </c>
      <c r="E58" s="661"/>
      <c r="F58" s="659" t="s">
        <v>324</v>
      </c>
      <c r="G58" s="659"/>
      <c r="H58" s="659"/>
      <c r="I58" s="659"/>
      <c r="J58" s="8">
        <v>3000</v>
      </c>
      <c r="K58" s="1218"/>
      <c r="L58" s="803"/>
      <c r="M58" s="1115"/>
      <c r="N58" s="660"/>
      <c r="O58" s="660"/>
      <c r="P58" s="660"/>
    </row>
    <row r="59" spans="1:16" ht="15" customHeight="1">
      <c r="A59" s="739" t="s">
        <v>325</v>
      </c>
      <c r="B59" s="661" t="s">
        <v>10</v>
      </c>
      <c r="C59" s="661"/>
      <c r="D59" s="661" t="s">
        <v>17</v>
      </c>
      <c r="E59" s="661"/>
      <c r="F59" s="659" t="s">
        <v>326</v>
      </c>
      <c r="G59" s="659"/>
      <c r="H59" s="659"/>
      <c r="I59" s="659"/>
      <c r="J59" s="8">
        <v>701</v>
      </c>
      <c r="K59" s="1217" t="s">
        <v>327</v>
      </c>
      <c r="L59" s="802"/>
      <c r="M59" s="1114"/>
      <c r="N59" s="660" t="s">
        <v>68</v>
      </c>
      <c r="O59" s="660"/>
      <c r="P59" s="660"/>
    </row>
    <row r="60" spans="1:16" ht="15" customHeight="1" thickBot="1">
      <c r="A60" s="1476"/>
      <c r="B60" s="693" t="s">
        <v>13</v>
      </c>
      <c r="C60" s="694"/>
      <c r="D60" s="693" t="s">
        <v>11</v>
      </c>
      <c r="E60" s="694"/>
      <c r="F60" s="695" t="s">
        <v>328</v>
      </c>
      <c r="G60" s="695"/>
      <c r="H60" s="695"/>
      <c r="I60" s="695"/>
      <c r="J60" s="24">
        <v>702</v>
      </c>
      <c r="K60" s="1477"/>
      <c r="L60" s="1221"/>
      <c r="M60" s="1129"/>
      <c r="N60" s="692"/>
      <c r="O60" s="692"/>
      <c r="P60" s="692"/>
    </row>
    <row r="61" spans="1:16" ht="15" customHeight="1" thickTop="1">
      <c r="A61" s="59" t="s">
        <v>329</v>
      </c>
      <c r="B61" s="706" t="s">
        <v>330</v>
      </c>
      <c r="C61" s="706"/>
      <c r="D61" s="706" t="s">
        <v>331</v>
      </c>
      <c r="E61" s="706"/>
      <c r="F61" s="707" t="s">
        <v>332</v>
      </c>
      <c r="G61" s="707"/>
      <c r="H61" s="707"/>
      <c r="I61" s="707"/>
      <c r="J61" s="15"/>
      <c r="K61" s="66"/>
      <c r="L61" s="36" t="s">
        <v>333</v>
      </c>
      <c r="M61" s="220" t="s">
        <v>425</v>
      </c>
      <c r="N61" s="708" t="s">
        <v>334</v>
      </c>
      <c r="O61" s="708"/>
      <c r="P61" s="708"/>
    </row>
    <row r="62" spans="1:16" ht="15" customHeight="1">
      <c r="A62" s="59" t="s">
        <v>335</v>
      </c>
      <c r="B62" s="650" t="s">
        <v>336</v>
      </c>
      <c r="C62" s="650"/>
      <c r="D62" s="650" t="s">
        <v>311</v>
      </c>
      <c r="E62" s="650"/>
      <c r="F62" s="651" t="s">
        <v>337</v>
      </c>
      <c r="G62" s="651"/>
      <c r="H62" s="651"/>
      <c r="I62" s="651"/>
      <c r="J62" s="15"/>
      <c r="K62" s="66"/>
      <c r="L62" s="36" t="s">
        <v>364</v>
      </c>
      <c r="M62" s="97" t="s">
        <v>436</v>
      </c>
      <c r="N62" s="660" t="s">
        <v>338</v>
      </c>
      <c r="O62" s="660"/>
      <c r="P62" s="660"/>
    </row>
    <row r="63" spans="1:16" ht="15" customHeight="1">
      <c r="A63" s="614" t="s">
        <v>133</v>
      </c>
      <c r="B63" s="650" t="s">
        <v>227</v>
      </c>
      <c r="C63" s="650"/>
      <c r="D63" s="650" t="s">
        <v>339</v>
      </c>
      <c r="E63" s="650"/>
      <c r="F63" s="651" t="s">
        <v>340</v>
      </c>
      <c r="G63" s="651"/>
      <c r="H63" s="651"/>
      <c r="I63" s="651"/>
      <c r="J63" s="15"/>
      <c r="K63" s="1407" t="s">
        <v>723</v>
      </c>
      <c r="L63" s="1023"/>
      <c r="M63" s="1478"/>
      <c r="N63" s="656" t="s">
        <v>341</v>
      </c>
      <c r="O63" s="657"/>
      <c r="P63" s="658"/>
    </row>
    <row r="64" spans="1:16" ht="15" customHeight="1">
      <c r="A64" s="616"/>
      <c r="B64" s="715" t="s">
        <v>131</v>
      </c>
      <c r="C64" s="715"/>
      <c r="D64" s="715" t="s">
        <v>339</v>
      </c>
      <c r="E64" s="715"/>
      <c r="F64" s="1481" t="s">
        <v>342</v>
      </c>
      <c r="G64" s="1481"/>
      <c r="H64" s="1481"/>
      <c r="I64" s="1481"/>
      <c r="J64" s="15"/>
      <c r="K64" s="1408"/>
      <c r="L64" s="1025"/>
      <c r="M64" s="1479"/>
      <c r="N64" s="634"/>
      <c r="O64" s="635"/>
      <c r="P64" s="636"/>
    </row>
    <row r="65" spans="1:16" ht="15" customHeight="1">
      <c r="A65" s="614" t="s">
        <v>99</v>
      </c>
      <c r="B65" s="637" t="s">
        <v>134</v>
      </c>
      <c r="C65" s="637"/>
      <c r="D65" s="661" t="s">
        <v>343</v>
      </c>
      <c r="E65" s="661"/>
      <c r="F65" s="653" t="s">
        <v>344</v>
      </c>
      <c r="G65" s="653"/>
      <c r="H65" s="653"/>
      <c r="I65" s="653"/>
      <c r="J65" s="14">
        <v>1002</v>
      </c>
      <c r="K65" s="1217" t="s">
        <v>345</v>
      </c>
      <c r="L65" s="802"/>
      <c r="M65" s="1114"/>
      <c r="N65" s="631" t="s">
        <v>346</v>
      </c>
      <c r="O65" s="632"/>
      <c r="P65" s="633"/>
    </row>
    <row r="66" spans="1:16" ht="15" customHeight="1">
      <c r="A66" s="615"/>
      <c r="B66" s="1480" t="s">
        <v>137</v>
      </c>
      <c r="C66" s="1480"/>
      <c r="D66" s="1480" t="s">
        <v>339</v>
      </c>
      <c r="E66" s="1480"/>
      <c r="F66" s="912" t="s">
        <v>347</v>
      </c>
      <c r="G66" s="912"/>
      <c r="H66" s="912"/>
      <c r="I66" s="912"/>
      <c r="J66" s="8">
        <v>1003</v>
      </c>
      <c r="K66" s="1453"/>
      <c r="L66" s="1117"/>
      <c r="M66" s="1118"/>
      <c r="N66" s="631"/>
      <c r="O66" s="632"/>
      <c r="P66" s="633"/>
    </row>
    <row r="67" spans="1:16" ht="15" customHeight="1">
      <c r="A67" s="616"/>
      <c r="B67" s="1480" t="s">
        <v>131</v>
      </c>
      <c r="C67" s="1480"/>
      <c r="D67" s="1480" t="s">
        <v>11</v>
      </c>
      <c r="E67" s="1480"/>
      <c r="F67" s="912" t="s">
        <v>348</v>
      </c>
      <c r="G67" s="912"/>
      <c r="H67" s="912"/>
      <c r="I67" s="912"/>
      <c r="J67" s="8">
        <v>1003</v>
      </c>
      <c r="K67" s="1218"/>
      <c r="L67" s="803"/>
      <c r="M67" s="1115"/>
      <c r="N67" s="634"/>
      <c r="O67" s="635"/>
      <c r="P67" s="636"/>
    </row>
    <row r="68" spans="1:16" ht="15" customHeight="1">
      <c r="A68" s="614" t="s">
        <v>141</v>
      </c>
      <c r="B68" s="661" t="s">
        <v>10</v>
      </c>
      <c r="C68" s="661"/>
      <c r="D68" s="661" t="s">
        <v>17</v>
      </c>
      <c r="E68" s="661"/>
      <c r="F68" s="659" t="s">
        <v>349</v>
      </c>
      <c r="G68" s="659"/>
      <c r="H68" s="659"/>
      <c r="I68" s="659"/>
      <c r="J68" s="67"/>
      <c r="K68" s="1217" t="s">
        <v>350</v>
      </c>
      <c r="L68" s="802"/>
      <c r="M68" s="1114"/>
      <c r="N68" s="656" t="s">
        <v>351</v>
      </c>
      <c r="O68" s="657"/>
      <c r="P68" s="658"/>
    </row>
    <row r="69" spans="1:16" ht="15" customHeight="1">
      <c r="A69" s="616"/>
      <c r="B69" s="661" t="s">
        <v>13</v>
      </c>
      <c r="C69" s="661"/>
      <c r="D69" s="700" t="s">
        <v>17</v>
      </c>
      <c r="E69" s="701"/>
      <c r="F69" s="659" t="s">
        <v>281</v>
      </c>
      <c r="G69" s="659"/>
      <c r="H69" s="659"/>
      <c r="I69" s="659"/>
      <c r="J69" s="67"/>
      <c r="K69" s="1218"/>
      <c r="L69" s="803"/>
      <c r="M69" s="1115"/>
      <c r="N69" s="634"/>
      <c r="O69" s="635"/>
      <c r="P69" s="636"/>
    </row>
    <row r="70" spans="1:16" ht="15" customHeight="1">
      <c r="A70" s="59" t="s">
        <v>352</v>
      </c>
      <c r="B70" s="650" t="s">
        <v>164</v>
      </c>
      <c r="C70" s="650"/>
      <c r="D70" s="650" t="s">
        <v>63</v>
      </c>
      <c r="E70" s="650"/>
      <c r="F70" s="651" t="s">
        <v>353</v>
      </c>
      <c r="G70" s="651"/>
      <c r="H70" s="651"/>
      <c r="I70" s="651"/>
      <c r="J70" s="25">
        <v>1001</v>
      </c>
      <c r="K70" s="66" t="s">
        <v>354</v>
      </c>
      <c r="L70" s="36"/>
      <c r="M70" s="221" t="s">
        <v>425</v>
      </c>
      <c r="N70" s="660" t="s">
        <v>355</v>
      </c>
      <c r="O70" s="660"/>
      <c r="P70" s="660"/>
    </row>
    <row r="71" spans="1:16" ht="15" customHeight="1">
      <c r="A71" s="615" t="s">
        <v>100</v>
      </c>
      <c r="B71" s="637" t="s">
        <v>134</v>
      </c>
      <c r="C71" s="637"/>
      <c r="D71" s="637" t="s">
        <v>343</v>
      </c>
      <c r="E71" s="637"/>
      <c r="F71" s="653" t="s">
        <v>344</v>
      </c>
      <c r="G71" s="653"/>
      <c r="H71" s="653"/>
      <c r="I71" s="653"/>
      <c r="J71" s="14">
        <v>1002</v>
      </c>
      <c r="K71" s="1217" t="s">
        <v>345</v>
      </c>
      <c r="L71" s="802"/>
      <c r="M71" s="1114"/>
      <c r="N71" s="631" t="s">
        <v>356</v>
      </c>
      <c r="O71" s="632"/>
      <c r="P71" s="633"/>
    </row>
    <row r="72" spans="1:16" ht="15" customHeight="1">
      <c r="A72" s="615"/>
      <c r="B72" s="1480" t="s">
        <v>137</v>
      </c>
      <c r="C72" s="1480"/>
      <c r="D72" s="1480" t="s">
        <v>339</v>
      </c>
      <c r="E72" s="1480"/>
      <c r="F72" s="912" t="s">
        <v>347</v>
      </c>
      <c r="G72" s="912"/>
      <c r="H72" s="912"/>
      <c r="I72" s="912"/>
      <c r="J72" s="8">
        <v>1003</v>
      </c>
      <c r="K72" s="1453"/>
      <c r="L72" s="1117"/>
      <c r="M72" s="1118"/>
      <c r="N72" s="631"/>
      <c r="O72" s="632"/>
      <c r="P72" s="633"/>
    </row>
    <row r="73" spans="1:16" ht="15" customHeight="1">
      <c r="A73" s="616"/>
      <c r="B73" s="1480" t="s">
        <v>131</v>
      </c>
      <c r="C73" s="1480"/>
      <c r="D73" s="1480" t="s">
        <v>11</v>
      </c>
      <c r="E73" s="1480"/>
      <c r="F73" s="912" t="s">
        <v>348</v>
      </c>
      <c r="G73" s="912"/>
      <c r="H73" s="912"/>
      <c r="I73" s="912"/>
      <c r="J73" s="8">
        <v>1003</v>
      </c>
      <c r="K73" s="1218"/>
      <c r="L73" s="803"/>
      <c r="M73" s="1115"/>
      <c r="N73" s="634"/>
      <c r="O73" s="635"/>
      <c r="P73" s="636"/>
    </row>
    <row r="74" spans="1:16" ht="15" customHeight="1">
      <c r="A74" s="614" t="s">
        <v>78</v>
      </c>
      <c r="B74" s="637" t="s">
        <v>79</v>
      </c>
      <c r="C74" s="637"/>
      <c r="D74" s="638" t="s">
        <v>14</v>
      </c>
      <c r="E74" s="639"/>
      <c r="F74" s="666" t="s">
        <v>357</v>
      </c>
      <c r="G74" s="667"/>
      <c r="H74" s="667"/>
      <c r="I74" s="667"/>
      <c r="J74" s="15"/>
      <c r="K74" s="1217" t="s">
        <v>358</v>
      </c>
      <c r="L74" s="1023" t="s">
        <v>359</v>
      </c>
      <c r="M74" s="1140"/>
      <c r="N74" s="656" t="s">
        <v>360</v>
      </c>
      <c r="O74" s="657"/>
      <c r="P74" s="658"/>
    </row>
    <row r="75" spans="1:16" ht="15" customHeight="1">
      <c r="A75" s="615"/>
      <c r="B75" s="637" t="s">
        <v>81</v>
      </c>
      <c r="C75" s="637"/>
      <c r="D75" s="638" t="s">
        <v>14</v>
      </c>
      <c r="E75" s="639"/>
      <c r="F75" s="662" t="s">
        <v>361</v>
      </c>
      <c r="G75" s="663"/>
      <c r="H75" s="663"/>
      <c r="I75" s="663"/>
      <c r="J75" s="15"/>
      <c r="K75" s="1453"/>
      <c r="L75" s="1024"/>
      <c r="M75" s="1482"/>
      <c r="N75" s="631"/>
      <c r="O75" s="632"/>
      <c r="P75" s="633"/>
    </row>
    <row r="76" spans="1:16" ht="15" customHeight="1">
      <c r="A76" s="616"/>
      <c r="B76" s="661" t="s">
        <v>131</v>
      </c>
      <c r="C76" s="661"/>
      <c r="D76" s="661" t="s">
        <v>11</v>
      </c>
      <c r="E76" s="661"/>
      <c r="F76" s="699" t="s">
        <v>362</v>
      </c>
      <c r="G76" s="699"/>
      <c r="H76" s="699"/>
      <c r="I76" s="699"/>
      <c r="J76" s="15"/>
      <c r="K76" s="1218"/>
      <c r="L76" s="1025"/>
      <c r="M76" s="1141"/>
      <c r="N76" s="634"/>
      <c r="O76" s="635"/>
      <c r="P76" s="636"/>
    </row>
    <row r="77" spans="1:16" ht="6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15" customHeight="1">
      <c r="A78" s="40" t="s">
        <v>365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18.75" customHeight="1">
      <c r="A79" s="31" t="s">
        <v>290</v>
      </c>
    </row>
    <row r="80" spans="1:16" ht="18.75" customHeight="1">
      <c r="A80" s="65" t="s">
        <v>779</v>
      </c>
    </row>
    <row r="81" spans="1:16" ht="15" customHeight="1">
      <c r="A81" s="49" t="s">
        <v>366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</row>
    <row r="82" spans="1:16" ht="15" customHeight="1">
      <c r="A82" s="710" t="s">
        <v>2</v>
      </c>
      <c r="B82" s="1377" t="s">
        <v>3</v>
      </c>
      <c r="C82" s="1377"/>
      <c r="D82" s="711" t="s">
        <v>4</v>
      </c>
      <c r="E82" s="711"/>
      <c r="F82" s="1377" t="s">
        <v>5</v>
      </c>
      <c r="G82" s="1377"/>
      <c r="H82" s="1377"/>
      <c r="I82" s="1377"/>
      <c r="J82" s="711" t="s">
        <v>103</v>
      </c>
      <c r="K82" s="715" t="s">
        <v>6</v>
      </c>
      <c r="L82" s="1376" t="s">
        <v>7</v>
      </c>
      <c r="M82" s="185" t="s">
        <v>407</v>
      </c>
      <c r="N82" s="861" t="s">
        <v>8</v>
      </c>
      <c r="O82" s="1374"/>
      <c r="P82" s="862"/>
    </row>
    <row r="83" spans="1:16" ht="15" customHeight="1">
      <c r="A83" s="711"/>
      <c r="B83" s="1377"/>
      <c r="C83" s="1377"/>
      <c r="D83" s="711"/>
      <c r="E83" s="711"/>
      <c r="F83" s="1377"/>
      <c r="G83" s="1377"/>
      <c r="H83" s="1377"/>
      <c r="I83" s="1377"/>
      <c r="J83" s="711"/>
      <c r="K83" s="715"/>
      <c r="L83" s="1376"/>
      <c r="M83" s="186" t="s">
        <v>410</v>
      </c>
      <c r="N83" s="861"/>
      <c r="O83" s="1374"/>
      <c r="P83" s="862"/>
    </row>
    <row r="84" spans="1:16" ht="15" customHeight="1">
      <c r="A84" s="59" t="s">
        <v>106</v>
      </c>
      <c r="B84" s="650" t="s">
        <v>164</v>
      </c>
      <c r="C84" s="650"/>
      <c r="D84" s="650" t="s">
        <v>63</v>
      </c>
      <c r="E84" s="650"/>
      <c r="F84" s="651" t="s">
        <v>292</v>
      </c>
      <c r="G84" s="651"/>
      <c r="H84" s="651"/>
      <c r="I84" s="651"/>
      <c r="J84" s="15">
        <v>1000</v>
      </c>
      <c r="K84" s="66" t="s">
        <v>293</v>
      </c>
      <c r="L84" s="36"/>
      <c r="M84" s="221" t="s">
        <v>425</v>
      </c>
      <c r="N84" s="660" t="s">
        <v>294</v>
      </c>
      <c r="O84" s="660"/>
      <c r="P84" s="660"/>
    </row>
    <row r="85" spans="1:16" ht="15" customHeight="1">
      <c r="A85" s="59" t="s">
        <v>295</v>
      </c>
      <c r="B85" s="650" t="s">
        <v>147</v>
      </c>
      <c r="C85" s="650"/>
      <c r="D85" s="650" t="s">
        <v>179</v>
      </c>
      <c r="E85" s="650"/>
      <c r="F85" s="651" t="s">
        <v>296</v>
      </c>
      <c r="G85" s="651"/>
      <c r="H85" s="651"/>
      <c r="I85" s="651"/>
      <c r="J85" s="15">
        <v>1000</v>
      </c>
      <c r="K85" s="66" t="s">
        <v>777</v>
      </c>
      <c r="L85" s="36" t="s">
        <v>778</v>
      </c>
      <c r="M85" s="221" t="s">
        <v>425</v>
      </c>
      <c r="N85" s="660" t="s">
        <v>297</v>
      </c>
      <c r="O85" s="660"/>
      <c r="P85" s="660"/>
    </row>
    <row r="86" spans="1:16" ht="15" customHeight="1">
      <c r="A86" s="59" t="s">
        <v>298</v>
      </c>
      <c r="B86" s="650" t="s">
        <v>42</v>
      </c>
      <c r="C86" s="650"/>
      <c r="D86" s="650" t="s">
        <v>299</v>
      </c>
      <c r="E86" s="650"/>
      <c r="F86" s="651" t="s">
        <v>300</v>
      </c>
      <c r="G86" s="651"/>
      <c r="H86" s="651"/>
      <c r="I86" s="651"/>
      <c r="J86" s="15"/>
      <c r="K86" s="66" t="s">
        <v>301</v>
      </c>
      <c r="L86" s="36"/>
      <c r="M86" s="221" t="s">
        <v>425</v>
      </c>
      <c r="N86" s="660" t="s">
        <v>302</v>
      </c>
      <c r="O86" s="660"/>
      <c r="P86" s="660"/>
    </row>
    <row r="87" spans="1:16" ht="15" customHeight="1">
      <c r="A87" s="614" t="s">
        <v>117</v>
      </c>
      <c r="B87" s="661" t="s">
        <v>35</v>
      </c>
      <c r="C87" s="661"/>
      <c r="D87" s="661" t="s">
        <v>11</v>
      </c>
      <c r="E87" s="661"/>
      <c r="F87" s="699" t="s">
        <v>303</v>
      </c>
      <c r="G87" s="699"/>
      <c r="H87" s="699"/>
      <c r="I87" s="699"/>
      <c r="J87" s="8">
        <v>900</v>
      </c>
      <c r="K87" s="1217"/>
      <c r="L87" s="802"/>
      <c r="M87" s="1114"/>
      <c r="N87" s="660" t="s">
        <v>38</v>
      </c>
      <c r="O87" s="660"/>
      <c r="P87" s="660"/>
    </row>
    <row r="88" spans="1:16" ht="15" customHeight="1">
      <c r="A88" s="616"/>
      <c r="B88" s="661" t="s">
        <v>304</v>
      </c>
      <c r="C88" s="661"/>
      <c r="D88" s="661" t="s">
        <v>11</v>
      </c>
      <c r="E88" s="661"/>
      <c r="F88" s="699" t="s">
        <v>120</v>
      </c>
      <c r="G88" s="699"/>
      <c r="H88" s="699"/>
      <c r="I88" s="699"/>
      <c r="J88" s="8">
        <v>900</v>
      </c>
      <c r="K88" s="1218"/>
      <c r="L88" s="803"/>
      <c r="M88" s="1115"/>
      <c r="N88" s="660"/>
      <c r="O88" s="660"/>
      <c r="P88" s="660"/>
    </row>
    <row r="89" spans="1:16" ht="15" customHeight="1">
      <c r="A89" s="59" t="s">
        <v>41</v>
      </c>
      <c r="B89" s="650" t="s">
        <v>305</v>
      </c>
      <c r="C89" s="650"/>
      <c r="D89" s="650" t="s">
        <v>306</v>
      </c>
      <c r="E89" s="650"/>
      <c r="F89" s="651" t="s">
        <v>307</v>
      </c>
      <c r="G89" s="651"/>
      <c r="H89" s="651"/>
      <c r="I89" s="651"/>
      <c r="J89" s="15"/>
      <c r="K89" s="66"/>
      <c r="L89" s="36"/>
      <c r="M89" s="97" t="s">
        <v>436</v>
      </c>
      <c r="N89" s="660" t="s">
        <v>308</v>
      </c>
      <c r="O89" s="660"/>
      <c r="P89" s="660"/>
    </row>
    <row r="90" spans="1:16" ht="15" customHeight="1">
      <c r="A90" s="59" t="s">
        <v>309</v>
      </c>
      <c r="B90" s="650" t="s">
        <v>310</v>
      </c>
      <c r="C90" s="650"/>
      <c r="D90" s="650" t="s">
        <v>311</v>
      </c>
      <c r="E90" s="650"/>
      <c r="F90" s="651" t="s">
        <v>312</v>
      </c>
      <c r="G90" s="651"/>
      <c r="H90" s="651"/>
      <c r="I90" s="651"/>
      <c r="J90" s="15"/>
      <c r="K90" s="66"/>
      <c r="L90" s="36"/>
      <c r="M90" s="221" t="s">
        <v>425</v>
      </c>
      <c r="N90" s="660" t="s">
        <v>313</v>
      </c>
      <c r="O90" s="660"/>
      <c r="P90" s="660"/>
    </row>
    <row r="91" spans="1:16" ht="15" customHeight="1">
      <c r="A91" s="59" t="s">
        <v>57</v>
      </c>
      <c r="B91" s="650" t="s">
        <v>164</v>
      </c>
      <c r="C91" s="650"/>
      <c r="D91" s="650" t="s">
        <v>63</v>
      </c>
      <c r="E91" s="650"/>
      <c r="F91" s="651" t="s">
        <v>292</v>
      </c>
      <c r="G91" s="651"/>
      <c r="H91" s="651"/>
      <c r="I91" s="651"/>
      <c r="J91" s="15">
        <v>1000</v>
      </c>
      <c r="K91" s="66"/>
      <c r="L91" s="36"/>
      <c r="M91" s="97" t="s">
        <v>470</v>
      </c>
      <c r="N91" s="660" t="s">
        <v>287</v>
      </c>
      <c r="O91" s="660"/>
      <c r="P91" s="660"/>
    </row>
    <row r="92" spans="1:16" ht="15" customHeight="1">
      <c r="A92" s="59" t="s">
        <v>314</v>
      </c>
      <c r="B92" s="650" t="s">
        <v>147</v>
      </c>
      <c r="C92" s="650"/>
      <c r="D92" s="650" t="s">
        <v>311</v>
      </c>
      <c r="E92" s="650"/>
      <c r="F92" s="651" t="s">
        <v>315</v>
      </c>
      <c r="G92" s="651"/>
      <c r="H92" s="651"/>
      <c r="I92" s="651"/>
      <c r="J92" s="15"/>
      <c r="K92" s="66" t="s">
        <v>316</v>
      </c>
      <c r="L92" s="36"/>
      <c r="M92" s="221" t="s">
        <v>425</v>
      </c>
      <c r="N92" s="660" t="s">
        <v>317</v>
      </c>
      <c r="O92" s="660"/>
      <c r="P92" s="660"/>
    </row>
    <row r="93" spans="1:16" ht="15" customHeight="1">
      <c r="A93" s="59" t="s">
        <v>259</v>
      </c>
      <c r="B93" s="650" t="s">
        <v>147</v>
      </c>
      <c r="C93" s="650"/>
      <c r="D93" s="650" t="s">
        <v>311</v>
      </c>
      <c r="E93" s="650"/>
      <c r="F93" s="651" t="s">
        <v>318</v>
      </c>
      <c r="G93" s="651"/>
      <c r="H93" s="651"/>
      <c r="I93" s="651"/>
      <c r="J93" s="15"/>
      <c r="K93" s="66" t="s">
        <v>319</v>
      </c>
      <c r="L93" s="36"/>
      <c r="M93" s="97" t="s">
        <v>704</v>
      </c>
      <c r="N93" s="660" t="s">
        <v>320</v>
      </c>
      <c r="O93" s="660"/>
      <c r="P93" s="660"/>
    </row>
    <row r="94" spans="1:16" ht="15" customHeight="1">
      <c r="A94" s="614" t="s">
        <v>321</v>
      </c>
      <c r="B94" s="661" t="s">
        <v>199</v>
      </c>
      <c r="C94" s="661"/>
      <c r="D94" s="661" t="s">
        <v>11</v>
      </c>
      <c r="E94" s="661"/>
      <c r="F94" s="659" t="s">
        <v>322</v>
      </c>
      <c r="G94" s="659"/>
      <c r="H94" s="659"/>
      <c r="I94" s="659"/>
      <c r="J94" s="8">
        <v>3000</v>
      </c>
      <c r="K94" s="1217"/>
      <c r="L94" s="802"/>
      <c r="M94" s="1114"/>
      <c r="N94" s="660" t="s">
        <v>323</v>
      </c>
      <c r="O94" s="660"/>
      <c r="P94" s="660"/>
    </row>
    <row r="95" spans="1:16" ht="15" customHeight="1">
      <c r="A95" s="616"/>
      <c r="B95" s="661" t="s">
        <v>202</v>
      </c>
      <c r="C95" s="661"/>
      <c r="D95" s="661" t="s">
        <v>11</v>
      </c>
      <c r="E95" s="661"/>
      <c r="F95" s="659" t="s">
        <v>324</v>
      </c>
      <c r="G95" s="659"/>
      <c r="H95" s="659"/>
      <c r="I95" s="659"/>
      <c r="J95" s="8">
        <v>3000</v>
      </c>
      <c r="K95" s="1218"/>
      <c r="L95" s="803"/>
      <c r="M95" s="1115"/>
      <c r="N95" s="660"/>
      <c r="O95" s="660"/>
      <c r="P95" s="660"/>
    </row>
    <row r="96" spans="1:16" ht="15" customHeight="1">
      <c r="A96" s="739" t="s">
        <v>325</v>
      </c>
      <c r="B96" s="661" t="s">
        <v>10</v>
      </c>
      <c r="C96" s="661"/>
      <c r="D96" s="661" t="s">
        <v>17</v>
      </c>
      <c r="E96" s="661"/>
      <c r="F96" s="659" t="s">
        <v>326</v>
      </c>
      <c r="G96" s="659"/>
      <c r="H96" s="659"/>
      <c r="I96" s="659"/>
      <c r="J96" s="8">
        <v>701</v>
      </c>
      <c r="K96" s="1217" t="s">
        <v>327</v>
      </c>
      <c r="L96" s="802"/>
      <c r="M96" s="1114"/>
      <c r="N96" s="660" t="s">
        <v>68</v>
      </c>
      <c r="O96" s="660"/>
      <c r="P96" s="660"/>
    </row>
    <row r="97" spans="1:16" ht="15" customHeight="1" thickBot="1">
      <c r="A97" s="1476"/>
      <c r="B97" s="693" t="s">
        <v>13</v>
      </c>
      <c r="C97" s="694"/>
      <c r="D97" s="693" t="s">
        <v>11</v>
      </c>
      <c r="E97" s="694"/>
      <c r="F97" s="695" t="s">
        <v>328</v>
      </c>
      <c r="G97" s="695"/>
      <c r="H97" s="695"/>
      <c r="I97" s="695"/>
      <c r="J97" s="24">
        <v>702</v>
      </c>
      <c r="K97" s="1477"/>
      <c r="L97" s="1221"/>
      <c r="M97" s="1129"/>
      <c r="N97" s="692"/>
      <c r="O97" s="692"/>
      <c r="P97" s="692"/>
    </row>
    <row r="98" spans="1:16" ht="15" customHeight="1" thickTop="1">
      <c r="A98" s="59" t="s">
        <v>329</v>
      </c>
      <c r="B98" s="706" t="s">
        <v>330</v>
      </c>
      <c r="C98" s="706"/>
      <c r="D98" s="706" t="s">
        <v>331</v>
      </c>
      <c r="E98" s="706"/>
      <c r="F98" s="707" t="s">
        <v>332</v>
      </c>
      <c r="G98" s="707"/>
      <c r="H98" s="707"/>
      <c r="I98" s="707"/>
      <c r="J98" s="15"/>
      <c r="K98" s="66"/>
      <c r="L98" s="36" t="s">
        <v>333</v>
      </c>
      <c r="M98" s="220" t="s">
        <v>425</v>
      </c>
      <c r="N98" s="708" t="s">
        <v>334</v>
      </c>
      <c r="O98" s="708"/>
      <c r="P98" s="708"/>
    </row>
    <row r="99" spans="1:16" ht="15" customHeight="1">
      <c r="A99" s="59" t="s">
        <v>335</v>
      </c>
      <c r="B99" s="650" t="s">
        <v>336</v>
      </c>
      <c r="C99" s="650"/>
      <c r="D99" s="650" t="s">
        <v>311</v>
      </c>
      <c r="E99" s="650"/>
      <c r="F99" s="651" t="s">
        <v>337</v>
      </c>
      <c r="G99" s="651"/>
      <c r="H99" s="651"/>
      <c r="I99" s="651"/>
      <c r="J99" s="15"/>
      <c r="K99" s="66"/>
      <c r="L99" s="36" t="s">
        <v>364</v>
      </c>
      <c r="M99" s="97" t="s">
        <v>436</v>
      </c>
      <c r="N99" s="660" t="s">
        <v>338</v>
      </c>
      <c r="O99" s="660"/>
      <c r="P99" s="660"/>
    </row>
    <row r="100" spans="1:16" ht="15" customHeight="1">
      <c r="A100" s="614" t="s">
        <v>133</v>
      </c>
      <c r="B100" s="650" t="s">
        <v>227</v>
      </c>
      <c r="C100" s="650"/>
      <c r="D100" s="650" t="s">
        <v>339</v>
      </c>
      <c r="E100" s="650"/>
      <c r="F100" s="651" t="s">
        <v>340</v>
      </c>
      <c r="G100" s="651"/>
      <c r="H100" s="651"/>
      <c r="I100" s="651"/>
      <c r="J100" s="15"/>
      <c r="K100" s="1407" t="s">
        <v>723</v>
      </c>
      <c r="L100" s="1023"/>
      <c r="M100" s="1478"/>
      <c r="N100" s="656" t="s">
        <v>341</v>
      </c>
      <c r="O100" s="657"/>
      <c r="P100" s="658"/>
    </row>
    <row r="101" spans="1:16" ht="15" customHeight="1">
      <c r="A101" s="616"/>
      <c r="B101" s="715" t="s">
        <v>131</v>
      </c>
      <c r="C101" s="715"/>
      <c r="D101" s="715" t="s">
        <v>339</v>
      </c>
      <c r="E101" s="715"/>
      <c r="F101" s="1481" t="s">
        <v>342</v>
      </c>
      <c r="G101" s="1481"/>
      <c r="H101" s="1481"/>
      <c r="I101" s="1481"/>
      <c r="J101" s="15"/>
      <c r="K101" s="1408"/>
      <c r="L101" s="1025"/>
      <c r="M101" s="1479"/>
      <c r="N101" s="634"/>
      <c r="O101" s="635"/>
      <c r="P101" s="636"/>
    </row>
    <row r="102" spans="1:16" ht="15" customHeight="1">
      <c r="A102" s="614" t="s">
        <v>99</v>
      </c>
      <c r="B102" s="637" t="s">
        <v>134</v>
      </c>
      <c r="C102" s="637"/>
      <c r="D102" s="661" t="s">
        <v>343</v>
      </c>
      <c r="E102" s="661"/>
      <c r="F102" s="653" t="s">
        <v>344</v>
      </c>
      <c r="G102" s="653"/>
      <c r="H102" s="653"/>
      <c r="I102" s="653"/>
      <c r="J102" s="14">
        <v>1002</v>
      </c>
      <c r="K102" s="1217" t="s">
        <v>345</v>
      </c>
      <c r="L102" s="802"/>
      <c r="M102" s="1114"/>
      <c r="N102" s="631" t="s">
        <v>346</v>
      </c>
      <c r="O102" s="632"/>
      <c r="P102" s="633"/>
    </row>
    <row r="103" spans="1:16" ht="15" customHeight="1">
      <c r="A103" s="615"/>
      <c r="B103" s="1480" t="s">
        <v>137</v>
      </c>
      <c r="C103" s="1480"/>
      <c r="D103" s="1480" t="s">
        <v>339</v>
      </c>
      <c r="E103" s="1480"/>
      <c r="F103" s="912" t="s">
        <v>347</v>
      </c>
      <c r="G103" s="912"/>
      <c r="H103" s="912"/>
      <c r="I103" s="912"/>
      <c r="J103" s="8">
        <v>1003</v>
      </c>
      <c r="K103" s="1453"/>
      <c r="L103" s="1117"/>
      <c r="M103" s="1118"/>
      <c r="N103" s="631"/>
      <c r="O103" s="632"/>
      <c r="P103" s="633"/>
    </row>
    <row r="104" spans="1:16" ht="15" customHeight="1">
      <c r="A104" s="616"/>
      <c r="B104" s="1480" t="s">
        <v>131</v>
      </c>
      <c r="C104" s="1480"/>
      <c r="D104" s="1480" t="s">
        <v>11</v>
      </c>
      <c r="E104" s="1480"/>
      <c r="F104" s="912" t="s">
        <v>348</v>
      </c>
      <c r="G104" s="912"/>
      <c r="H104" s="912"/>
      <c r="I104" s="912"/>
      <c r="J104" s="8">
        <v>1003</v>
      </c>
      <c r="K104" s="1218"/>
      <c r="L104" s="803"/>
      <c r="M104" s="1115"/>
      <c r="N104" s="634"/>
      <c r="O104" s="635"/>
      <c r="P104" s="636"/>
    </row>
    <row r="105" spans="1:16" ht="15" customHeight="1">
      <c r="A105" s="614" t="s">
        <v>141</v>
      </c>
      <c r="B105" s="661" t="s">
        <v>10</v>
      </c>
      <c r="C105" s="661"/>
      <c r="D105" s="661" t="s">
        <v>17</v>
      </c>
      <c r="E105" s="661"/>
      <c r="F105" s="659" t="s">
        <v>349</v>
      </c>
      <c r="G105" s="659"/>
      <c r="H105" s="659"/>
      <c r="I105" s="659"/>
      <c r="J105" s="67"/>
      <c r="K105" s="1217" t="s">
        <v>350</v>
      </c>
      <c r="L105" s="802"/>
      <c r="M105" s="1114"/>
      <c r="N105" s="656" t="s">
        <v>351</v>
      </c>
      <c r="O105" s="657"/>
      <c r="P105" s="658"/>
    </row>
    <row r="106" spans="1:16" ht="15" customHeight="1">
      <c r="A106" s="616"/>
      <c r="B106" s="661" t="s">
        <v>13</v>
      </c>
      <c r="C106" s="661"/>
      <c r="D106" s="700" t="s">
        <v>17</v>
      </c>
      <c r="E106" s="701"/>
      <c r="F106" s="659" t="s">
        <v>281</v>
      </c>
      <c r="G106" s="659"/>
      <c r="H106" s="659"/>
      <c r="I106" s="659"/>
      <c r="J106" s="67"/>
      <c r="K106" s="1218"/>
      <c r="L106" s="803"/>
      <c r="M106" s="1115"/>
      <c r="N106" s="634"/>
      <c r="O106" s="635"/>
      <c r="P106" s="636"/>
    </row>
    <row r="107" spans="1:16" ht="15" customHeight="1">
      <c r="A107" s="59" t="s">
        <v>352</v>
      </c>
      <c r="B107" s="650" t="s">
        <v>164</v>
      </c>
      <c r="C107" s="650"/>
      <c r="D107" s="650" t="s">
        <v>63</v>
      </c>
      <c r="E107" s="650"/>
      <c r="F107" s="651" t="s">
        <v>353</v>
      </c>
      <c r="G107" s="651"/>
      <c r="H107" s="651"/>
      <c r="I107" s="651"/>
      <c r="J107" s="25">
        <v>1001</v>
      </c>
      <c r="K107" s="66" t="s">
        <v>354</v>
      </c>
      <c r="L107" s="36"/>
      <c r="M107" s="221" t="s">
        <v>425</v>
      </c>
      <c r="N107" s="660" t="s">
        <v>355</v>
      </c>
      <c r="O107" s="660"/>
      <c r="P107" s="660"/>
    </row>
    <row r="108" spans="1:16" ht="15" customHeight="1">
      <c r="A108" s="615" t="s">
        <v>100</v>
      </c>
      <c r="B108" s="637" t="s">
        <v>134</v>
      </c>
      <c r="C108" s="637"/>
      <c r="D108" s="637" t="s">
        <v>343</v>
      </c>
      <c r="E108" s="637"/>
      <c r="F108" s="653" t="s">
        <v>344</v>
      </c>
      <c r="G108" s="653"/>
      <c r="H108" s="653"/>
      <c r="I108" s="653"/>
      <c r="J108" s="14">
        <v>1002</v>
      </c>
      <c r="K108" s="1217" t="s">
        <v>345</v>
      </c>
      <c r="L108" s="802"/>
      <c r="M108" s="1114"/>
      <c r="N108" s="631" t="s">
        <v>356</v>
      </c>
      <c r="O108" s="632"/>
      <c r="P108" s="633"/>
    </row>
    <row r="109" spans="1:16" ht="15" customHeight="1">
      <c r="A109" s="615"/>
      <c r="B109" s="1480" t="s">
        <v>137</v>
      </c>
      <c r="C109" s="1480"/>
      <c r="D109" s="1480" t="s">
        <v>339</v>
      </c>
      <c r="E109" s="1480"/>
      <c r="F109" s="912" t="s">
        <v>347</v>
      </c>
      <c r="G109" s="912"/>
      <c r="H109" s="912"/>
      <c r="I109" s="912"/>
      <c r="J109" s="8">
        <v>1003</v>
      </c>
      <c r="K109" s="1453"/>
      <c r="L109" s="1117"/>
      <c r="M109" s="1118"/>
      <c r="N109" s="631"/>
      <c r="O109" s="632"/>
      <c r="P109" s="633"/>
    </row>
    <row r="110" spans="1:16" ht="15" customHeight="1">
      <c r="A110" s="616"/>
      <c r="B110" s="1480" t="s">
        <v>131</v>
      </c>
      <c r="C110" s="1480"/>
      <c r="D110" s="1480" t="s">
        <v>11</v>
      </c>
      <c r="E110" s="1480"/>
      <c r="F110" s="912" t="s">
        <v>348</v>
      </c>
      <c r="G110" s="912"/>
      <c r="H110" s="912"/>
      <c r="I110" s="912"/>
      <c r="J110" s="8">
        <v>1003</v>
      </c>
      <c r="K110" s="1218"/>
      <c r="L110" s="803"/>
      <c r="M110" s="1115"/>
      <c r="N110" s="634"/>
      <c r="O110" s="635"/>
      <c r="P110" s="636"/>
    </row>
    <row r="111" spans="1:16" ht="15" customHeight="1">
      <c r="A111" s="614" t="s">
        <v>78</v>
      </c>
      <c r="B111" s="637" t="s">
        <v>79</v>
      </c>
      <c r="C111" s="637"/>
      <c r="D111" s="638" t="s">
        <v>14</v>
      </c>
      <c r="E111" s="639"/>
      <c r="F111" s="666" t="s">
        <v>357</v>
      </c>
      <c r="G111" s="667"/>
      <c r="H111" s="667"/>
      <c r="I111" s="667"/>
      <c r="J111" s="15"/>
      <c r="K111" s="1217" t="s">
        <v>358</v>
      </c>
      <c r="L111" s="1023" t="s">
        <v>359</v>
      </c>
      <c r="M111" s="1140"/>
      <c r="N111" s="656" t="s">
        <v>360</v>
      </c>
      <c r="O111" s="657"/>
      <c r="P111" s="658"/>
    </row>
    <row r="112" spans="1:16" ht="15" customHeight="1">
      <c r="A112" s="615"/>
      <c r="B112" s="637" t="s">
        <v>81</v>
      </c>
      <c r="C112" s="637"/>
      <c r="D112" s="638" t="s">
        <v>14</v>
      </c>
      <c r="E112" s="639"/>
      <c r="F112" s="662" t="s">
        <v>361</v>
      </c>
      <c r="G112" s="663"/>
      <c r="H112" s="663"/>
      <c r="I112" s="663"/>
      <c r="J112" s="15"/>
      <c r="K112" s="1453"/>
      <c r="L112" s="1024"/>
      <c r="M112" s="1482"/>
      <c r="N112" s="631"/>
      <c r="O112" s="632"/>
      <c r="P112" s="633"/>
    </row>
    <row r="113" spans="1:16" ht="15" customHeight="1">
      <c r="A113" s="616"/>
      <c r="B113" s="661" t="s">
        <v>131</v>
      </c>
      <c r="C113" s="661"/>
      <c r="D113" s="661" t="s">
        <v>11</v>
      </c>
      <c r="E113" s="661"/>
      <c r="F113" s="699" t="s">
        <v>362</v>
      </c>
      <c r="G113" s="699"/>
      <c r="H113" s="699"/>
      <c r="I113" s="699"/>
      <c r="J113" s="15"/>
      <c r="K113" s="1218"/>
      <c r="L113" s="1025"/>
      <c r="M113" s="1141"/>
      <c r="N113" s="634"/>
      <c r="O113" s="635"/>
      <c r="P113" s="636"/>
    </row>
    <row r="114" spans="1:16" ht="6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</row>
    <row r="115" spans="1:16" ht="15" customHeight="1">
      <c r="A115" s="40" t="s">
        <v>365</v>
      </c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</row>
  </sheetData>
  <mergeCells count="447">
    <mergeCell ref="A111:A113"/>
    <mergeCell ref="B111:C111"/>
    <mergeCell ref="D111:E111"/>
    <mergeCell ref="F111:I111"/>
    <mergeCell ref="K111:K113"/>
    <mergeCell ref="L111:L113"/>
    <mergeCell ref="N111:P113"/>
    <mergeCell ref="B112:C112"/>
    <mergeCell ref="D112:E112"/>
    <mergeCell ref="F112:I112"/>
    <mergeCell ref="B113:C113"/>
    <mergeCell ref="D113:E113"/>
    <mergeCell ref="F113:I113"/>
    <mergeCell ref="M111:M113"/>
    <mergeCell ref="B107:C107"/>
    <mergeCell ref="D107:E107"/>
    <mergeCell ref="F107:I107"/>
    <mergeCell ref="N107:P107"/>
    <mergeCell ref="A108:A110"/>
    <mergeCell ref="B108:C108"/>
    <mergeCell ref="D108:E108"/>
    <mergeCell ref="F108:I108"/>
    <mergeCell ref="K108:K110"/>
    <mergeCell ref="L108:L110"/>
    <mergeCell ref="N108:P110"/>
    <mergeCell ref="B109:C109"/>
    <mergeCell ref="D109:E109"/>
    <mergeCell ref="F109:I109"/>
    <mergeCell ref="B110:C110"/>
    <mergeCell ref="D110:E110"/>
    <mergeCell ref="F110:I110"/>
    <mergeCell ref="M108:M110"/>
    <mergeCell ref="A105:A106"/>
    <mergeCell ref="B105:C105"/>
    <mergeCell ref="D105:E105"/>
    <mergeCell ref="F105:I105"/>
    <mergeCell ref="K105:K106"/>
    <mergeCell ref="L105:L106"/>
    <mergeCell ref="N105:P106"/>
    <mergeCell ref="B106:C106"/>
    <mergeCell ref="D106:E106"/>
    <mergeCell ref="F106:I106"/>
    <mergeCell ref="M105:M106"/>
    <mergeCell ref="A102:A104"/>
    <mergeCell ref="B102:C102"/>
    <mergeCell ref="D102:E102"/>
    <mergeCell ref="F102:I102"/>
    <mergeCell ref="K102:K104"/>
    <mergeCell ref="L102:L104"/>
    <mergeCell ref="N102:P104"/>
    <mergeCell ref="B103:C103"/>
    <mergeCell ref="D103:E103"/>
    <mergeCell ref="F103:I103"/>
    <mergeCell ref="B104:C104"/>
    <mergeCell ref="D104:E104"/>
    <mergeCell ref="F104:I104"/>
    <mergeCell ref="M102:M104"/>
    <mergeCell ref="B98:C98"/>
    <mergeCell ref="D98:E98"/>
    <mergeCell ref="F98:I98"/>
    <mergeCell ref="N98:P98"/>
    <mergeCell ref="B99:C99"/>
    <mergeCell ref="D99:E99"/>
    <mergeCell ref="F99:I99"/>
    <mergeCell ref="N99:P99"/>
    <mergeCell ref="A100:A101"/>
    <mergeCell ref="B100:C100"/>
    <mergeCell ref="D100:E100"/>
    <mergeCell ref="F100:I100"/>
    <mergeCell ref="K100:K101"/>
    <mergeCell ref="L100:L101"/>
    <mergeCell ref="N100:P101"/>
    <mergeCell ref="B101:C101"/>
    <mergeCell ref="D101:E101"/>
    <mergeCell ref="F101:I101"/>
    <mergeCell ref="M100:M101"/>
    <mergeCell ref="A96:A97"/>
    <mergeCell ref="B96:C96"/>
    <mergeCell ref="D96:E96"/>
    <mergeCell ref="F96:I96"/>
    <mergeCell ref="K96:K97"/>
    <mergeCell ref="L96:L97"/>
    <mergeCell ref="N96:P97"/>
    <mergeCell ref="B97:C97"/>
    <mergeCell ref="D97:E97"/>
    <mergeCell ref="F97:I97"/>
    <mergeCell ref="M96:M97"/>
    <mergeCell ref="B92:C92"/>
    <mergeCell ref="D92:E92"/>
    <mergeCell ref="F92:I92"/>
    <mergeCell ref="N92:P92"/>
    <mergeCell ref="B93:C93"/>
    <mergeCell ref="D93:E93"/>
    <mergeCell ref="F93:I93"/>
    <mergeCell ref="N93:P93"/>
    <mergeCell ref="A94:A95"/>
    <mergeCell ref="B94:C94"/>
    <mergeCell ref="D94:E94"/>
    <mergeCell ref="F94:I94"/>
    <mergeCell ref="K94:K95"/>
    <mergeCell ref="L94:L95"/>
    <mergeCell ref="N94:P95"/>
    <mergeCell ref="B95:C95"/>
    <mergeCell ref="D95:E95"/>
    <mergeCell ref="F95:I95"/>
    <mergeCell ref="M94:M95"/>
    <mergeCell ref="B89:C89"/>
    <mergeCell ref="D89:E89"/>
    <mergeCell ref="F89:I89"/>
    <mergeCell ref="N89:P89"/>
    <mergeCell ref="B90:C90"/>
    <mergeCell ref="D90:E90"/>
    <mergeCell ref="F90:I90"/>
    <mergeCell ref="N90:P90"/>
    <mergeCell ref="B91:C91"/>
    <mergeCell ref="D91:E91"/>
    <mergeCell ref="F91:I91"/>
    <mergeCell ref="N91:P91"/>
    <mergeCell ref="B85:C85"/>
    <mergeCell ref="D85:E85"/>
    <mergeCell ref="F85:I85"/>
    <mergeCell ref="N85:P85"/>
    <mergeCell ref="B86:C86"/>
    <mergeCell ref="D86:E86"/>
    <mergeCell ref="F86:I86"/>
    <mergeCell ref="N86:P86"/>
    <mergeCell ref="A87:A88"/>
    <mergeCell ref="B87:C87"/>
    <mergeCell ref="D87:E87"/>
    <mergeCell ref="F87:I87"/>
    <mergeCell ref="K87:K88"/>
    <mergeCell ref="L87:L88"/>
    <mergeCell ref="N87:P88"/>
    <mergeCell ref="B88:C88"/>
    <mergeCell ref="D88:E88"/>
    <mergeCell ref="F88:I88"/>
    <mergeCell ref="M87:M88"/>
    <mergeCell ref="A82:A83"/>
    <mergeCell ref="B82:C83"/>
    <mergeCell ref="D82:E83"/>
    <mergeCell ref="F82:I83"/>
    <mergeCell ref="J82:J83"/>
    <mergeCell ref="K82:K83"/>
    <mergeCell ref="L82:L83"/>
    <mergeCell ref="N82:P83"/>
    <mergeCell ref="B84:C84"/>
    <mergeCell ref="D84:E84"/>
    <mergeCell ref="F84:I84"/>
    <mergeCell ref="N84:P84"/>
    <mergeCell ref="N74:P76"/>
    <mergeCell ref="B75:C75"/>
    <mergeCell ref="D75:E75"/>
    <mergeCell ref="F75:I75"/>
    <mergeCell ref="B76:C76"/>
    <mergeCell ref="D76:E76"/>
    <mergeCell ref="F76:I76"/>
    <mergeCell ref="A74:A76"/>
    <mergeCell ref="B74:C74"/>
    <mergeCell ref="D74:E74"/>
    <mergeCell ref="F74:I74"/>
    <mergeCell ref="K74:K76"/>
    <mergeCell ref="L74:L76"/>
    <mergeCell ref="M74:M76"/>
    <mergeCell ref="N71:P73"/>
    <mergeCell ref="B72:C72"/>
    <mergeCell ref="D72:E72"/>
    <mergeCell ref="F72:I72"/>
    <mergeCell ref="B73:C73"/>
    <mergeCell ref="D73:E73"/>
    <mergeCell ref="F73:I73"/>
    <mergeCell ref="A71:A73"/>
    <mergeCell ref="B71:C71"/>
    <mergeCell ref="D71:E71"/>
    <mergeCell ref="F71:I71"/>
    <mergeCell ref="K71:K73"/>
    <mergeCell ref="L71:L73"/>
    <mergeCell ref="M71:M73"/>
    <mergeCell ref="N68:P69"/>
    <mergeCell ref="B69:C69"/>
    <mergeCell ref="D69:E69"/>
    <mergeCell ref="F69:I69"/>
    <mergeCell ref="B70:C70"/>
    <mergeCell ref="D70:E70"/>
    <mergeCell ref="F70:I70"/>
    <mergeCell ref="N70:P70"/>
    <mergeCell ref="A68:A69"/>
    <mergeCell ref="B68:C68"/>
    <mergeCell ref="D68:E68"/>
    <mergeCell ref="F68:I68"/>
    <mergeCell ref="K68:K69"/>
    <mergeCell ref="L68:L69"/>
    <mergeCell ref="M68:M69"/>
    <mergeCell ref="N65:P67"/>
    <mergeCell ref="B66:C66"/>
    <mergeCell ref="D66:E66"/>
    <mergeCell ref="F66:I66"/>
    <mergeCell ref="B67:C67"/>
    <mergeCell ref="D67:E67"/>
    <mergeCell ref="F67:I67"/>
    <mergeCell ref="N63:P64"/>
    <mergeCell ref="B64:C64"/>
    <mergeCell ref="D64:E64"/>
    <mergeCell ref="F64:I64"/>
    <mergeCell ref="M65:M67"/>
    <mergeCell ref="A65:A67"/>
    <mergeCell ref="B65:C65"/>
    <mergeCell ref="D65:E65"/>
    <mergeCell ref="F65:I65"/>
    <mergeCell ref="K65:K67"/>
    <mergeCell ref="L65:L67"/>
    <mergeCell ref="B62:C62"/>
    <mergeCell ref="D62:E62"/>
    <mergeCell ref="F62:I62"/>
    <mergeCell ref="N62:P62"/>
    <mergeCell ref="A63:A64"/>
    <mergeCell ref="B63:C63"/>
    <mergeCell ref="D63:E63"/>
    <mergeCell ref="F63:I63"/>
    <mergeCell ref="K63:K64"/>
    <mergeCell ref="L63:L64"/>
    <mergeCell ref="N59:P60"/>
    <mergeCell ref="B60:C60"/>
    <mergeCell ref="D60:E60"/>
    <mergeCell ref="F60:I60"/>
    <mergeCell ref="B61:C61"/>
    <mergeCell ref="D61:E61"/>
    <mergeCell ref="F61:I61"/>
    <mergeCell ref="N61:P61"/>
    <mergeCell ref="M63:M64"/>
    <mergeCell ref="N57:P58"/>
    <mergeCell ref="B58:C58"/>
    <mergeCell ref="D58:E58"/>
    <mergeCell ref="F58:I58"/>
    <mergeCell ref="A59:A60"/>
    <mergeCell ref="B59:C59"/>
    <mergeCell ref="D59:E59"/>
    <mergeCell ref="F59:I59"/>
    <mergeCell ref="K59:K60"/>
    <mergeCell ref="L59:L60"/>
    <mergeCell ref="A57:A58"/>
    <mergeCell ref="B57:C57"/>
    <mergeCell ref="D57:E57"/>
    <mergeCell ref="F57:I57"/>
    <mergeCell ref="K57:K58"/>
    <mergeCell ref="L57:L58"/>
    <mergeCell ref="M57:M58"/>
    <mergeCell ref="M59:M60"/>
    <mergeCell ref="B55:C55"/>
    <mergeCell ref="D55:E55"/>
    <mergeCell ref="F55:I55"/>
    <mergeCell ref="N55:P55"/>
    <mergeCell ref="B56:C56"/>
    <mergeCell ref="D56:E56"/>
    <mergeCell ref="F56:I56"/>
    <mergeCell ref="N56:P56"/>
    <mergeCell ref="B53:C53"/>
    <mergeCell ref="D53:E53"/>
    <mergeCell ref="F53:I53"/>
    <mergeCell ref="N53:P53"/>
    <mergeCell ref="B54:C54"/>
    <mergeCell ref="D54:E54"/>
    <mergeCell ref="F54:I54"/>
    <mergeCell ref="N54:P54"/>
    <mergeCell ref="N50:P51"/>
    <mergeCell ref="B51:C51"/>
    <mergeCell ref="D51:E51"/>
    <mergeCell ref="F51:I51"/>
    <mergeCell ref="B52:C52"/>
    <mergeCell ref="D52:E52"/>
    <mergeCell ref="F52:I52"/>
    <mergeCell ref="N52:P52"/>
    <mergeCell ref="A50:A51"/>
    <mergeCell ref="B50:C50"/>
    <mergeCell ref="D50:E50"/>
    <mergeCell ref="F50:I50"/>
    <mergeCell ref="K50:K51"/>
    <mergeCell ref="L50:L51"/>
    <mergeCell ref="M50:M51"/>
    <mergeCell ref="B48:C48"/>
    <mergeCell ref="D48:E48"/>
    <mergeCell ref="F48:I48"/>
    <mergeCell ref="N48:P48"/>
    <mergeCell ref="B49:C49"/>
    <mergeCell ref="D49:E49"/>
    <mergeCell ref="F49:I49"/>
    <mergeCell ref="N49:P49"/>
    <mergeCell ref="L45:L46"/>
    <mergeCell ref="N45:P46"/>
    <mergeCell ref="B47:C47"/>
    <mergeCell ref="D47:E47"/>
    <mergeCell ref="F47:I47"/>
    <mergeCell ref="N47:P47"/>
    <mergeCell ref="A45:A46"/>
    <mergeCell ref="B45:C46"/>
    <mergeCell ref="D45:E46"/>
    <mergeCell ref="F45:I46"/>
    <mergeCell ref="J45:J46"/>
    <mergeCell ref="K45:K46"/>
    <mergeCell ref="N33:P35"/>
    <mergeCell ref="B34:C34"/>
    <mergeCell ref="D34:E34"/>
    <mergeCell ref="F34:I34"/>
    <mergeCell ref="B35:C35"/>
    <mergeCell ref="D35:E35"/>
    <mergeCell ref="F35:I35"/>
    <mergeCell ref="A33:A35"/>
    <mergeCell ref="B33:C33"/>
    <mergeCell ref="D33:E33"/>
    <mergeCell ref="F33:I33"/>
    <mergeCell ref="K33:K35"/>
    <mergeCell ref="L33:L35"/>
    <mergeCell ref="M33:M35"/>
    <mergeCell ref="N30:P32"/>
    <mergeCell ref="B31:C31"/>
    <mergeCell ref="D31:E31"/>
    <mergeCell ref="F31:I31"/>
    <mergeCell ref="B32:C32"/>
    <mergeCell ref="D32:E32"/>
    <mergeCell ref="F32:I32"/>
    <mergeCell ref="A30:A32"/>
    <mergeCell ref="B30:C30"/>
    <mergeCell ref="D30:E30"/>
    <mergeCell ref="F30:I30"/>
    <mergeCell ref="K30:K32"/>
    <mergeCell ref="L30:L32"/>
    <mergeCell ref="M30:M32"/>
    <mergeCell ref="N27:P28"/>
    <mergeCell ref="B28:C28"/>
    <mergeCell ref="D28:E28"/>
    <mergeCell ref="F28:I28"/>
    <mergeCell ref="B29:C29"/>
    <mergeCell ref="D29:E29"/>
    <mergeCell ref="F29:I29"/>
    <mergeCell ref="N29:P29"/>
    <mergeCell ref="A27:A28"/>
    <mergeCell ref="B27:C27"/>
    <mergeCell ref="D27:E27"/>
    <mergeCell ref="F27:I27"/>
    <mergeCell ref="K27:K28"/>
    <mergeCell ref="L27:L28"/>
    <mergeCell ref="M27:M28"/>
    <mergeCell ref="N24:P26"/>
    <mergeCell ref="B25:C25"/>
    <mergeCell ref="D25:E25"/>
    <mergeCell ref="F25:I25"/>
    <mergeCell ref="B26:C26"/>
    <mergeCell ref="D26:E26"/>
    <mergeCell ref="F26:I26"/>
    <mergeCell ref="N22:P23"/>
    <mergeCell ref="B23:C23"/>
    <mergeCell ref="D23:E23"/>
    <mergeCell ref="F23:I23"/>
    <mergeCell ref="M24:M26"/>
    <mergeCell ref="A24:A26"/>
    <mergeCell ref="B24:C24"/>
    <mergeCell ref="D24:E24"/>
    <mergeCell ref="F24:I24"/>
    <mergeCell ref="K24:K26"/>
    <mergeCell ref="L24:L26"/>
    <mergeCell ref="B21:C21"/>
    <mergeCell ref="D21:E21"/>
    <mergeCell ref="F21:I21"/>
    <mergeCell ref="N21:P21"/>
    <mergeCell ref="A22:A23"/>
    <mergeCell ref="B22:C22"/>
    <mergeCell ref="D22:E22"/>
    <mergeCell ref="F22:I22"/>
    <mergeCell ref="K22:K23"/>
    <mergeCell ref="L22:L23"/>
    <mergeCell ref="N18:P19"/>
    <mergeCell ref="B19:C19"/>
    <mergeCell ref="D19:E19"/>
    <mergeCell ref="F19:I19"/>
    <mergeCell ref="B20:C20"/>
    <mergeCell ref="D20:E20"/>
    <mergeCell ref="F20:I20"/>
    <mergeCell ref="N20:P20"/>
    <mergeCell ref="M22:M23"/>
    <mergeCell ref="N16:P17"/>
    <mergeCell ref="B17:C17"/>
    <mergeCell ref="D17:E17"/>
    <mergeCell ref="F17:I17"/>
    <mergeCell ref="A18:A19"/>
    <mergeCell ref="B18:C18"/>
    <mergeCell ref="D18:E18"/>
    <mergeCell ref="F18:I18"/>
    <mergeCell ref="K18:K19"/>
    <mergeCell ref="L18:L19"/>
    <mergeCell ref="A16:A17"/>
    <mergeCell ref="B16:C16"/>
    <mergeCell ref="D16:E16"/>
    <mergeCell ref="F16:I16"/>
    <mergeCell ref="K16:K17"/>
    <mergeCell ref="L16:L17"/>
    <mergeCell ref="M18:M19"/>
    <mergeCell ref="M16:M17"/>
    <mergeCell ref="B14:C14"/>
    <mergeCell ref="D14:E14"/>
    <mergeCell ref="F14:I14"/>
    <mergeCell ref="N14:P14"/>
    <mergeCell ref="B15:C15"/>
    <mergeCell ref="D15:E15"/>
    <mergeCell ref="F15:I15"/>
    <mergeCell ref="N15:P15"/>
    <mergeCell ref="B12:C12"/>
    <mergeCell ref="D12:E12"/>
    <mergeCell ref="F12:I12"/>
    <mergeCell ref="N12:P12"/>
    <mergeCell ref="B13:C13"/>
    <mergeCell ref="D13:E13"/>
    <mergeCell ref="F13:I13"/>
    <mergeCell ref="N13:P13"/>
    <mergeCell ref="N9:P10"/>
    <mergeCell ref="B10:C10"/>
    <mergeCell ref="D10:E10"/>
    <mergeCell ref="F10:I10"/>
    <mergeCell ref="B11:C11"/>
    <mergeCell ref="D11:E11"/>
    <mergeCell ref="F11:I11"/>
    <mergeCell ref="N11:P11"/>
    <mergeCell ref="A9:A10"/>
    <mergeCell ref="B9:C9"/>
    <mergeCell ref="D9:E9"/>
    <mergeCell ref="F9:I9"/>
    <mergeCell ref="K9:K10"/>
    <mergeCell ref="L9:L10"/>
    <mergeCell ref="M9:M10"/>
    <mergeCell ref="N7:P7"/>
    <mergeCell ref="B8:C8"/>
    <mergeCell ref="D8:E8"/>
    <mergeCell ref="F8:I8"/>
    <mergeCell ref="N8:P8"/>
    <mergeCell ref="L4:L5"/>
    <mergeCell ref="N4:P5"/>
    <mergeCell ref="B6:C6"/>
    <mergeCell ref="D6:E6"/>
    <mergeCell ref="F6:I6"/>
    <mergeCell ref="N6:P6"/>
    <mergeCell ref="A4:A5"/>
    <mergeCell ref="B4:C5"/>
    <mergeCell ref="D4:E5"/>
    <mergeCell ref="F4:I5"/>
    <mergeCell ref="J4:J5"/>
    <mergeCell ref="K4:K5"/>
    <mergeCell ref="B7:C7"/>
    <mergeCell ref="D7:E7"/>
    <mergeCell ref="F7:I7"/>
  </mergeCells>
  <phoneticPr fontId="11"/>
  <pageMargins left="0.70866141732283461" right="0.70866141732283461" top="0.74803149606299213" bottom="0.74803149606299213" header="0.31496062992125984" footer="0.31496062992125984"/>
  <pageSetup paperSize="9" scale="85" orientation="landscape" r:id="rId1"/>
  <rowBreaks count="2" manualBreakCount="2">
    <brk id="41" max="16383" man="1"/>
    <brk id="78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1788-7D50-45D6-B8F4-810C44EB14F2}">
  <dimension ref="A1:O34"/>
  <sheetViews>
    <sheetView view="pageBreakPreview" topLeftCell="A7" zoomScale="145" zoomScaleNormal="100" zoomScaleSheetLayoutView="145" workbookViewId="0">
      <selection activeCell="C36" sqref="C36"/>
    </sheetView>
  </sheetViews>
  <sheetFormatPr defaultColWidth="9" defaultRowHeight="18"/>
  <cols>
    <col min="1" max="1" width="6.59765625" style="1" customWidth="1"/>
    <col min="2" max="8" width="7.59765625" style="1" customWidth="1"/>
    <col min="9" max="9" width="7.5" style="1" customWidth="1"/>
    <col min="10" max="11" width="0" style="1" hidden="1" customWidth="1"/>
    <col min="12" max="16384" width="9" style="1"/>
  </cols>
  <sheetData>
    <row r="1" spans="1:15" ht="20.100000000000001" customHeight="1">
      <c r="A1" s="215" t="s">
        <v>859</v>
      </c>
      <c r="I1" s="2"/>
      <c r="M1" s="31" t="s">
        <v>858</v>
      </c>
    </row>
    <row r="2" spans="1:15" ht="20.100000000000001" customHeight="1">
      <c r="A2" s="49" t="s">
        <v>366</v>
      </c>
    </row>
    <row r="3" spans="1:15" ht="20.100000000000001" customHeight="1">
      <c r="A3" s="710" t="s">
        <v>2</v>
      </c>
      <c r="B3" s="1377" t="s">
        <v>3</v>
      </c>
      <c r="C3" s="1377"/>
      <c r="D3" s="711" t="s">
        <v>4</v>
      </c>
      <c r="E3" s="711"/>
      <c r="F3" s="1377" t="s">
        <v>5</v>
      </c>
      <c r="G3" s="1377"/>
      <c r="H3" s="1377"/>
      <c r="I3" s="1377"/>
      <c r="J3" s="711" t="s">
        <v>103</v>
      </c>
      <c r="K3" s="1376" t="s">
        <v>614</v>
      </c>
      <c r="L3" s="1512" t="s">
        <v>575</v>
      </c>
      <c r="M3" s="1156" t="s">
        <v>8</v>
      </c>
      <c r="N3" s="1507"/>
      <c r="O3" s="1157"/>
    </row>
    <row r="4" spans="1:15" ht="20.100000000000001" customHeight="1">
      <c r="A4" s="711"/>
      <c r="B4" s="1377"/>
      <c r="C4" s="1377"/>
      <c r="D4" s="711"/>
      <c r="E4" s="711"/>
      <c r="F4" s="1377"/>
      <c r="G4" s="1377"/>
      <c r="H4" s="1377"/>
      <c r="I4" s="1377"/>
      <c r="J4" s="711"/>
      <c r="K4" s="1376"/>
      <c r="L4" s="1512"/>
      <c r="M4" s="1156"/>
      <c r="N4" s="1507"/>
      <c r="O4" s="1157"/>
    </row>
    <row r="5" spans="1:15" ht="20.100000000000001" customHeight="1">
      <c r="A5" s="59" t="s">
        <v>808</v>
      </c>
      <c r="B5" s="661" t="s">
        <v>35</v>
      </c>
      <c r="C5" s="661"/>
      <c r="D5" s="661" t="s">
        <v>11</v>
      </c>
      <c r="E5" s="661"/>
      <c r="F5" s="699" t="s">
        <v>36</v>
      </c>
      <c r="G5" s="699"/>
      <c r="H5" s="699"/>
      <c r="I5" s="699"/>
      <c r="J5" s="8">
        <v>900</v>
      </c>
      <c r="K5" s="232"/>
      <c r="L5" s="41"/>
      <c r="M5" s="1508" t="s">
        <v>38</v>
      </c>
      <c r="N5" s="1509"/>
      <c r="O5" s="1510"/>
    </row>
    <row r="6" spans="1:15" ht="20.100000000000001" customHeight="1">
      <c r="A6" s="57" t="s">
        <v>57</v>
      </c>
      <c r="B6" s="650" t="s">
        <v>164</v>
      </c>
      <c r="C6" s="650"/>
      <c r="D6" s="650" t="s">
        <v>63</v>
      </c>
      <c r="E6" s="650"/>
      <c r="F6" s="651" t="s">
        <v>837</v>
      </c>
      <c r="G6" s="651"/>
      <c r="H6" s="651"/>
      <c r="I6" s="651"/>
      <c r="J6" s="170">
        <v>900</v>
      </c>
      <c r="K6" s="239"/>
      <c r="L6" s="238"/>
      <c r="M6" s="1506" t="s">
        <v>369</v>
      </c>
      <c r="N6" s="1506"/>
      <c r="O6" s="1506"/>
    </row>
    <row r="7" spans="1:15" ht="20.100000000000001" customHeight="1">
      <c r="A7" s="59" t="s">
        <v>122</v>
      </c>
      <c r="B7" s="650" t="s">
        <v>147</v>
      </c>
      <c r="C7" s="650"/>
      <c r="D7" s="650" t="s">
        <v>49</v>
      </c>
      <c r="E7" s="650"/>
      <c r="F7" s="651" t="s">
        <v>836</v>
      </c>
      <c r="G7" s="651"/>
      <c r="H7" s="651"/>
      <c r="I7" s="651"/>
      <c r="J7" s="15">
        <v>1000</v>
      </c>
      <c r="K7" s="237"/>
      <c r="L7" s="33"/>
      <c r="M7" s="1506" t="s">
        <v>835</v>
      </c>
      <c r="N7" s="1506"/>
      <c r="O7" s="1506"/>
    </row>
    <row r="8" spans="1:15" ht="20.100000000000001" customHeight="1">
      <c r="A8" s="59" t="s">
        <v>321</v>
      </c>
      <c r="B8" s="661" t="s">
        <v>199</v>
      </c>
      <c r="C8" s="661"/>
      <c r="D8" s="661" t="s">
        <v>11</v>
      </c>
      <c r="E8" s="661"/>
      <c r="F8" s="699" t="s">
        <v>834</v>
      </c>
      <c r="G8" s="699"/>
      <c r="H8" s="699"/>
      <c r="I8" s="699"/>
      <c r="J8" s="8">
        <v>7000</v>
      </c>
      <c r="K8" s="232"/>
      <c r="L8" s="41"/>
      <c r="M8" s="1506" t="s">
        <v>833</v>
      </c>
      <c r="N8" s="1506"/>
      <c r="O8" s="1506"/>
    </row>
    <row r="9" spans="1:15" ht="20.100000000000001" customHeight="1" thickBot="1">
      <c r="A9" s="236" t="s">
        <v>127</v>
      </c>
      <c r="B9" s="693" t="s">
        <v>10</v>
      </c>
      <c r="C9" s="694"/>
      <c r="D9" s="1503" t="s">
        <v>11</v>
      </c>
      <c r="E9" s="1504"/>
      <c r="F9" s="1505" t="s">
        <v>832</v>
      </c>
      <c r="G9" s="1505"/>
      <c r="H9" s="1505"/>
      <c r="I9" s="1505"/>
      <c r="J9" s="230">
        <v>5000</v>
      </c>
      <c r="K9" s="235"/>
      <c r="L9" s="234"/>
      <c r="M9" s="1511" t="s">
        <v>826</v>
      </c>
      <c r="N9" s="1511"/>
      <c r="O9" s="1511"/>
    </row>
    <row r="10" spans="1:15" ht="20.100000000000001" customHeight="1" thickTop="1">
      <c r="A10" s="231" t="s">
        <v>335</v>
      </c>
      <c r="B10" s="661" t="s">
        <v>10</v>
      </c>
      <c r="C10" s="661"/>
      <c r="D10" s="700" t="s">
        <v>14</v>
      </c>
      <c r="E10" s="701"/>
      <c r="F10" s="769" t="s">
        <v>831</v>
      </c>
      <c r="G10" s="770"/>
      <c r="H10" s="770"/>
      <c r="I10" s="771"/>
      <c r="J10" s="8">
        <v>5000</v>
      </c>
      <c r="K10" s="232"/>
      <c r="L10" s="41"/>
      <c r="M10" s="1508" t="s">
        <v>830</v>
      </c>
      <c r="N10" s="1509"/>
      <c r="O10" s="1510"/>
    </row>
    <row r="11" spans="1:15" ht="20.100000000000001" customHeight="1">
      <c r="A11" s="59" t="s">
        <v>156</v>
      </c>
      <c r="B11" s="661" t="s">
        <v>10</v>
      </c>
      <c r="C11" s="661"/>
      <c r="D11" s="661" t="s">
        <v>14</v>
      </c>
      <c r="E11" s="661"/>
      <c r="F11" s="659" t="s">
        <v>644</v>
      </c>
      <c r="G11" s="659"/>
      <c r="H11" s="659"/>
      <c r="I11" s="659"/>
      <c r="J11" s="8">
        <v>703</v>
      </c>
      <c r="K11" s="232"/>
      <c r="L11" s="41"/>
      <c r="M11" s="1508" t="s">
        <v>829</v>
      </c>
      <c r="N11" s="1509"/>
      <c r="O11" s="1510"/>
    </row>
    <row r="12" spans="1:15" ht="20.100000000000001" customHeight="1">
      <c r="A12" s="57" t="s">
        <v>141</v>
      </c>
      <c r="B12" s="706" t="s">
        <v>147</v>
      </c>
      <c r="C12" s="706"/>
      <c r="D12" s="762" t="s">
        <v>240</v>
      </c>
      <c r="E12" s="763"/>
      <c r="F12" s="707" t="s">
        <v>828</v>
      </c>
      <c r="G12" s="707"/>
      <c r="H12" s="707"/>
      <c r="I12" s="707"/>
      <c r="J12" s="23">
        <v>7000</v>
      </c>
      <c r="K12" s="233"/>
      <c r="L12" s="38"/>
      <c r="M12" s="1491" t="s">
        <v>827</v>
      </c>
      <c r="N12" s="1491"/>
      <c r="O12" s="1491"/>
    </row>
    <row r="13" spans="1:15" ht="20.100000000000001" customHeight="1">
      <c r="A13" s="57" t="s">
        <v>75</v>
      </c>
      <c r="B13" s="661" t="s">
        <v>10</v>
      </c>
      <c r="C13" s="661"/>
      <c r="D13" s="661" t="s">
        <v>17</v>
      </c>
      <c r="E13" s="661"/>
      <c r="F13" s="699" t="s">
        <v>542</v>
      </c>
      <c r="G13" s="699"/>
      <c r="H13" s="699"/>
      <c r="I13" s="699"/>
      <c r="J13" s="8">
        <v>704</v>
      </c>
      <c r="K13" s="232"/>
      <c r="L13" s="41"/>
      <c r="M13" s="1508" t="s">
        <v>826</v>
      </c>
      <c r="N13" s="1509"/>
      <c r="O13" s="1510"/>
    </row>
    <row r="14" spans="1:15" ht="26.4">
      <c r="A14" s="215" t="s">
        <v>859</v>
      </c>
      <c r="I14" s="2"/>
      <c r="M14" s="31" t="s">
        <v>858</v>
      </c>
    </row>
    <row r="15" spans="1:15">
      <c r="A15" s="49" t="s">
        <v>366</v>
      </c>
    </row>
    <row r="16" spans="1:15">
      <c r="A16" s="710" t="s">
        <v>2</v>
      </c>
      <c r="B16" s="1377" t="s">
        <v>3</v>
      </c>
      <c r="C16" s="1377"/>
      <c r="D16" s="711" t="s">
        <v>4</v>
      </c>
      <c r="E16" s="711"/>
      <c r="F16" s="1377" t="s">
        <v>5</v>
      </c>
      <c r="G16" s="1377"/>
      <c r="H16" s="1377"/>
      <c r="I16" s="1377"/>
      <c r="J16" s="711" t="s">
        <v>103</v>
      </c>
      <c r="K16" s="1376" t="s">
        <v>614</v>
      </c>
      <c r="L16" s="185" t="s">
        <v>407</v>
      </c>
      <c r="M16" s="1156" t="s">
        <v>8</v>
      </c>
      <c r="N16" s="1507"/>
      <c r="O16" s="1157"/>
    </row>
    <row r="17" spans="1:15">
      <c r="A17" s="711"/>
      <c r="B17" s="1377"/>
      <c r="C17" s="1377"/>
      <c r="D17" s="711"/>
      <c r="E17" s="711"/>
      <c r="F17" s="1377"/>
      <c r="G17" s="1377"/>
      <c r="H17" s="1377"/>
      <c r="I17" s="1377"/>
      <c r="J17" s="711"/>
      <c r="K17" s="1376"/>
      <c r="L17" s="186" t="s">
        <v>410</v>
      </c>
      <c r="M17" s="1156"/>
      <c r="N17" s="1507"/>
      <c r="O17" s="1157"/>
    </row>
    <row r="18" spans="1:15">
      <c r="A18" s="614" t="s">
        <v>808</v>
      </c>
      <c r="B18" s="661" t="s">
        <v>35</v>
      </c>
      <c r="C18" s="661"/>
      <c r="D18" s="661" t="s">
        <v>11</v>
      </c>
      <c r="E18" s="661"/>
      <c r="F18" s="699" t="s">
        <v>36</v>
      </c>
      <c r="G18" s="699"/>
      <c r="H18" s="699"/>
      <c r="I18" s="699"/>
      <c r="J18" s="8">
        <v>900</v>
      </c>
      <c r="K18" s="232"/>
      <c r="L18" s="247"/>
      <c r="M18" s="1484" t="s">
        <v>38</v>
      </c>
      <c r="N18" s="1485"/>
      <c r="O18" s="1486"/>
    </row>
    <row r="19" spans="1:15">
      <c r="A19" s="616"/>
      <c r="B19" s="700" t="s">
        <v>304</v>
      </c>
      <c r="C19" s="701"/>
      <c r="D19" s="661" t="s">
        <v>11</v>
      </c>
      <c r="E19" s="661"/>
      <c r="F19" s="659" t="s">
        <v>120</v>
      </c>
      <c r="G19" s="659"/>
      <c r="H19" s="659"/>
      <c r="I19" s="659"/>
      <c r="J19" s="8"/>
      <c r="K19" s="232"/>
      <c r="L19" s="247"/>
      <c r="M19" s="1487"/>
      <c r="N19" s="1488"/>
      <c r="O19" s="1489"/>
    </row>
    <row r="20" spans="1:15">
      <c r="A20" s="57" t="s">
        <v>57</v>
      </c>
      <c r="B20" s="650" t="s">
        <v>164</v>
      </c>
      <c r="C20" s="650"/>
      <c r="D20" s="650" t="s">
        <v>63</v>
      </c>
      <c r="E20" s="650"/>
      <c r="F20" s="651" t="s">
        <v>837</v>
      </c>
      <c r="G20" s="651"/>
      <c r="H20" s="651"/>
      <c r="I20" s="651"/>
      <c r="J20" s="170">
        <v>900</v>
      </c>
      <c r="K20" s="239"/>
      <c r="L20" s="93" t="s">
        <v>425</v>
      </c>
      <c r="M20" s="1506" t="s">
        <v>369</v>
      </c>
      <c r="N20" s="1506"/>
      <c r="O20" s="1506"/>
    </row>
    <row r="21" spans="1:15">
      <c r="A21" s="59" t="s">
        <v>122</v>
      </c>
      <c r="B21" s="650" t="s">
        <v>147</v>
      </c>
      <c r="C21" s="650"/>
      <c r="D21" s="650" t="s">
        <v>49</v>
      </c>
      <c r="E21" s="650"/>
      <c r="F21" s="651" t="s">
        <v>836</v>
      </c>
      <c r="G21" s="651"/>
      <c r="H21" s="651"/>
      <c r="I21" s="651"/>
      <c r="J21" s="15">
        <v>1000</v>
      </c>
      <c r="K21" s="237"/>
      <c r="L21" s="97" t="s">
        <v>470</v>
      </c>
      <c r="M21" s="1506" t="s">
        <v>861</v>
      </c>
      <c r="N21" s="1506"/>
      <c r="O21" s="1506"/>
    </row>
    <row r="22" spans="1:15">
      <c r="A22" s="614" t="s">
        <v>321</v>
      </c>
      <c r="B22" s="661" t="s">
        <v>199</v>
      </c>
      <c r="C22" s="661"/>
      <c r="D22" s="661" t="s">
        <v>11</v>
      </c>
      <c r="E22" s="661"/>
      <c r="F22" s="699" t="s">
        <v>834</v>
      </c>
      <c r="G22" s="699"/>
      <c r="H22" s="699"/>
      <c r="I22" s="699"/>
      <c r="J22" s="8">
        <v>7000</v>
      </c>
      <c r="K22" s="232"/>
      <c r="L22" s="247"/>
      <c r="M22" s="1484" t="s">
        <v>833</v>
      </c>
      <c r="N22" s="1485"/>
      <c r="O22" s="1486"/>
    </row>
    <row r="23" spans="1:15">
      <c r="A23" s="616"/>
      <c r="B23" s="700" t="s">
        <v>860</v>
      </c>
      <c r="C23" s="701"/>
      <c r="D23" s="661" t="s">
        <v>11</v>
      </c>
      <c r="E23" s="661"/>
      <c r="F23" s="662" t="s">
        <v>324</v>
      </c>
      <c r="G23" s="663"/>
      <c r="H23" s="663"/>
      <c r="I23" s="750"/>
      <c r="J23" s="8"/>
      <c r="K23" s="232"/>
      <c r="L23" s="247"/>
      <c r="M23" s="1487"/>
      <c r="N23" s="1488"/>
      <c r="O23" s="1489"/>
    </row>
    <row r="24" spans="1:15">
      <c r="A24" s="1233" t="s">
        <v>127</v>
      </c>
      <c r="B24" s="700" t="s">
        <v>10</v>
      </c>
      <c r="C24" s="701"/>
      <c r="D24" s="700" t="s">
        <v>11</v>
      </c>
      <c r="E24" s="701"/>
      <c r="F24" s="659" t="s">
        <v>832</v>
      </c>
      <c r="G24" s="659"/>
      <c r="H24" s="659"/>
      <c r="I24" s="659"/>
      <c r="J24" s="8">
        <v>5000</v>
      </c>
      <c r="K24" s="232"/>
      <c r="L24" s="247"/>
      <c r="M24" s="1484" t="s">
        <v>826</v>
      </c>
      <c r="N24" s="1485"/>
      <c r="O24" s="1486"/>
    </row>
    <row r="25" spans="1:15" ht="18.600000000000001" thickBot="1">
      <c r="A25" s="1502"/>
      <c r="B25" s="1503" t="s">
        <v>20</v>
      </c>
      <c r="C25" s="1504"/>
      <c r="D25" s="1503" t="s">
        <v>11</v>
      </c>
      <c r="E25" s="1504"/>
      <c r="F25" s="1505" t="s">
        <v>21</v>
      </c>
      <c r="G25" s="1505"/>
      <c r="H25" s="1505"/>
      <c r="I25" s="1505"/>
      <c r="J25" s="230">
        <v>5000</v>
      </c>
      <c r="K25" s="235"/>
      <c r="L25" s="248"/>
      <c r="M25" s="1495"/>
      <c r="N25" s="1496"/>
      <c r="O25" s="1497"/>
    </row>
    <row r="26" spans="1:15" ht="18.600000000000001" thickTop="1">
      <c r="A26" s="1498" t="s">
        <v>335</v>
      </c>
      <c r="B26" s="661" t="s">
        <v>10</v>
      </c>
      <c r="C26" s="661"/>
      <c r="D26" s="700" t="s">
        <v>14</v>
      </c>
      <c r="E26" s="701"/>
      <c r="F26" s="769" t="s">
        <v>831</v>
      </c>
      <c r="G26" s="770"/>
      <c r="H26" s="770"/>
      <c r="I26" s="771"/>
      <c r="J26" s="8">
        <v>5000</v>
      </c>
      <c r="K26" s="232"/>
      <c r="L26" s="250"/>
      <c r="M26" s="1499" t="s">
        <v>830</v>
      </c>
      <c r="N26" s="1500"/>
      <c r="O26" s="1501"/>
    </row>
    <row r="27" spans="1:15">
      <c r="A27" s="1490"/>
      <c r="B27" s="700" t="s">
        <v>81</v>
      </c>
      <c r="C27" s="701"/>
      <c r="D27" s="700" t="s">
        <v>14</v>
      </c>
      <c r="E27" s="701"/>
      <c r="F27" s="662" t="s">
        <v>448</v>
      </c>
      <c r="G27" s="663"/>
      <c r="H27" s="663"/>
      <c r="I27" s="750"/>
      <c r="J27" s="8"/>
      <c r="K27" s="232"/>
      <c r="L27" s="247"/>
      <c r="M27" s="1492"/>
      <c r="N27" s="1493"/>
      <c r="O27" s="1494"/>
    </row>
    <row r="28" spans="1:15">
      <c r="A28" s="1234"/>
      <c r="B28" s="700" t="s">
        <v>83</v>
      </c>
      <c r="C28" s="701"/>
      <c r="D28" s="700" t="s">
        <v>14</v>
      </c>
      <c r="E28" s="701"/>
      <c r="F28" s="662" t="s">
        <v>862</v>
      </c>
      <c r="G28" s="663"/>
      <c r="H28" s="663"/>
      <c r="I28" s="750"/>
      <c r="J28" s="8"/>
      <c r="K28" s="232"/>
      <c r="L28" s="247"/>
      <c r="M28" s="1487"/>
      <c r="N28" s="1488"/>
      <c r="O28" s="1489"/>
    </row>
    <row r="29" spans="1:15">
      <c r="A29" s="1233" t="s">
        <v>156</v>
      </c>
      <c r="B29" s="661" t="s">
        <v>10</v>
      </c>
      <c r="C29" s="661"/>
      <c r="D29" s="661" t="s">
        <v>11</v>
      </c>
      <c r="E29" s="661"/>
      <c r="F29" s="659" t="s">
        <v>864</v>
      </c>
      <c r="G29" s="659"/>
      <c r="H29" s="659"/>
      <c r="I29" s="659"/>
      <c r="J29" s="8">
        <v>703</v>
      </c>
      <c r="K29" s="232"/>
      <c r="L29" s="247"/>
      <c r="M29" s="1484" t="s">
        <v>829</v>
      </c>
      <c r="N29" s="1485"/>
      <c r="O29" s="1486"/>
    </row>
    <row r="30" spans="1:15">
      <c r="A30" s="1490"/>
      <c r="B30" s="700" t="s">
        <v>81</v>
      </c>
      <c r="C30" s="701"/>
      <c r="D30" s="700" t="s">
        <v>863</v>
      </c>
      <c r="E30" s="701"/>
      <c r="F30" s="662" t="s">
        <v>865</v>
      </c>
      <c r="G30" s="663"/>
      <c r="H30" s="663"/>
      <c r="I30" s="750"/>
      <c r="J30" s="14"/>
      <c r="K30" s="249"/>
      <c r="L30" s="251"/>
      <c r="M30" s="1492"/>
      <c r="N30" s="1493"/>
      <c r="O30" s="1494"/>
    </row>
    <row r="31" spans="1:15">
      <c r="A31" s="1234"/>
      <c r="B31" s="700" t="s">
        <v>83</v>
      </c>
      <c r="C31" s="701"/>
      <c r="D31" s="700" t="s">
        <v>11</v>
      </c>
      <c r="E31" s="701"/>
      <c r="F31" s="662" t="s">
        <v>866</v>
      </c>
      <c r="G31" s="663"/>
      <c r="H31" s="663"/>
      <c r="I31" s="750"/>
      <c r="J31" s="14"/>
      <c r="K31" s="249"/>
      <c r="L31" s="251"/>
      <c r="M31" s="1487"/>
      <c r="N31" s="1488"/>
      <c r="O31" s="1489"/>
    </row>
    <row r="32" spans="1:15">
      <c r="A32" s="57" t="s">
        <v>141</v>
      </c>
      <c r="B32" s="706" t="s">
        <v>178</v>
      </c>
      <c r="C32" s="706"/>
      <c r="D32" s="762" t="s">
        <v>179</v>
      </c>
      <c r="E32" s="763"/>
      <c r="F32" s="707" t="s">
        <v>867</v>
      </c>
      <c r="G32" s="707"/>
      <c r="H32" s="707"/>
      <c r="I32" s="707"/>
      <c r="J32" s="23">
        <v>7000</v>
      </c>
      <c r="K32" s="233"/>
      <c r="L32" s="97" t="s">
        <v>436</v>
      </c>
      <c r="M32" s="1491" t="s">
        <v>827</v>
      </c>
      <c r="N32" s="1491"/>
      <c r="O32" s="1491"/>
    </row>
    <row r="33" spans="1:15">
      <c r="A33" s="614" t="s">
        <v>75</v>
      </c>
      <c r="B33" s="701" t="s">
        <v>10</v>
      </c>
      <c r="C33" s="661"/>
      <c r="D33" s="661" t="s">
        <v>17</v>
      </c>
      <c r="E33" s="661"/>
      <c r="F33" s="699" t="s">
        <v>542</v>
      </c>
      <c r="G33" s="699"/>
      <c r="H33" s="699"/>
      <c r="I33" s="699"/>
      <c r="J33" s="8">
        <v>704</v>
      </c>
      <c r="K33" s="232"/>
      <c r="L33" s="247"/>
      <c r="M33" s="1484" t="s">
        <v>826</v>
      </c>
      <c r="N33" s="1485"/>
      <c r="O33" s="1486"/>
    </row>
    <row r="34" spans="1:15">
      <c r="A34" s="616"/>
      <c r="B34" s="1483" t="s">
        <v>20</v>
      </c>
      <c r="C34" s="1483"/>
      <c r="D34" s="700" t="s">
        <v>863</v>
      </c>
      <c r="E34" s="701"/>
      <c r="F34" s="662" t="s">
        <v>281</v>
      </c>
      <c r="G34" s="663"/>
      <c r="H34" s="663"/>
      <c r="I34" s="663"/>
      <c r="J34" s="252"/>
      <c r="K34" s="253"/>
      <c r="L34" s="247"/>
      <c r="M34" s="1487"/>
      <c r="N34" s="1488"/>
      <c r="O34" s="1489"/>
    </row>
  </sheetData>
  <mergeCells count="117">
    <mergeCell ref="L3:L4"/>
    <mergeCell ref="M3:O4"/>
    <mergeCell ref="B5:C5"/>
    <mergeCell ref="D5:E5"/>
    <mergeCell ref="F5:I5"/>
    <mergeCell ref="B6:C6"/>
    <mergeCell ref="B7:C7"/>
    <mergeCell ref="D7:E7"/>
    <mergeCell ref="F7:I7"/>
    <mergeCell ref="M7:O7"/>
    <mergeCell ref="K3:K4"/>
    <mergeCell ref="A3:A4"/>
    <mergeCell ref="B3:C4"/>
    <mergeCell ref="D3:E4"/>
    <mergeCell ref="F3:I4"/>
    <mergeCell ref="B16:C17"/>
    <mergeCell ref="D16:E17"/>
    <mergeCell ref="F16:I17"/>
    <mergeCell ref="J16:J17"/>
    <mergeCell ref="K16:K17"/>
    <mergeCell ref="J3:J4"/>
    <mergeCell ref="B13:C13"/>
    <mergeCell ref="D13:E13"/>
    <mergeCell ref="F13:I13"/>
    <mergeCell ref="B12:C12"/>
    <mergeCell ref="D8:E8"/>
    <mergeCell ref="F8:I8"/>
    <mergeCell ref="B9:C9"/>
    <mergeCell ref="D9:E9"/>
    <mergeCell ref="F9:I9"/>
    <mergeCell ref="B10:C10"/>
    <mergeCell ref="M16:O17"/>
    <mergeCell ref="A16:A17"/>
    <mergeCell ref="M5:O5"/>
    <mergeCell ref="M6:O6"/>
    <mergeCell ref="M11:O11"/>
    <mergeCell ref="M12:O12"/>
    <mergeCell ref="D12:E12"/>
    <mergeCell ref="F12:I12"/>
    <mergeCell ref="D10:E10"/>
    <mergeCell ref="F10:I10"/>
    <mergeCell ref="M10:O10"/>
    <mergeCell ref="M8:O8"/>
    <mergeCell ref="D6:E6"/>
    <mergeCell ref="F6:I6"/>
    <mergeCell ref="M9:O9"/>
    <mergeCell ref="B11:C11"/>
    <mergeCell ref="D11:E11"/>
    <mergeCell ref="F11:I11"/>
    <mergeCell ref="B8:C8"/>
    <mergeCell ref="M13:O13"/>
    <mergeCell ref="A18:A19"/>
    <mergeCell ref="B19:C19"/>
    <mergeCell ref="D19:E19"/>
    <mergeCell ref="F19:I19"/>
    <mergeCell ref="M18:O19"/>
    <mergeCell ref="A22:A23"/>
    <mergeCell ref="D23:E23"/>
    <mergeCell ref="F23:I23"/>
    <mergeCell ref="M22:O23"/>
    <mergeCell ref="B23:C23"/>
    <mergeCell ref="B21:C21"/>
    <mergeCell ref="D21:E21"/>
    <mergeCell ref="F21:I21"/>
    <mergeCell ref="M21:O21"/>
    <mergeCell ref="B22:C22"/>
    <mergeCell ref="D22:E22"/>
    <mergeCell ref="F22:I22"/>
    <mergeCell ref="B18:C18"/>
    <mergeCell ref="D18:E18"/>
    <mergeCell ref="F18:I18"/>
    <mergeCell ref="B20:C20"/>
    <mergeCell ref="D20:E20"/>
    <mergeCell ref="F20:I20"/>
    <mergeCell ref="M20:O20"/>
    <mergeCell ref="D24:E24"/>
    <mergeCell ref="F24:I24"/>
    <mergeCell ref="M24:O25"/>
    <mergeCell ref="A26:A28"/>
    <mergeCell ref="B27:C27"/>
    <mergeCell ref="D27:E27"/>
    <mergeCell ref="F27:I27"/>
    <mergeCell ref="M26:O28"/>
    <mergeCell ref="B28:C28"/>
    <mergeCell ref="D28:E28"/>
    <mergeCell ref="F28:I28"/>
    <mergeCell ref="A24:A25"/>
    <mergeCell ref="B24:C24"/>
    <mergeCell ref="B25:C25"/>
    <mergeCell ref="D25:E25"/>
    <mergeCell ref="F25:I25"/>
    <mergeCell ref="B26:C26"/>
    <mergeCell ref="D26:E26"/>
    <mergeCell ref="F26:I26"/>
    <mergeCell ref="A33:A34"/>
    <mergeCell ref="B34:C34"/>
    <mergeCell ref="D34:E34"/>
    <mergeCell ref="F34:I34"/>
    <mergeCell ref="M33:O34"/>
    <mergeCell ref="A29:A31"/>
    <mergeCell ref="B30:C30"/>
    <mergeCell ref="D30:E30"/>
    <mergeCell ref="F30:I30"/>
    <mergeCell ref="F31:I31"/>
    <mergeCell ref="D31:E31"/>
    <mergeCell ref="B31:C31"/>
    <mergeCell ref="B33:C33"/>
    <mergeCell ref="D33:E33"/>
    <mergeCell ref="F33:I33"/>
    <mergeCell ref="B29:C29"/>
    <mergeCell ref="D29:E29"/>
    <mergeCell ref="F29:I29"/>
    <mergeCell ref="B32:C32"/>
    <mergeCell ref="D32:E32"/>
    <mergeCell ref="F32:I32"/>
    <mergeCell ref="M32:O32"/>
    <mergeCell ref="M29:O31"/>
  </mergeCells>
  <phoneticPr fontId="11"/>
  <pageMargins left="0.70866141732283472" right="0.70866141732283472" top="0.74803149606299213" bottom="0.74803149606299213" header="0.31496062992125984" footer="0.31496062992125984"/>
  <pageSetup paperSize="9" orientation="landscape" r:id="rId1"/>
  <rowBreaks count="1" manualBreakCount="1">
    <brk id="13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28</vt:i4>
      </vt:variant>
      <vt:variant>
        <vt:lpstr>名前付き一覧</vt:lpstr>
      </vt:variant>
      <vt:variant>
        <vt:i4>23</vt:i4>
      </vt:variant>
    </vt:vector>
  </HeadingPairs>
  <TitlesOfParts>
    <vt:vector size="51" baseType="lpstr">
      <vt:lpstr>INJ-CUP(AP5) 工具交換ﾁｪｯｸ表 </vt:lpstr>
      <vt:lpstr>INJ-CUP(AP3)ノムラ 工具交換ﾁｪｯｸ表</vt:lpstr>
      <vt:lpstr>INJ-CUP(AP3)ツガミ 工具交換ﾁｪｯｸ表</vt:lpstr>
      <vt:lpstr>INJ-CUP(MY28 AP3)工具交換ﾁｪｯｸ表</vt:lpstr>
      <vt:lpstr>SENSOR BOSS(UIC)工具交換ﾁｪｯｸ表</vt:lpstr>
      <vt:lpstr>INLET(AP5)　工具交換チェック表</vt:lpstr>
      <vt:lpstr>INJ-CUP(35MPa) ツガミ SS327-Ⅲ </vt:lpstr>
      <vt:lpstr>INJ-CUP(35MPa) ツガミ B0326-Ⅲ</vt:lpstr>
      <vt:lpstr>INJ-CUP(35Mpa)ノムラ 工具交換ﾁｪｯｸ表</vt:lpstr>
      <vt:lpstr>JOINT(224A00378700) ツガミ B0326-Ⅱ</vt:lpstr>
      <vt:lpstr>JOINT(224A00345200) ツガミ B0326-Ⅱ</vt:lpstr>
      <vt:lpstr>CONNECTOR(428A00468302)B0325-Ⅱ</vt:lpstr>
      <vt:lpstr>SENSOR PLUG工具交換チェック表</vt:lpstr>
      <vt:lpstr>PLUG工具交換ﾁｪｯｸ表(ツガミ)</vt:lpstr>
      <vt:lpstr>ショートグランド(VTGN 4-4-32)工具交換ﾁｪｯｸ表 </vt:lpstr>
      <vt:lpstr>FIR TREE 斜め 工具交換チェック表</vt:lpstr>
      <vt:lpstr>PLUG工具交換ﾁｪｯｸ表(野村NC67) </vt:lpstr>
      <vt:lpstr>INJ-CUP(20MPa) 工具交換ﾁｪｯｸ表 </vt:lpstr>
      <vt:lpstr>CONNECTOR工具交換チェック表</vt:lpstr>
      <vt:lpstr>FIR TREEオス 工具交換チェック表</vt:lpstr>
      <vt:lpstr>FIR TREEメス　工具交換チェック表</vt:lpstr>
      <vt:lpstr>HODER ノムラ　工具交換ﾁｪｯｸ表 </vt:lpstr>
      <vt:lpstr>SENSOR BOSS 工具交換ﾁｪｯｸ表</vt:lpstr>
      <vt:lpstr>HOUSING 工具交換ﾁｪｯｸ表</vt:lpstr>
      <vt:lpstr>INJ-CUP(AP5)野村 工具交換ﾁｪｯｸ表</vt:lpstr>
      <vt:lpstr>BOSS 工具交換ﾁｪｯｸ表</vt:lpstr>
      <vt:lpstr>ADAPTER 工具交換ﾁｪｯｸ表</vt:lpstr>
      <vt:lpstr>SLEEVE(327A00067800)</vt:lpstr>
      <vt:lpstr>'CONNECTOR(428A00468302)B0325-Ⅱ'!Print_Area</vt:lpstr>
      <vt:lpstr>CONNECTOR工具交換チェック表!Print_Area</vt:lpstr>
      <vt:lpstr>'FIR TREE 斜め 工具交換チェック表'!Print_Area</vt:lpstr>
      <vt:lpstr>'FIR TREEオス 工具交換チェック表'!Print_Area</vt:lpstr>
      <vt:lpstr>'HODER ノムラ　工具交換ﾁｪｯｸ表 '!Print_Area</vt:lpstr>
      <vt:lpstr>'INJ-CUP(20MPa) 工具交換ﾁｪｯｸ表 '!Print_Area</vt:lpstr>
      <vt:lpstr>'INJ-CUP(35MPa) ツガミ B0326-Ⅲ'!Print_Area</vt:lpstr>
      <vt:lpstr>'INJ-CUP(35MPa) ツガミ SS327-Ⅲ '!Print_Area</vt:lpstr>
      <vt:lpstr>'INJ-CUP(35Mpa)ノムラ 工具交換ﾁｪｯｸ表'!Print_Area</vt:lpstr>
      <vt:lpstr>'INJ-CUP(AP3)ツガミ 工具交換ﾁｪｯｸ表'!Print_Area</vt:lpstr>
      <vt:lpstr>'INJ-CUP(AP3)ノムラ 工具交換ﾁｪｯｸ表'!Print_Area</vt:lpstr>
      <vt:lpstr>'INJ-CUP(AP5) 工具交換ﾁｪｯｸ表 '!Print_Area</vt:lpstr>
      <vt:lpstr>'INJ-CUP(MY28 AP3)工具交換ﾁｪｯｸ表'!Print_Area</vt:lpstr>
      <vt:lpstr>'INLET(AP5)　工具交換チェック表'!Print_Area</vt:lpstr>
      <vt:lpstr>'JOINT(224A00345200) ツガミ B0326-Ⅱ'!Print_Area</vt:lpstr>
      <vt:lpstr>'JOINT(224A00378700) ツガミ B0326-Ⅱ'!Print_Area</vt:lpstr>
      <vt:lpstr>'PLUG工具交換ﾁｪｯｸ表(ツガミ)'!Print_Area</vt:lpstr>
      <vt:lpstr>'PLUG工具交換ﾁｪｯｸ表(野村NC67) '!Print_Area</vt:lpstr>
      <vt:lpstr>'SENSOR BOSS 工具交換ﾁｪｯｸ表'!Print_Area</vt:lpstr>
      <vt:lpstr>'SENSOR BOSS(UIC)工具交換ﾁｪｯｸ表'!Print_Area</vt:lpstr>
      <vt:lpstr>'SENSOR PLUG工具交換チェック表'!Print_Area</vt:lpstr>
      <vt:lpstr>'SLEEVE(327A00067800)'!Print_Area</vt:lpstr>
      <vt:lpstr>'ショートグランド(VTGN 4-4-32)工具交換ﾁｪｯｸ表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MC-10PC-141</dc:creator>
  <cp:lastModifiedBy>PK-11PC-086-PC</cp:lastModifiedBy>
  <cp:lastPrinted>2026-06-07T23:38:09Z</cp:lastPrinted>
  <dcterms:created xsi:type="dcterms:W3CDTF">2015-06-05T18:19:34Z</dcterms:created>
  <dcterms:modified xsi:type="dcterms:W3CDTF">2026-08-21T20:14:57Z</dcterms:modified>
</cp:coreProperties>
</file>